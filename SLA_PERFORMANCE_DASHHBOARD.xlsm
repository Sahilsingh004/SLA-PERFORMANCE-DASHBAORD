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hidePivotFieldList="1"/>
  <mc:AlternateContent xmlns:mc="http://schemas.openxmlformats.org/markup-compatibility/2006">
    <mc:Choice Requires="x15">
      <x15ac:absPath xmlns:x15ac="http://schemas.microsoft.com/office/spreadsheetml/2010/11/ac" url="https://d.docs.live.net/c99d363c82e5acbe/문서/Projects/"/>
    </mc:Choice>
  </mc:AlternateContent>
  <xr:revisionPtr revIDLastSave="1" documentId="8_{4F4BD6FE-420D-43D4-B1AE-DA62523AEA40}" xr6:coauthVersionLast="47" xr6:coauthVersionMax="47" xr10:uidLastSave="{03D213EA-5976-4E6E-9C3A-6764E9265D9B}"/>
  <bookViews>
    <workbookView xWindow="-108" yWindow="-108" windowWidth="23256" windowHeight="12456" activeTab="2" xr2:uid="{00000000-000D-0000-FFFF-FFFF00000000}"/>
  </bookViews>
  <sheets>
    <sheet name="Tickets" sheetId="2" r:id="rId1"/>
    <sheet name="Pivot_tables" sheetId="4" state="hidden" r:id="rId2"/>
    <sheet name="Dashboard" sheetId="5" r:id="rId3"/>
    <sheet name="Documentation" sheetId="7" r:id="rId4"/>
  </sheets>
  <definedNames>
    <definedName name="ExternalData_1" localSheetId="0" hidden="1">Tickets!$A$1:$N$2001</definedName>
    <definedName name="Slicer_SLA_Met">#N/A</definedName>
    <definedName name="Slicer_Ticket_Channel">#N/A</definedName>
    <definedName name="Slicer_Ticket_Priority">#N/A</definedName>
    <definedName name="Slicer_Ticket_Status">#N/A</definedName>
  </definedNames>
  <calcPr calcId="191029"/>
  <pivotCaches>
    <pivotCache cacheId="22"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 i="4" l="1"/>
  <c r="L24" i="4"/>
  <c r="L23" i="4"/>
  <c r="P6" i="5"/>
  <c r="K6" i="5"/>
  <c r="F6" i="5"/>
  <c r="U6" i="5" l="1"/>
  <c r="O2" i="2"/>
  <c r="P2" i="2" s="1"/>
  <c r="O3" i="2"/>
  <c r="P3" i="2" s="1"/>
  <c r="O4" i="2"/>
  <c r="P4" i="2" s="1"/>
  <c r="O5" i="2"/>
  <c r="P5" i="2" s="1"/>
  <c r="O6" i="2"/>
  <c r="P6" i="2" s="1"/>
  <c r="O7" i="2"/>
  <c r="P7" i="2" s="1"/>
  <c r="O8" i="2"/>
  <c r="P8" i="2" s="1"/>
  <c r="O9" i="2"/>
  <c r="P9" i="2" s="1"/>
  <c r="O10" i="2"/>
  <c r="P10" i="2" s="1"/>
  <c r="O11" i="2"/>
  <c r="P11" i="2" s="1"/>
  <c r="O12" i="2"/>
  <c r="P12" i="2" s="1"/>
  <c r="O1462" i="2"/>
  <c r="P1462" i="2" s="1"/>
  <c r="O14" i="2"/>
  <c r="P14" i="2" s="1"/>
  <c r="O15" i="2"/>
  <c r="P15" i="2" s="1"/>
  <c r="O16" i="2"/>
  <c r="P16" i="2" s="1"/>
  <c r="O17" i="2"/>
  <c r="P17" i="2" s="1"/>
  <c r="O18" i="2"/>
  <c r="P18" i="2" s="1"/>
  <c r="O19" i="2"/>
  <c r="P19" i="2" s="1"/>
  <c r="O20" i="2"/>
  <c r="P20" i="2" s="1"/>
  <c r="O21" i="2"/>
  <c r="P21" i="2" s="1"/>
  <c r="O22" i="2"/>
  <c r="P22" i="2" s="1"/>
  <c r="O23" i="2"/>
  <c r="P23" i="2" s="1"/>
  <c r="O24" i="2"/>
  <c r="P24" i="2" s="1"/>
  <c r="O25" i="2"/>
  <c r="P25" i="2" s="1"/>
  <c r="O26" i="2"/>
  <c r="P26" i="2" s="1"/>
  <c r="O27" i="2"/>
  <c r="P27" i="2" s="1"/>
  <c r="O28" i="2"/>
  <c r="P28" i="2" s="1"/>
  <c r="O29" i="2"/>
  <c r="P29" i="2" s="1"/>
  <c r="O30" i="2"/>
  <c r="P30" i="2" s="1"/>
  <c r="O31" i="2"/>
  <c r="P31" i="2" s="1"/>
  <c r="O32" i="2"/>
  <c r="P32" i="2" s="1"/>
  <c r="O33" i="2"/>
  <c r="P33" i="2" s="1"/>
  <c r="O34" i="2"/>
  <c r="P34" i="2" s="1"/>
  <c r="O593" i="2"/>
  <c r="P593" i="2" s="1"/>
  <c r="O36" i="2"/>
  <c r="P36" i="2" s="1"/>
  <c r="O37" i="2"/>
  <c r="P37" i="2" s="1"/>
  <c r="O38" i="2"/>
  <c r="P38" i="2" s="1"/>
  <c r="O39" i="2"/>
  <c r="P39" i="2" s="1"/>
  <c r="O40" i="2"/>
  <c r="P40" i="2" s="1"/>
  <c r="O383" i="2"/>
  <c r="P383" i="2" s="1"/>
  <c r="O594" i="2"/>
  <c r="P594" i="2" s="1"/>
  <c r="O43" i="2"/>
  <c r="P43" i="2" s="1"/>
  <c r="O44" i="2"/>
  <c r="P44" i="2" s="1"/>
  <c r="O1737" i="2"/>
  <c r="P1737" i="2" s="1"/>
  <c r="O1744" i="2"/>
  <c r="P1744" i="2" s="1"/>
  <c r="O47" i="2"/>
  <c r="P47" i="2" s="1"/>
  <c r="O48" i="2"/>
  <c r="P48" i="2" s="1"/>
  <c r="O49" i="2"/>
  <c r="P49" i="2" s="1"/>
  <c r="O50" i="2"/>
  <c r="P50" i="2" s="1"/>
  <c r="O229" i="2"/>
  <c r="P229" i="2" s="1"/>
  <c r="O52" i="2"/>
  <c r="P52" i="2" s="1"/>
  <c r="O53" i="2"/>
  <c r="P53" i="2" s="1"/>
  <c r="O602" i="2"/>
  <c r="P602" i="2" s="1"/>
  <c r="O55" i="2"/>
  <c r="P55" i="2" s="1"/>
  <c r="O56" i="2"/>
  <c r="P56" i="2" s="1"/>
  <c r="O57" i="2"/>
  <c r="P57" i="2" s="1"/>
  <c r="O58" i="2"/>
  <c r="P58" i="2" s="1"/>
  <c r="O59" i="2"/>
  <c r="P59" i="2" s="1"/>
  <c r="O60" i="2"/>
  <c r="P60" i="2" s="1"/>
  <c r="O61" i="2"/>
  <c r="P61" i="2" s="1"/>
  <c r="O62" i="2"/>
  <c r="P62" i="2" s="1"/>
  <c r="O63" i="2"/>
  <c r="P63" i="2" s="1"/>
  <c r="O64" i="2"/>
  <c r="P64" i="2" s="1"/>
  <c r="O65" i="2"/>
  <c r="P65" i="2" s="1"/>
  <c r="O1363" i="2"/>
  <c r="P1363" i="2" s="1"/>
  <c r="O67" i="2"/>
  <c r="P67" i="2" s="1"/>
  <c r="O68" i="2"/>
  <c r="P68" i="2" s="1"/>
  <c r="O69" i="2"/>
  <c r="P69" i="2" s="1"/>
  <c r="O70" i="2"/>
  <c r="P70" i="2" s="1"/>
  <c r="O71" i="2"/>
  <c r="P71" i="2" s="1"/>
  <c r="O72" i="2"/>
  <c r="P72" i="2" s="1"/>
  <c r="O73" i="2"/>
  <c r="P73" i="2" s="1"/>
  <c r="O108" i="2"/>
  <c r="P108" i="2" s="1"/>
  <c r="O605" i="2"/>
  <c r="P605" i="2" s="1"/>
  <c r="O1746" i="2"/>
  <c r="P1746" i="2" s="1"/>
  <c r="O77" i="2"/>
  <c r="P77" i="2" s="1"/>
  <c r="O78" i="2"/>
  <c r="P78" i="2" s="1"/>
  <c r="O79" i="2"/>
  <c r="P79" i="2" s="1"/>
  <c r="O80" i="2"/>
  <c r="P80" i="2" s="1"/>
  <c r="O81" i="2"/>
  <c r="P81" i="2" s="1"/>
  <c r="O82" i="2"/>
  <c r="P82" i="2" s="1"/>
  <c r="O1467" i="2"/>
  <c r="P1467" i="2" s="1"/>
  <c r="O84" i="2"/>
  <c r="P84" i="2" s="1"/>
  <c r="O85" i="2"/>
  <c r="P85" i="2" s="1"/>
  <c r="O1472" i="2"/>
  <c r="P1472" i="2" s="1"/>
  <c r="O87" i="2"/>
  <c r="P87" i="2" s="1"/>
  <c r="O88" i="2"/>
  <c r="P88" i="2" s="1"/>
  <c r="O89" i="2"/>
  <c r="P89" i="2" s="1"/>
  <c r="O914" i="2"/>
  <c r="P914" i="2" s="1"/>
  <c r="O91" i="2"/>
  <c r="P91" i="2" s="1"/>
  <c r="O92" i="2"/>
  <c r="P92" i="2" s="1"/>
  <c r="O93" i="2"/>
  <c r="P93" i="2" s="1"/>
  <c r="O94" i="2"/>
  <c r="P94" i="2" s="1"/>
  <c r="O919" i="2"/>
  <c r="P919" i="2" s="1"/>
  <c r="O921" i="2"/>
  <c r="P921" i="2" s="1"/>
  <c r="O606" i="2"/>
  <c r="P606" i="2" s="1"/>
  <c r="O98" i="2"/>
  <c r="P98" i="2" s="1"/>
  <c r="O608" i="2"/>
  <c r="P608" i="2" s="1"/>
  <c r="O100" i="2"/>
  <c r="P100" i="2" s="1"/>
  <c r="O1748" i="2"/>
  <c r="P1748" i="2" s="1"/>
  <c r="O102" i="2"/>
  <c r="P102" i="2" s="1"/>
  <c r="O103" i="2"/>
  <c r="P103" i="2" s="1"/>
  <c r="O104" i="2"/>
  <c r="P104" i="2" s="1"/>
  <c r="O611" i="2"/>
  <c r="P611" i="2" s="1"/>
  <c r="O106" i="2"/>
  <c r="P106" i="2" s="1"/>
  <c r="O1749" i="2"/>
  <c r="P1749" i="2" s="1"/>
  <c r="O122" i="2"/>
  <c r="P122" i="2" s="1"/>
  <c r="O109" i="2"/>
  <c r="P109" i="2" s="1"/>
  <c r="O110" i="2"/>
  <c r="P110" i="2" s="1"/>
  <c r="O111" i="2"/>
  <c r="P111" i="2" s="1"/>
  <c r="O112" i="2"/>
  <c r="P112" i="2" s="1"/>
  <c r="O113" i="2"/>
  <c r="P113" i="2" s="1"/>
  <c r="O114" i="2"/>
  <c r="P114" i="2" s="1"/>
  <c r="O115" i="2"/>
  <c r="P115" i="2" s="1"/>
  <c r="O116" i="2"/>
  <c r="P116" i="2" s="1"/>
  <c r="O117" i="2"/>
  <c r="P117" i="2" s="1"/>
  <c r="O118" i="2"/>
  <c r="P118" i="2" s="1"/>
  <c r="O119" i="2"/>
  <c r="P119" i="2" s="1"/>
  <c r="O120" i="2"/>
  <c r="P120" i="2" s="1"/>
  <c r="O121" i="2"/>
  <c r="P121" i="2" s="1"/>
  <c r="O922" i="2"/>
  <c r="P922" i="2" s="1"/>
  <c r="O123" i="2"/>
  <c r="P123" i="2" s="1"/>
  <c r="O624" i="2"/>
  <c r="P624" i="2" s="1"/>
  <c r="O125" i="2"/>
  <c r="P125" i="2" s="1"/>
  <c r="O924" i="2"/>
  <c r="P924" i="2" s="1"/>
  <c r="O76" i="2"/>
  <c r="P76" i="2" s="1"/>
  <c r="O384" i="2"/>
  <c r="P384" i="2" s="1"/>
  <c r="O129" i="2"/>
  <c r="P129" i="2" s="1"/>
  <c r="O926" i="2"/>
  <c r="P926" i="2" s="1"/>
  <c r="O131" i="2"/>
  <c r="P131" i="2" s="1"/>
  <c r="O132" i="2"/>
  <c r="P132" i="2" s="1"/>
  <c r="O133" i="2"/>
  <c r="P133" i="2" s="1"/>
  <c r="O134" i="2"/>
  <c r="P134" i="2" s="1"/>
  <c r="O135" i="2"/>
  <c r="P135" i="2" s="1"/>
  <c r="O136" i="2"/>
  <c r="P136" i="2" s="1"/>
  <c r="O137" i="2"/>
  <c r="P137" i="2" s="1"/>
  <c r="O388" i="2"/>
  <c r="P388" i="2" s="1"/>
  <c r="O139" i="2"/>
  <c r="P139" i="2" s="1"/>
  <c r="O140" i="2"/>
  <c r="P140" i="2" s="1"/>
  <c r="O141" i="2"/>
  <c r="P141" i="2" s="1"/>
  <c r="O142" i="2"/>
  <c r="P142" i="2" s="1"/>
  <c r="O128" i="2"/>
  <c r="P128" i="2" s="1"/>
  <c r="O144" i="2"/>
  <c r="P144" i="2" s="1"/>
  <c r="O145" i="2"/>
  <c r="P145" i="2" s="1"/>
  <c r="O146" i="2"/>
  <c r="P146" i="2" s="1"/>
  <c r="O147" i="2"/>
  <c r="P147" i="2" s="1"/>
  <c r="O630" i="2"/>
  <c r="P630" i="2" s="1"/>
  <c r="O149" i="2"/>
  <c r="P149" i="2" s="1"/>
  <c r="O150" i="2"/>
  <c r="P150" i="2" s="1"/>
  <c r="O151" i="2"/>
  <c r="P151" i="2" s="1"/>
  <c r="O152" i="2"/>
  <c r="P152" i="2" s="1"/>
  <c r="O1366" i="2"/>
  <c r="P1366" i="2" s="1"/>
  <c r="O154" i="2"/>
  <c r="P154" i="2" s="1"/>
  <c r="O155" i="2"/>
  <c r="P155" i="2" s="1"/>
  <c r="O1750" i="2"/>
  <c r="P1750" i="2" s="1"/>
  <c r="O157" i="2"/>
  <c r="P157" i="2" s="1"/>
  <c r="O158" i="2"/>
  <c r="P158" i="2" s="1"/>
  <c r="O159" i="2"/>
  <c r="P159" i="2" s="1"/>
  <c r="O160" i="2"/>
  <c r="P160" i="2" s="1"/>
  <c r="O161" i="2"/>
  <c r="P161" i="2" s="1"/>
  <c r="O231" i="2"/>
  <c r="P231" i="2" s="1"/>
  <c r="O163" i="2"/>
  <c r="P163" i="2" s="1"/>
  <c r="O164" i="2"/>
  <c r="P164" i="2" s="1"/>
  <c r="O165" i="2"/>
  <c r="P165" i="2" s="1"/>
  <c r="O166" i="2"/>
  <c r="P166" i="2" s="1"/>
  <c r="O167" i="2"/>
  <c r="P167" i="2" s="1"/>
  <c r="O168" i="2"/>
  <c r="P168" i="2" s="1"/>
  <c r="O169" i="2"/>
  <c r="P169" i="2" s="1"/>
  <c r="O170" i="2"/>
  <c r="P170" i="2" s="1"/>
  <c r="O171" i="2"/>
  <c r="P171" i="2" s="1"/>
  <c r="O233" i="2"/>
  <c r="P233" i="2" s="1"/>
  <c r="O173" i="2"/>
  <c r="P173" i="2" s="1"/>
  <c r="O1369" i="2"/>
  <c r="P1369" i="2" s="1"/>
  <c r="O175" i="2"/>
  <c r="P175" i="2" s="1"/>
  <c r="O176" i="2"/>
  <c r="P176" i="2" s="1"/>
  <c r="O177" i="2"/>
  <c r="P177" i="2" s="1"/>
  <c r="O178" i="2"/>
  <c r="P178" i="2" s="1"/>
  <c r="O179" i="2"/>
  <c r="P179" i="2" s="1"/>
  <c r="O180" i="2"/>
  <c r="P180" i="2" s="1"/>
  <c r="O181" i="2"/>
  <c r="P181" i="2" s="1"/>
  <c r="O182" i="2"/>
  <c r="P182" i="2" s="1"/>
  <c r="O183" i="2"/>
  <c r="P183" i="2" s="1"/>
  <c r="O184" i="2"/>
  <c r="P184" i="2" s="1"/>
  <c r="O185" i="2"/>
  <c r="P185" i="2" s="1"/>
  <c r="O186" i="2"/>
  <c r="P186" i="2" s="1"/>
  <c r="O187" i="2"/>
  <c r="P187" i="2" s="1"/>
  <c r="O188" i="2"/>
  <c r="P188" i="2" s="1"/>
  <c r="O189" i="2"/>
  <c r="P189" i="2" s="1"/>
  <c r="O639" i="2"/>
  <c r="P639" i="2" s="1"/>
  <c r="O392" i="2"/>
  <c r="P392" i="2" s="1"/>
  <c r="O192" i="2"/>
  <c r="P192" i="2" s="1"/>
  <c r="O193" i="2"/>
  <c r="P193" i="2" s="1"/>
  <c r="O194" i="2"/>
  <c r="P194" i="2" s="1"/>
  <c r="O195" i="2"/>
  <c r="P195" i="2" s="1"/>
  <c r="O196" i="2"/>
  <c r="P196" i="2" s="1"/>
  <c r="O197" i="2"/>
  <c r="P197" i="2" s="1"/>
  <c r="O198" i="2"/>
  <c r="P198" i="2" s="1"/>
  <c r="O45" i="2"/>
  <c r="P45" i="2" s="1"/>
  <c r="O933" i="2"/>
  <c r="P933" i="2" s="1"/>
  <c r="O201" i="2"/>
  <c r="P201" i="2" s="1"/>
  <c r="O202" i="2"/>
  <c r="P202" i="2" s="1"/>
  <c r="O203" i="2"/>
  <c r="P203" i="2" s="1"/>
  <c r="O204" i="2"/>
  <c r="P204" i="2" s="1"/>
  <c r="O205" i="2"/>
  <c r="P205" i="2" s="1"/>
  <c r="O206" i="2"/>
  <c r="P206" i="2" s="1"/>
  <c r="O207" i="2"/>
  <c r="P207" i="2" s="1"/>
  <c r="O208" i="2"/>
  <c r="P208" i="2" s="1"/>
  <c r="O209" i="2"/>
  <c r="P209" i="2" s="1"/>
  <c r="O83" i="2"/>
  <c r="P83" i="2" s="1"/>
  <c r="O211" i="2"/>
  <c r="P211" i="2" s="1"/>
  <c r="O212" i="2"/>
  <c r="P212" i="2" s="1"/>
  <c r="O213" i="2"/>
  <c r="P213" i="2" s="1"/>
  <c r="O214" i="2"/>
  <c r="P214" i="2" s="1"/>
  <c r="O215" i="2"/>
  <c r="P215" i="2" s="1"/>
  <c r="O640" i="2"/>
  <c r="P640" i="2" s="1"/>
  <c r="O217" i="2"/>
  <c r="P217" i="2" s="1"/>
  <c r="O218" i="2"/>
  <c r="P218" i="2" s="1"/>
  <c r="O219" i="2"/>
  <c r="P219" i="2" s="1"/>
  <c r="O934" i="2"/>
  <c r="P934" i="2" s="1"/>
  <c r="O1477" i="2"/>
  <c r="P1477" i="2" s="1"/>
  <c r="O222" i="2"/>
  <c r="P222" i="2" s="1"/>
  <c r="O941" i="2"/>
  <c r="P941" i="2" s="1"/>
  <c r="O224" i="2"/>
  <c r="P224" i="2" s="1"/>
  <c r="O225" i="2"/>
  <c r="P225" i="2" s="1"/>
  <c r="O226" i="2"/>
  <c r="P226" i="2" s="1"/>
  <c r="O227" i="2"/>
  <c r="P227" i="2" s="1"/>
  <c r="O228" i="2"/>
  <c r="P228" i="2" s="1"/>
  <c r="O1753" i="2"/>
  <c r="P1753" i="2" s="1"/>
  <c r="O230" i="2"/>
  <c r="P230" i="2" s="1"/>
  <c r="O1374" i="2"/>
  <c r="P1374" i="2" s="1"/>
  <c r="O232" i="2"/>
  <c r="P232" i="2" s="1"/>
  <c r="O130" i="2"/>
  <c r="P130" i="2" s="1"/>
  <c r="O234" i="2"/>
  <c r="P234" i="2" s="1"/>
  <c r="O1484" i="2"/>
  <c r="P1484" i="2" s="1"/>
  <c r="O236" i="2"/>
  <c r="P236" i="2" s="1"/>
  <c r="O237" i="2"/>
  <c r="P237" i="2" s="1"/>
  <c r="O238" i="2"/>
  <c r="P238" i="2" s="1"/>
  <c r="O239" i="2"/>
  <c r="P239" i="2" s="1"/>
  <c r="O240" i="2"/>
  <c r="P240" i="2" s="1"/>
  <c r="O241" i="2"/>
  <c r="P241" i="2" s="1"/>
  <c r="O242" i="2"/>
  <c r="P242" i="2" s="1"/>
  <c r="O190" i="2"/>
  <c r="P190" i="2" s="1"/>
  <c r="O244" i="2"/>
  <c r="P244" i="2" s="1"/>
  <c r="O245" i="2"/>
  <c r="P245" i="2" s="1"/>
  <c r="O246" i="2"/>
  <c r="P246" i="2" s="1"/>
  <c r="O1760" i="2"/>
  <c r="P1760" i="2" s="1"/>
  <c r="O248" i="2"/>
  <c r="P248" i="2" s="1"/>
  <c r="O249" i="2"/>
  <c r="P249" i="2" s="1"/>
  <c r="O250" i="2"/>
  <c r="P250" i="2" s="1"/>
  <c r="O251" i="2"/>
  <c r="P251" i="2" s="1"/>
  <c r="O252" i="2"/>
  <c r="P252" i="2" s="1"/>
  <c r="O253" i="2"/>
  <c r="P253" i="2" s="1"/>
  <c r="O254" i="2"/>
  <c r="P254" i="2" s="1"/>
  <c r="O942" i="2"/>
  <c r="P942" i="2" s="1"/>
  <c r="O256" i="2"/>
  <c r="P256" i="2" s="1"/>
  <c r="O257" i="2"/>
  <c r="P257" i="2" s="1"/>
  <c r="O1490" i="2"/>
  <c r="P1490" i="2" s="1"/>
  <c r="O259" i="2"/>
  <c r="P259" i="2" s="1"/>
  <c r="O260" i="2"/>
  <c r="P260" i="2" s="1"/>
  <c r="O191" i="2"/>
  <c r="P191" i="2" s="1"/>
  <c r="O262" i="2"/>
  <c r="P262" i="2" s="1"/>
  <c r="O263" i="2"/>
  <c r="P263" i="2" s="1"/>
  <c r="O264" i="2"/>
  <c r="P264" i="2" s="1"/>
  <c r="O950" i="2"/>
  <c r="P950" i="2" s="1"/>
  <c r="O266" i="2"/>
  <c r="P266" i="2" s="1"/>
  <c r="O267" i="2"/>
  <c r="P267" i="2" s="1"/>
  <c r="O268" i="2"/>
  <c r="P268" i="2" s="1"/>
  <c r="O641" i="2"/>
  <c r="P641" i="2" s="1"/>
  <c r="O270" i="2"/>
  <c r="P270" i="2" s="1"/>
  <c r="O271" i="2"/>
  <c r="P271" i="2" s="1"/>
  <c r="O99" i="2"/>
  <c r="P99" i="2" s="1"/>
  <c r="O273" i="2"/>
  <c r="P273" i="2" s="1"/>
  <c r="O960" i="2"/>
  <c r="P960" i="2" s="1"/>
  <c r="O275" i="2"/>
  <c r="P275" i="2" s="1"/>
  <c r="O276" i="2"/>
  <c r="P276" i="2" s="1"/>
  <c r="O277" i="2"/>
  <c r="P277" i="2" s="1"/>
  <c r="O278" i="2"/>
  <c r="P278" i="2" s="1"/>
  <c r="O279" i="2"/>
  <c r="P279" i="2" s="1"/>
  <c r="O74" i="2"/>
  <c r="P74" i="2" s="1"/>
  <c r="O281" i="2"/>
  <c r="P281" i="2" s="1"/>
  <c r="O282" i="2"/>
  <c r="P282" i="2" s="1"/>
  <c r="O283" i="2"/>
  <c r="P283" i="2" s="1"/>
  <c r="O284" i="2"/>
  <c r="P284" i="2" s="1"/>
  <c r="O285" i="2"/>
  <c r="P285" i="2" s="1"/>
  <c r="O286" i="2"/>
  <c r="P286" i="2" s="1"/>
  <c r="O101" i="2"/>
  <c r="P101" i="2" s="1"/>
  <c r="O288" i="2"/>
  <c r="P288" i="2" s="1"/>
  <c r="O967" i="2"/>
  <c r="P967" i="2" s="1"/>
  <c r="O290" i="2"/>
  <c r="P290" i="2" s="1"/>
  <c r="O291" i="2"/>
  <c r="P291" i="2" s="1"/>
  <c r="O292" i="2"/>
  <c r="P292" i="2" s="1"/>
  <c r="O293" i="2"/>
  <c r="P293" i="2" s="1"/>
  <c r="O294" i="2"/>
  <c r="P294" i="2" s="1"/>
  <c r="O1778" i="2"/>
  <c r="P1778" i="2" s="1"/>
  <c r="O296" i="2"/>
  <c r="P296" i="2" s="1"/>
  <c r="O297" i="2"/>
  <c r="P297" i="2" s="1"/>
  <c r="O972" i="2"/>
  <c r="P972" i="2" s="1"/>
  <c r="O299" i="2"/>
  <c r="P299" i="2" s="1"/>
  <c r="O300" i="2"/>
  <c r="P300" i="2" s="1"/>
  <c r="O301" i="2"/>
  <c r="P301" i="2" s="1"/>
  <c r="O302" i="2"/>
  <c r="P302" i="2" s="1"/>
  <c r="O303" i="2"/>
  <c r="P303" i="2" s="1"/>
  <c r="O1492" i="2"/>
  <c r="P1492" i="2" s="1"/>
  <c r="O305" i="2"/>
  <c r="P305" i="2" s="1"/>
  <c r="O306" i="2"/>
  <c r="P306" i="2" s="1"/>
  <c r="O235" i="2"/>
  <c r="P235" i="2" s="1"/>
  <c r="O308" i="2"/>
  <c r="P308" i="2" s="1"/>
  <c r="O309" i="2"/>
  <c r="P309" i="2" s="1"/>
  <c r="O310" i="2"/>
  <c r="P310" i="2" s="1"/>
  <c r="O311" i="2"/>
  <c r="P311" i="2" s="1"/>
  <c r="O312" i="2"/>
  <c r="P312" i="2" s="1"/>
  <c r="O313" i="2"/>
  <c r="P313" i="2" s="1"/>
  <c r="O314" i="2"/>
  <c r="P314" i="2" s="1"/>
  <c r="O315" i="2"/>
  <c r="P315" i="2" s="1"/>
  <c r="O316" i="2"/>
  <c r="P316" i="2" s="1"/>
  <c r="O317" i="2"/>
  <c r="P317" i="2" s="1"/>
  <c r="O318" i="2"/>
  <c r="P318" i="2" s="1"/>
  <c r="O319" i="2"/>
  <c r="P319" i="2" s="1"/>
  <c r="O320" i="2"/>
  <c r="P320" i="2" s="1"/>
  <c r="O321" i="2"/>
  <c r="P321" i="2" s="1"/>
  <c r="O322" i="2"/>
  <c r="P322" i="2" s="1"/>
  <c r="O323" i="2"/>
  <c r="P323" i="2" s="1"/>
  <c r="O324" i="2"/>
  <c r="P324" i="2" s="1"/>
  <c r="O325" i="2"/>
  <c r="P325" i="2" s="1"/>
  <c r="O326" i="2"/>
  <c r="P326" i="2" s="1"/>
  <c r="O327" i="2"/>
  <c r="P327" i="2" s="1"/>
  <c r="O328" i="2"/>
  <c r="P328" i="2" s="1"/>
  <c r="O329" i="2"/>
  <c r="P329" i="2" s="1"/>
  <c r="O330" i="2"/>
  <c r="P330" i="2" s="1"/>
  <c r="O331" i="2"/>
  <c r="P331" i="2" s="1"/>
  <c r="O332" i="2"/>
  <c r="P332" i="2" s="1"/>
  <c r="O333" i="2"/>
  <c r="P333" i="2" s="1"/>
  <c r="O334" i="2"/>
  <c r="P334" i="2" s="1"/>
  <c r="O335" i="2"/>
  <c r="P335" i="2" s="1"/>
  <c r="O336" i="2"/>
  <c r="P336" i="2" s="1"/>
  <c r="O337" i="2"/>
  <c r="P337" i="2" s="1"/>
  <c r="O338" i="2"/>
  <c r="P338" i="2" s="1"/>
  <c r="O243" i="2"/>
  <c r="P243" i="2" s="1"/>
  <c r="O340" i="2"/>
  <c r="P340" i="2" s="1"/>
  <c r="O973" i="2"/>
  <c r="P973" i="2" s="1"/>
  <c r="O981" i="2"/>
  <c r="P981" i="2" s="1"/>
  <c r="O343" i="2"/>
  <c r="P343" i="2" s="1"/>
  <c r="O344" i="2"/>
  <c r="P344" i="2" s="1"/>
  <c r="O345" i="2"/>
  <c r="P345" i="2" s="1"/>
  <c r="O346" i="2"/>
  <c r="P346" i="2" s="1"/>
  <c r="O347" i="2"/>
  <c r="P347" i="2" s="1"/>
  <c r="O348" i="2"/>
  <c r="P348" i="2" s="1"/>
  <c r="O349" i="2"/>
  <c r="P349" i="2" s="1"/>
  <c r="O350" i="2"/>
  <c r="P350" i="2" s="1"/>
  <c r="O199" i="2"/>
  <c r="P199" i="2" s="1"/>
  <c r="O352" i="2"/>
  <c r="P352" i="2" s="1"/>
  <c r="O353" i="2"/>
  <c r="P353" i="2" s="1"/>
  <c r="O393" i="2"/>
  <c r="P393" i="2" s="1"/>
  <c r="O355" i="2"/>
  <c r="P355" i="2" s="1"/>
  <c r="O356" i="2"/>
  <c r="P356" i="2" s="1"/>
  <c r="O357" i="2"/>
  <c r="P357" i="2" s="1"/>
  <c r="O358" i="2"/>
  <c r="P358" i="2" s="1"/>
  <c r="O1794" i="2"/>
  <c r="P1794" i="2" s="1"/>
  <c r="O360" i="2"/>
  <c r="P360" i="2" s="1"/>
  <c r="O642" i="2"/>
  <c r="P642" i="2" s="1"/>
  <c r="O983" i="2"/>
  <c r="P983" i="2" s="1"/>
  <c r="O363" i="2"/>
  <c r="P363" i="2" s="1"/>
  <c r="O364" i="2"/>
  <c r="P364" i="2" s="1"/>
  <c r="O365" i="2"/>
  <c r="P365" i="2" s="1"/>
  <c r="O997" i="2"/>
  <c r="P997" i="2" s="1"/>
  <c r="O138" i="2"/>
  <c r="P138" i="2" s="1"/>
  <c r="O368" i="2"/>
  <c r="P368" i="2" s="1"/>
  <c r="O369" i="2"/>
  <c r="P369" i="2" s="1"/>
  <c r="O647" i="2"/>
  <c r="P647" i="2" s="1"/>
  <c r="O371" i="2"/>
  <c r="P371" i="2" s="1"/>
  <c r="O372" i="2"/>
  <c r="P372" i="2" s="1"/>
  <c r="O373" i="2"/>
  <c r="P373" i="2" s="1"/>
  <c r="O650" i="2"/>
  <c r="P650" i="2" s="1"/>
  <c r="O375" i="2"/>
  <c r="P375" i="2" s="1"/>
  <c r="O376" i="2"/>
  <c r="P376" i="2" s="1"/>
  <c r="O377" i="2"/>
  <c r="P377" i="2" s="1"/>
  <c r="O378" i="2"/>
  <c r="P378" i="2" s="1"/>
  <c r="O379" i="2"/>
  <c r="P379" i="2" s="1"/>
  <c r="O397" i="2"/>
  <c r="P397" i="2" s="1"/>
  <c r="O1378" i="2"/>
  <c r="P1378" i="2" s="1"/>
  <c r="O382" i="2"/>
  <c r="P382" i="2" s="1"/>
  <c r="O1500" i="2"/>
  <c r="P1500" i="2" s="1"/>
  <c r="O1383" i="2"/>
  <c r="P1383" i="2" s="1"/>
  <c r="O385" i="2"/>
  <c r="P385" i="2" s="1"/>
  <c r="O386" i="2"/>
  <c r="P386" i="2" s="1"/>
  <c r="O387" i="2"/>
  <c r="P387" i="2" s="1"/>
  <c r="O654" i="2"/>
  <c r="P654" i="2" s="1"/>
  <c r="O389" i="2"/>
  <c r="P389" i="2" s="1"/>
  <c r="O390" i="2"/>
  <c r="P390" i="2" s="1"/>
  <c r="O391" i="2"/>
  <c r="P391" i="2" s="1"/>
  <c r="O1800" i="2"/>
  <c r="P1800" i="2" s="1"/>
  <c r="O1804" i="2"/>
  <c r="P1804" i="2" s="1"/>
  <c r="O394" i="2"/>
  <c r="P394" i="2" s="1"/>
  <c r="O395" i="2"/>
  <c r="P395" i="2" s="1"/>
  <c r="O396" i="2"/>
  <c r="P396" i="2" s="1"/>
  <c r="O398" i="2"/>
  <c r="P398" i="2" s="1"/>
  <c r="O1806" i="2"/>
  <c r="P1806" i="2" s="1"/>
  <c r="O399" i="2"/>
  <c r="P399" i="2" s="1"/>
  <c r="O400" i="2"/>
  <c r="P400" i="2" s="1"/>
  <c r="O401" i="2"/>
  <c r="P401" i="2" s="1"/>
  <c r="O402" i="2"/>
  <c r="P402" i="2" s="1"/>
  <c r="O403" i="2"/>
  <c r="P403" i="2" s="1"/>
  <c r="O404" i="2"/>
  <c r="P404" i="2" s="1"/>
  <c r="O405" i="2"/>
  <c r="P405" i="2" s="1"/>
  <c r="O406" i="2"/>
  <c r="P406" i="2" s="1"/>
  <c r="O407" i="2"/>
  <c r="P407" i="2" s="1"/>
  <c r="O408" i="2"/>
  <c r="P408" i="2" s="1"/>
  <c r="O409" i="2"/>
  <c r="P409" i="2" s="1"/>
  <c r="O410" i="2"/>
  <c r="P410" i="2" s="1"/>
  <c r="O86" i="2"/>
  <c r="P86" i="2" s="1"/>
  <c r="O412" i="2"/>
  <c r="P412" i="2" s="1"/>
  <c r="O413" i="2"/>
  <c r="P413" i="2" s="1"/>
  <c r="O1726" i="2"/>
  <c r="P1726" i="2" s="1"/>
  <c r="O415" i="2"/>
  <c r="P415" i="2" s="1"/>
  <c r="O416" i="2"/>
  <c r="P416" i="2" s="1"/>
  <c r="O417" i="2"/>
  <c r="P417" i="2" s="1"/>
  <c r="O90" i="2"/>
  <c r="P90" i="2" s="1"/>
  <c r="O419" i="2"/>
  <c r="P419" i="2" s="1"/>
  <c r="O420" i="2"/>
  <c r="P420" i="2" s="1"/>
  <c r="O1807" i="2"/>
  <c r="P1807" i="2" s="1"/>
  <c r="O411" i="2"/>
  <c r="P411" i="2" s="1"/>
  <c r="O423" i="2"/>
  <c r="P423" i="2" s="1"/>
  <c r="O424" i="2"/>
  <c r="P424" i="2" s="1"/>
  <c r="O425" i="2"/>
  <c r="P425" i="2" s="1"/>
  <c r="O426" i="2"/>
  <c r="P426" i="2" s="1"/>
  <c r="O427" i="2"/>
  <c r="P427" i="2" s="1"/>
  <c r="O428" i="2"/>
  <c r="P428" i="2" s="1"/>
  <c r="O429" i="2"/>
  <c r="P429" i="2" s="1"/>
  <c r="O430" i="2"/>
  <c r="P430" i="2" s="1"/>
  <c r="O431" i="2"/>
  <c r="P431" i="2" s="1"/>
  <c r="O432" i="2"/>
  <c r="P432" i="2" s="1"/>
  <c r="O1001" i="2"/>
  <c r="P1001" i="2" s="1"/>
  <c r="O434" i="2"/>
  <c r="P434" i="2" s="1"/>
  <c r="O435" i="2"/>
  <c r="P435" i="2" s="1"/>
  <c r="O436" i="2"/>
  <c r="P436" i="2" s="1"/>
  <c r="O437" i="2"/>
  <c r="P437" i="2" s="1"/>
  <c r="O438" i="2"/>
  <c r="P438" i="2" s="1"/>
  <c r="O439" i="2"/>
  <c r="P439" i="2" s="1"/>
  <c r="O440" i="2"/>
  <c r="P440" i="2" s="1"/>
  <c r="O124" i="2"/>
  <c r="P124" i="2" s="1"/>
  <c r="O442" i="2"/>
  <c r="P442" i="2" s="1"/>
  <c r="O443" i="2"/>
  <c r="P443" i="2" s="1"/>
  <c r="O444" i="2"/>
  <c r="P444" i="2" s="1"/>
  <c r="O445" i="2"/>
  <c r="P445" i="2" s="1"/>
  <c r="O247" i="2"/>
  <c r="P247" i="2" s="1"/>
  <c r="O1501" i="2"/>
  <c r="P1501" i="2" s="1"/>
  <c r="O448" i="2"/>
  <c r="P448" i="2" s="1"/>
  <c r="O449" i="2"/>
  <c r="P449" i="2" s="1"/>
  <c r="O450" i="2"/>
  <c r="P450" i="2" s="1"/>
  <c r="O451" i="2"/>
  <c r="P451" i="2" s="1"/>
  <c r="O452" i="2"/>
  <c r="P452" i="2" s="1"/>
  <c r="O453" i="2"/>
  <c r="P453" i="2" s="1"/>
  <c r="O454" i="2"/>
  <c r="P454" i="2" s="1"/>
  <c r="O455" i="2"/>
  <c r="P455" i="2" s="1"/>
  <c r="O456" i="2"/>
  <c r="P456" i="2" s="1"/>
  <c r="O457" i="2"/>
  <c r="P457" i="2" s="1"/>
  <c r="O458" i="2"/>
  <c r="P458" i="2" s="1"/>
  <c r="O459" i="2"/>
  <c r="P459" i="2" s="1"/>
  <c r="O460" i="2"/>
  <c r="P460" i="2" s="1"/>
  <c r="O461" i="2"/>
  <c r="P461" i="2" s="1"/>
  <c r="O462" i="2"/>
  <c r="P462" i="2" s="1"/>
  <c r="O657" i="2"/>
  <c r="P657" i="2" s="1"/>
  <c r="O1810" i="2"/>
  <c r="P1810" i="2" s="1"/>
  <c r="O465" i="2"/>
  <c r="P465" i="2" s="1"/>
  <c r="O466" i="2"/>
  <c r="P466" i="2" s="1"/>
  <c r="O467" i="2"/>
  <c r="P467" i="2" s="1"/>
  <c r="O468" i="2"/>
  <c r="P468" i="2" s="1"/>
  <c r="O469" i="2"/>
  <c r="P469" i="2" s="1"/>
  <c r="O470" i="2"/>
  <c r="P470" i="2" s="1"/>
  <c r="O471" i="2"/>
  <c r="P471" i="2" s="1"/>
  <c r="O472" i="2"/>
  <c r="P472" i="2" s="1"/>
  <c r="O473" i="2"/>
  <c r="P473" i="2" s="1"/>
  <c r="O474" i="2"/>
  <c r="P474" i="2" s="1"/>
  <c r="O1006" i="2"/>
  <c r="P1006" i="2" s="1"/>
  <c r="O476" i="2"/>
  <c r="P476" i="2" s="1"/>
  <c r="O477" i="2"/>
  <c r="P477" i="2" s="1"/>
  <c r="O478" i="2"/>
  <c r="P478" i="2" s="1"/>
  <c r="O479" i="2"/>
  <c r="P479" i="2" s="1"/>
  <c r="O1008" i="2"/>
  <c r="P1008" i="2" s="1"/>
  <c r="O481" i="2"/>
  <c r="P481" i="2" s="1"/>
  <c r="O482" i="2"/>
  <c r="P482" i="2" s="1"/>
  <c r="O483" i="2"/>
  <c r="P483" i="2" s="1"/>
  <c r="O484" i="2"/>
  <c r="P484" i="2" s="1"/>
  <c r="O485" i="2"/>
  <c r="P485" i="2" s="1"/>
  <c r="O486" i="2"/>
  <c r="P486" i="2" s="1"/>
  <c r="O1013" i="2"/>
  <c r="P1013" i="2" s="1"/>
  <c r="O488" i="2"/>
  <c r="P488" i="2" s="1"/>
  <c r="O489" i="2"/>
  <c r="P489" i="2" s="1"/>
  <c r="O490" i="2"/>
  <c r="P490" i="2" s="1"/>
  <c r="O491" i="2"/>
  <c r="P491" i="2" s="1"/>
  <c r="O1016" i="2"/>
  <c r="P1016" i="2" s="1"/>
  <c r="O493" i="2"/>
  <c r="P493" i="2" s="1"/>
  <c r="O494" i="2"/>
  <c r="P494" i="2" s="1"/>
  <c r="O495" i="2"/>
  <c r="P495" i="2" s="1"/>
  <c r="O496" i="2"/>
  <c r="P496" i="2" s="1"/>
  <c r="O497" i="2"/>
  <c r="P497" i="2" s="1"/>
  <c r="O498" i="2"/>
  <c r="P498" i="2" s="1"/>
  <c r="O499" i="2"/>
  <c r="P499" i="2" s="1"/>
  <c r="O500" i="2"/>
  <c r="P500" i="2" s="1"/>
  <c r="O501" i="2"/>
  <c r="P501" i="2" s="1"/>
  <c r="O502" i="2"/>
  <c r="P502" i="2" s="1"/>
  <c r="O503" i="2"/>
  <c r="P503" i="2" s="1"/>
  <c r="O504" i="2"/>
  <c r="P504" i="2" s="1"/>
  <c r="O505" i="2"/>
  <c r="P505" i="2" s="1"/>
  <c r="O506" i="2"/>
  <c r="P506" i="2" s="1"/>
  <c r="O507" i="2"/>
  <c r="P507" i="2" s="1"/>
  <c r="O508" i="2"/>
  <c r="P508" i="2" s="1"/>
  <c r="O509" i="2"/>
  <c r="P509" i="2" s="1"/>
  <c r="O1503" i="2"/>
  <c r="P1503" i="2" s="1"/>
  <c r="O663" i="2"/>
  <c r="P663" i="2" s="1"/>
  <c r="O512" i="2"/>
  <c r="P512" i="2" s="1"/>
  <c r="O513" i="2"/>
  <c r="P513" i="2" s="1"/>
  <c r="O514" i="2"/>
  <c r="P514" i="2" s="1"/>
  <c r="O143" i="2"/>
  <c r="P143" i="2" s="1"/>
  <c r="O516" i="2"/>
  <c r="P516" i="2" s="1"/>
  <c r="O1515" i="2"/>
  <c r="P1515" i="2" s="1"/>
  <c r="O518" i="2"/>
  <c r="P518" i="2" s="1"/>
  <c r="O519" i="2"/>
  <c r="P519" i="2" s="1"/>
  <c r="O520" i="2"/>
  <c r="P520" i="2" s="1"/>
  <c r="O521" i="2"/>
  <c r="P521" i="2" s="1"/>
  <c r="O522" i="2"/>
  <c r="P522" i="2" s="1"/>
  <c r="O523" i="2"/>
  <c r="P523" i="2" s="1"/>
  <c r="O524" i="2"/>
  <c r="P524" i="2" s="1"/>
  <c r="O525" i="2"/>
  <c r="P525" i="2" s="1"/>
  <c r="O665" i="2"/>
  <c r="P665" i="2" s="1"/>
  <c r="O527" i="2"/>
  <c r="P527" i="2" s="1"/>
  <c r="O528" i="2"/>
  <c r="P528" i="2" s="1"/>
  <c r="O529" i="2"/>
  <c r="P529" i="2" s="1"/>
  <c r="O530" i="2"/>
  <c r="P530" i="2" s="1"/>
  <c r="O148" i="2"/>
  <c r="P148" i="2" s="1"/>
  <c r="O532" i="2"/>
  <c r="P532" i="2" s="1"/>
  <c r="O533" i="2"/>
  <c r="P533" i="2" s="1"/>
  <c r="O534" i="2"/>
  <c r="P534" i="2" s="1"/>
  <c r="O535" i="2"/>
  <c r="P535" i="2" s="1"/>
  <c r="O414" i="2"/>
  <c r="P414" i="2" s="1"/>
  <c r="O537" i="2"/>
  <c r="P537" i="2" s="1"/>
  <c r="O1019" i="2"/>
  <c r="P1019" i="2" s="1"/>
  <c r="O539" i="2"/>
  <c r="P539" i="2" s="1"/>
  <c r="O1023" i="2"/>
  <c r="P1023" i="2" s="1"/>
  <c r="O541" i="2"/>
  <c r="P541" i="2" s="1"/>
  <c r="O542" i="2"/>
  <c r="P542" i="2" s="1"/>
  <c r="O1520" i="2"/>
  <c r="P1520" i="2" s="1"/>
  <c r="O544" i="2"/>
  <c r="P544" i="2" s="1"/>
  <c r="O545" i="2"/>
  <c r="P545" i="2" s="1"/>
  <c r="O546" i="2"/>
  <c r="P546" i="2" s="1"/>
  <c r="O547" i="2"/>
  <c r="P547" i="2" s="1"/>
  <c r="O548" i="2"/>
  <c r="P548" i="2" s="1"/>
  <c r="O549" i="2"/>
  <c r="P549" i="2" s="1"/>
  <c r="O550" i="2"/>
  <c r="P550" i="2" s="1"/>
  <c r="O551" i="2"/>
  <c r="P551" i="2" s="1"/>
  <c r="O552" i="2"/>
  <c r="P552" i="2" s="1"/>
  <c r="O553" i="2"/>
  <c r="P553" i="2" s="1"/>
  <c r="O126" i="2"/>
  <c r="P126" i="2" s="1"/>
  <c r="O555" i="2"/>
  <c r="P555" i="2" s="1"/>
  <c r="O1028" i="2"/>
  <c r="P1028" i="2" s="1"/>
  <c r="O1030" i="2"/>
  <c r="P1030" i="2" s="1"/>
  <c r="O558" i="2"/>
  <c r="P558" i="2" s="1"/>
  <c r="O559" i="2"/>
  <c r="P559" i="2" s="1"/>
  <c r="O560" i="2"/>
  <c r="P560" i="2" s="1"/>
  <c r="O561" i="2"/>
  <c r="P561" i="2" s="1"/>
  <c r="O562" i="2"/>
  <c r="P562" i="2" s="1"/>
  <c r="O563" i="2"/>
  <c r="P563" i="2" s="1"/>
  <c r="O564" i="2"/>
  <c r="P564" i="2" s="1"/>
  <c r="O565" i="2"/>
  <c r="P565" i="2" s="1"/>
  <c r="O566" i="2"/>
  <c r="P566" i="2" s="1"/>
  <c r="O567" i="2"/>
  <c r="P567" i="2" s="1"/>
  <c r="O568" i="2"/>
  <c r="P568" i="2" s="1"/>
  <c r="O569" i="2"/>
  <c r="P569" i="2" s="1"/>
  <c r="O570" i="2"/>
  <c r="P570" i="2" s="1"/>
  <c r="O1386" i="2"/>
  <c r="P1386" i="2" s="1"/>
  <c r="O572" i="2"/>
  <c r="P572" i="2" s="1"/>
  <c r="O573" i="2"/>
  <c r="P573" i="2" s="1"/>
  <c r="O574" i="2"/>
  <c r="P574" i="2" s="1"/>
  <c r="O575" i="2"/>
  <c r="P575" i="2" s="1"/>
  <c r="O576" i="2"/>
  <c r="P576" i="2" s="1"/>
  <c r="O1034" i="2"/>
  <c r="P1034" i="2" s="1"/>
  <c r="O578" i="2"/>
  <c r="P578" i="2" s="1"/>
  <c r="O579" i="2"/>
  <c r="P579" i="2" s="1"/>
  <c r="O580" i="2"/>
  <c r="P580" i="2" s="1"/>
  <c r="O581" i="2"/>
  <c r="P581" i="2" s="1"/>
  <c r="O582" i="2"/>
  <c r="P582" i="2" s="1"/>
  <c r="O46" i="2"/>
  <c r="P46" i="2" s="1"/>
  <c r="O584" i="2"/>
  <c r="P584" i="2" s="1"/>
  <c r="O255" i="2"/>
  <c r="P255" i="2" s="1"/>
  <c r="O586" i="2"/>
  <c r="P586" i="2" s="1"/>
  <c r="O587" i="2"/>
  <c r="P587" i="2" s="1"/>
  <c r="O588" i="2"/>
  <c r="P588" i="2" s="1"/>
  <c r="O1035" i="2"/>
  <c r="P1035" i="2" s="1"/>
  <c r="O590" i="2"/>
  <c r="P590" i="2" s="1"/>
  <c r="O1039" i="2"/>
  <c r="P1039" i="2" s="1"/>
  <c r="O592" i="2"/>
  <c r="P592" i="2" s="1"/>
  <c r="O674" i="2"/>
  <c r="P674" i="2" s="1"/>
  <c r="O258" i="2"/>
  <c r="P258" i="2" s="1"/>
  <c r="O595" i="2"/>
  <c r="P595" i="2" s="1"/>
  <c r="O596" i="2"/>
  <c r="P596" i="2" s="1"/>
  <c r="O597" i="2"/>
  <c r="P597" i="2" s="1"/>
  <c r="O598" i="2"/>
  <c r="P598" i="2" s="1"/>
  <c r="O599" i="2"/>
  <c r="P599" i="2" s="1"/>
  <c r="O600" i="2"/>
  <c r="P600" i="2" s="1"/>
  <c r="O601" i="2"/>
  <c r="P601" i="2" s="1"/>
  <c r="O418" i="2"/>
  <c r="P418" i="2" s="1"/>
  <c r="O603" i="2"/>
  <c r="P603" i="2" s="1"/>
  <c r="O604" i="2"/>
  <c r="P604" i="2" s="1"/>
  <c r="O1043" i="2"/>
  <c r="P1043" i="2" s="1"/>
  <c r="O1533" i="2"/>
  <c r="P1533" i="2" s="1"/>
  <c r="O607" i="2"/>
  <c r="P607" i="2" s="1"/>
  <c r="O1048" i="2"/>
  <c r="P1048" i="2" s="1"/>
  <c r="O609" i="2"/>
  <c r="P609" i="2" s="1"/>
  <c r="O610" i="2"/>
  <c r="P610" i="2" s="1"/>
  <c r="O1538" i="2"/>
  <c r="P1538" i="2" s="1"/>
  <c r="O612" i="2"/>
  <c r="P612" i="2" s="1"/>
  <c r="O613" i="2"/>
  <c r="P613" i="2" s="1"/>
  <c r="O614" i="2"/>
  <c r="P614" i="2" s="1"/>
  <c r="O615" i="2"/>
  <c r="P615" i="2" s="1"/>
  <c r="O616" i="2"/>
  <c r="P616" i="2" s="1"/>
  <c r="O617" i="2"/>
  <c r="P617" i="2" s="1"/>
  <c r="O618" i="2"/>
  <c r="P618" i="2" s="1"/>
  <c r="O619" i="2"/>
  <c r="P619" i="2" s="1"/>
  <c r="O620" i="2"/>
  <c r="P620" i="2" s="1"/>
  <c r="O621" i="2"/>
  <c r="P621" i="2" s="1"/>
  <c r="O622" i="2"/>
  <c r="P622" i="2" s="1"/>
  <c r="O623" i="2"/>
  <c r="P623" i="2" s="1"/>
  <c r="O1817" i="2"/>
  <c r="P1817" i="2" s="1"/>
  <c r="O625" i="2"/>
  <c r="P625" i="2" s="1"/>
  <c r="O626" i="2"/>
  <c r="P626" i="2" s="1"/>
  <c r="O627" i="2"/>
  <c r="P627" i="2" s="1"/>
  <c r="O628" i="2"/>
  <c r="P628" i="2" s="1"/>
  <c r="O629" i="2"/>
  <c r="P629" i="2" s="1"/>
  <c r="O200" i="2"/>
  <c r="P200" i="2" s="1"/>
  <c r="O631" i="2"/>
  <c r="P631" i="2" s="1"/>
  <c r="O632" i="2"/>
  <c r="P632" i="2" s="1"/>
  <c r="O633" i="2"/>
  <c r="P633" i="2" s="1"/>
  <c r="O634" i="2"/>
  <c r="P634" i="2" s="1"/>
  <c r="O635" i="2"/>
  <c r="P635" i="2" s="1"/>
  <c r="O636" i="2"/>
  <c r="P636" i="2" s="1"/>
  <c r="O637" i="2"/>
  <c r="P637" i="2" s="1"/>
  <c r="O638" i="2"/>
  <c r="P638" i="2" s="1"/>
  <c r="O1541" i="2"/>
  <c r="P1541" i="2" s="1"/>
  <c r="O1389" i="2"/>
  <c r="P1389" i="2" s="1"/>
  <c r="O1547" i="2"/>
  <c r="P1547" i="2" s="1"/>
  <c r="O1049" i="2"/>
  <c r="P1049" i="2" s="1"/>
  <c r="O643" i="2"/>
  <c r="P643" i="2" s="1"/>
  <c r="O644" i="2"/>
  <c r="P644" i="2" s="1"/>
  <c r="O645" i="2"/>
  <c r="P645" i="2" s="1"/>
  <c r="O646" i="2"/>
  <c r="P646" i="2" s="1"/>
  <c r="O1392" i="2"/>
  <c r="P1392" i="2" s="1"/>
  <c r="O648" i="2"/>
  <c r="P648" i="2" s="1"/>
  <c r="O649" i="2"/>
  <c r="P649" i="2" s="1"/>
  <c r="O1050" i="2"/>
  <c r="P1050" i="2" s="1"/>
  <c r="O651" i="2"/>
  <c r="P651" i="2" s="1"/>
  <c r="O652" i="2"/>
  <c r="P652" i="2" s="1"/>
  <c r="O653" i="2"/>
  <c r="P653" i="2" s="1"/>
  <c r="O261" i="2"/>
  <c r="P261" i="2" s="1"/>
  <c r="O655" i="2"/>
  <c r="P655" i="2" s="1"/>
  <c r="O656" i="2"/>
  <c r="P656" i="2" s="1"/>
  <c r="O1819" i="2"/>
  <c r="P1819" i="2" s="1"/>
  <c r="O658" i="2"/>
  <c r="P658" i="2" s="1"/>
  <c r="O659" i="2"/>
  <c r="P659" i="2" s="1"/>
  <c r="O660" i="2"/>
  <c r="P660" i="2" s="1"/>
  <c r="O661" i="2"/>
  <c r="P661" i="2" s="1"/>
  <c r="O662" i="2"/>
  <c r="P662" i="2" s="1"/>
  <c r="O1558" i="2"/>
  <c r="P1558" i="2" s="1"/>
  <c r="O664" i="2"/>
  <c r="P664" i="2" s="1"/>
  <c r="O1052" i="2"/>
  <c r="P1052" i="2" s="1"/>
  <c r="O666" i="2"/>
  <c r="P666" i="2" s="1"/>
  <c r="O667" i="2"/>
  <c r="P667" i="2" s="1"/>
  <c r="O668" i="2"/>
  <c r="P668" i="2" s="1"/>
  <c r="O669" i="2"/>
  <c r="P669" i="2" s="1"/>
  <c r="O670" i="2"/>
  <c r="P670" i="2" s="1"/>
  <c r="O671" i="2"/>
  <c r="P671" i="2" s="1"/>
  <c r="O672" i="2"/>
  <c r="P672" i="2" s="1"/>
  <c r="O673" i="2"/>
  <c r="P673" i="2" s="1"/>
  <c r="O421" i="2"/>
  <c r="P421" i="2" s="1"/>
  <c r="O675" i="2"/>
  <c r="P675" i="2" s="1"/>
  <c r="O676" i="2"/>
  <c r="P676" i="2" s="1"/>
  <c r="O677" i="2"/>
  <c r="P677" i="2" s="1"/>
  <c r="O1053" i="2"/>
  <c r="P1053" i="2" s="1"/>
  <c r="O679" i="2"/>
  <c r="P679" i="2" s="1"/>
  <c r="O680" i="2"/>
  <c r="P680" i="2" s="1"/>
  <c r="O681" i="2"/>
  <c r="P681" i="2" s="1"/>
  <c r="O682" i="2"/>
  <c r="P682" i="2" s="1"/>
  <c r="O678" i="2"/>
  <c r="P678" i="2" s="1"/>
  <c r="O684" i="2"/>
  <c r="P684" i="2" s="1"/>
  <c r="O685" i="2"/>
  <c r="P685" i="2" s="1"/>
  <c r="O686" i="2"/>
  <c r="P686" i="2" s="1"/>
  <c r="O1058" i="2"/>
  <c r="P1058" i="2" s="1"/>
  <c r="O688" i="2"/>
  <c r="P688" i="2" s="1"/>
  <c r="O689" i="2"/>
  <c r="P689" i="2" s="1"/>
  <c r="O690" i="2"/>
  <c r="P690" i="2" s="1"/>
  <c r="O691" i="2"/>
  <c r="P691" i="2" s="1"/>
  <c r="O692" i="2"/>
  <c r="P692" i="2" s="1"/>
  <c r="O683" i="2"/>
  <c r="P683" i="2" s="1"/>
  <c r="O694" i="2"/>
  <c r="P694" i="2" s="1"/>
  <c r="O695" i="2"/>
  <c r="P695" i="2" s="1"/>
  <c r="O696" i="2"/>
  <c r="P696" i="2" s="1"/>
  <c r="O697" i="2"/>
  <c r="P697" i="2" s="1"/>
  <c r="O698" i="2"/>
  <c r="P698" i="2" s="1"/>
  <c r="O1398" i="2"/>
  <c r="P1398" i="2" s="1"/>
  <c r="O700" i="2"/>
  <c r="P700" i="2" s="1"/>
  <c r="O701" i="2"/>
  <c r="P701" i="2" s="1"/>
  <c r="O1060" i="2"/>
  <c r="P1060" i="2" s="1"/>
  <c r="O703" i="2"/>
  <c r="P703" i="2" s="1"/>
  <c r="O210" i="2"/>
  <c r="P210" i="2" s="1"/>
  <c r="O705" i="2"/>
  <c r="P705" i="2" s="1"/>
  <c r="O687" i="2"/>
  <c r="P687" i="2" s="1"/>
  <c r="O707" i="2"/>
  <c r="P707" i="2" s="1"/>
  <c r="O1408" i="2"/>
  <c r="P1408" i="2" s="1"/>
  <c r="O709" i="2"/>
  <c r="P709" i="2" s="1"/>
  <c r="O710" i="2"/>
  <c r="P710" i="2" s="1"/>
  <c r="O711" i="2"/>
  <c r="P711" i="2" s="1"/>
  <c r="O712" i="2"/>
  <c r="P712" i="2" s="1"/>
  <c r="O1820" i="2"/>
  <c r="P1820" i="2" s="1"/>
  <c r="O714" i="2"/>
  <c r="P714" i="2" s="1"/>
  <c r="O715" i="2"/>
  <c r="P715" i="2" s="1"/>
  <c r="O716" i="2"/>
  <c r="P716" i="2" s="1"/>
  <c r="O1066" i="2"/>
  <c r="P1066" i="2" s="1"/>
  <c r="O718" i="2"/>
  <c r="P718" i="2" s="1"/>
  <c r="O719" i="2"/>
  <c r="P719" i="2" s="1"/>
  <c r="O720" i="2"/>
  <c r="P720" i="2" s="1"/>
  <c r="O721" i="2"/>
  <c r="P721" i="2" s="1"/>
  <c r="O722" i="2"/>
  <c r="P722" i="2" s="1"/>
  <c r="O1559" i="2"/>
  <c r="P1559" i="2" s="1"/>
  <c r="O724" i="2"/>
  <c r="P724" i="2" s="1"/>
  <c r="O725" i="2"/>
  <c r="P725" i="2" s="1"/>
  <c r="O726" i="2"/>
  <c r="P726" i="2" s="1"/>
  <c r="O727" i="2"/>
  <c r="P727" i="2" s="1"/>
  <c r="O1823" i="2"/>
  <c r="P1823" i="2" s="1"/>
  <c r="O729" i="2"/>
  <c r="P729" i="2" s="1"/>
  <c r="O730" i="2"/>
  <c r="P730" i="2" s="1"/>
  <c r="O731" i="2"/>
  <c r="P731" i="2" s="1"/>
  <c r="O1836" i="2"/>
  <c r="P1836" i="2" s="1"/>
  <c r="O733" i="2"/>
  <c r="P733" i="2" s="1"/>
  <c r="O1409" i="2"/>
  <c r="P1409" i="2" s="1"/>
  <c r="O735" i="2"/>
  <c r="P735" i="2" s="1"/>
  <c r="O736" i="2"/>
  <c r="P736" i="2" s="1"/>
  <c r="O737" i="2"/>
  <c r="P737" i="2" s="1"/>
  <c r="O738" i="2"/>
  <c r="P738" i="2" s="1"/>
  <c r="O1412" i="2"/>
  <c r="P1412" i="2" s="1"/>
  <c r="O1069" i="2"/>
  <c r="P1069" i="2" s="1"/>
  <c r="O1071" i="2"/>
  <c r="P1071" i="2" s="1"/>
  <c r="O693" i="2"/>
  <c r="P693" i="2" s="1"/>
  <c r="O699" i="2"/>
  <c r="P699" i="2" s="1"/>
  <c r="O744" i="2"/>
  <c r="P744" i="2" s="1"/>
  <c r="O745" i="2"/>
  <c r="P745" i="2" s="1"/>
  <c r="O746" i="2"/>
  <c r="P746" i="2" s="1"/>
  <c r="O747" i="2"/>
  <c r="P747" i="2" s="1"/>
  <c r="O748" i="2"/>
  <c r="P748" i="2" s="1"/>
  <c r="O1560" i="2"/>
  <c r="P1560" i="2" s="1"/>
  <c r="O13" i="2"/>
  <c r="P13" i="2" s="1"/>
  <c r="O751" i="2"/>
  <c r="P751" i="2" s="1"/>
  <c r="O702" i="2"/>
  <c r="P702" i="2" s="1"/>
  <c r="O753" i="2"/>
  <c r="P753" i="2" s="1"/>
  <c r="O754" i="2"/>
  <c r="P754" i="2" s="1"/>
  <c r="O755" i="2"/>
  <c r="P755" i="2" s="1"/>
  <c r="O756" i="2"/>
  <c r="P756" i="2" s="1"/>
  <c r="O757" i="2"/>
  <c r="P757" i="2" s="1"/>
  <c r="O758" i="2"/>
  <c r="P758" i="2" s="1"/>
  <c r="O759" i="2"/>
  <c r="P759" i="2" s="1"/>
  <c r="O1072" i="2"/>
  <c r="P1072" i="2" s="1"/>
  <c r="O761" i="2"/>
  <c r="P761" i="2" s="1"/>
  <c r="O762" i="2"/>
  <c r="P762" i="2" s="1"/>
  <c r="O763" i="2"/>
  <c r="P763" i="2" s="1"/>
  <c r="O764" i="2"/>
  <c r="P764" i="2" s="1"/>
  <c r="O765" i="2"/>
  <c r="P765" i="2" s="1"/>
  <c r="O766" i="2"/>
  <c r="P766" i="2" s="1"/>
  <c r="O767" i="2"/>
  <c r="P767" i="2" s="1"/>
  <c r="O768" i="2"/>
  <c r="P768" i="2" s="1"/>
  <c r="O265" i="2"/>
  <c r="P265" i="2" s="1"/>
  <c r="O770" i="2"/>
  <c r="P770" i="2" s="1"/>
  <c r="O771" i="2"/>
  <c r="P771" i="2" s="1"/>
  <c r="O772" i="2"/>
  <c r="P772" i="2" s="1"/>
  <c r="O773" i="2"/>
  <c r="P773" i="2" s="1"/>
  <c r="O774" i="2"/>
  <c r="P774" i="2" s="1"/>
  <c r="O775" i="2"/>
  <c r="P775" i="2" s="1"/>
  <c r="O776" i="2"/>
  <c r="P776" i="2" s="1"/>
  <c r="O777" i="2"/>
  <c r="P777" i="2" s="1"/>
  <c r="O778" i="2"/>
  <c r="P778" i="2" s="1"/>
  <c r="O779" i="2"/>
  <c r="P779" i="2" s="1"/>
  <c r="O780" i="2"/>
  <c r="P780" i="2" s="1"/>
  <c r="O781" i="2"/>
  <c r="P781" i="2" s="1"/>
  <c r="O782" i="2"/>
  <c r="P782" i="2" s="1"/>
  <c r="O783" i="2"/>
  <c r="P783" i="2" s="1"/>
  <c r="O1080" i="2"/>
  <c r="P1080" i="2" s="1"/>
  <c r="O1856" i="2"/>
  <c r="P1856" i="2" s="1"/>
  <c r="O1561" i="2"/>
  <c r="P1561" i="2" s="1"/>
  <c r="O1090" i="2"/>
  <c r="P1090" i="2" s="1"/>
  <c r="O269" i="2"/>
  <c r="P269" i="2" s="1"/>
  <c r="O789" i="2"/>
  <c r="P789" i="2" s="1"/>
  <c r="O790" i="2"/>
  <c r="P790" i="2" s="1"/>
  <c r="O791" i="2"/>
  <c r="P791" i="2" s="1"/>
  <c r="O792" i="2"/>
  <c r="P792" i="2" s="1"/>
  <c r="O793" i="2"/>
  <c r="P793" i="2" s="1"/>
  <c r="O794" i="2"/>
  <c r="P794" i="2" s="1"/>
  <c r="O795" i="2"/>
  <c r="P795" i="2" s="1"/>
  <c r="O796" i="2"/>
  <c r="P796" i="2" s="1"/>
  <c r="O1094" i="2"/>
  <c r="P1094" i="2" s="1"/>
  <c r="O798" i="2"/>
  <c r="P798" i="2" s="1"/>
  <c r="O1857" i="2"/>
  <c r="P1857" i="2" s="1"/>
  <c r="O800" i="2"/>
  <c r="P800" i="2" s="1"/>
  <c r="O801" i="2"/>
  <c r="P801" i="2" s="1"/>
  <c r="O802" i="2"/>
  <c r="P802" i="2" s="1"/>
  <c r="O803" i="2"/>
  <c r="P803" i="2" s="1"/>
  <c r="O804" i="2"/>
  <c r="P804" i="2" s="1"/>
  <c r="O805" i="2"/>
  <c r="P805" i="2" s="1"/>
  <c r="O806" i="2"/>
  <c r="P806" i="2" s="1"/>
  <c r="O422" i="2"/>
  <c r="P422" i="2" s="1"/>
  <c r="O433" i="2"/>
  <c r="P433" i="2" s="1"/>
  <c r="O809" i="2"/>
  <c r="P809" i="2" s="1"/>
  <c r="O810" i="2"/>
  <c r="P810" i="2" s="1"/>
  <c r="O811" i="2"/>
  <c r="P811" i="2" s="1"/>
  <c r="O153" i="2"/>
  <c r="P153" i="2" s="1"/>
  <c r="O813" i="2"/>
  <c r="P813" i="2" s="1"/>
  <c r="O814" i="2"/>
  <c r="P814" i="2" s="1"/>
  <c r="O815" i="2"/>
  <c r="P815" i="2" s="1"/>
  <c r="O816" i="2"/>
  <c r="P816" i="2" s="1"/>
  <c r="O704" i="2"/>
  <c r="P704" i="2" s="1"/>
  <c r="O818" i="2"/>
  <c r="P818" i="2" s="1"/>
  <c r="O819" i="2"/>
  <c r="P819" i="2" s="1"/>
  <c r="O820" i="2"/>
  <c r="P820" i="2" s="1"/>
  <c r="O821" i="2"/>
  <c r="P821" i="2" s="1"/>
  <c r="O1101" i="2"/>
  <c r="P1101" i="2" s="1"/>
  <c r="O823" i="2"/>
  <c r="P823" i="2" s="1"/>
  <c r="O824" i="2"/>
  <c r="P824" i="2" s="1"/>
  <c r="O825" i="2"/>
  <c r="P825" i="2" s="1"/>
  <c r="O826" i="2"/>
  <c r="P826" i="2" s="1"/>
  <c r="O827" i="2"/>
  <c r="P827" i="2" s="1"/>
  <c r="O828" i="2"/>
  <c r="P828" i="2" s="1"/>
  <c r="O829" i="2"/>
  <c r="P829" i="2" s="1"/>
  <c r="O830" i="2"/>
  <c r="P830" i="2" s="1"/>
  <c r="O831" i="2"/>
  <c r="P831" i="2" s="1"/>
  <c r="O832" i="2"/>
  <c r="P832" i="2" s="1"/>
  <c r="O833" i="2"/>
  <c r="P833" i="2" s="1"/>
  <c r="O834" i="2"/>
  <c r="P834" i="2" s="1"/>
  <c r="O1568" i="2"/>
  <c r="P1568" i="2" s="1"/>
  <c r="O836" i="2"/>
  <c r="P836" i="2" s="1"/>
  <c r="O837" i="2"/>
  <c r="P837" i="2" s="1"/>
  <c r="O838" i="2"/>
  <c r="P838" i="2" s="1"/>
  <c r="O839" i="2"/>
  <c r="P839" i="2" s="1"/>
  <c r="O840" i="2"/>
  <c r="P840" i="2" s="1"/>
  <c r="O841" i="2"/>
  <c r="P841" i="2" s="1"/>
  <c r="O842" i="2"/>
  <c r="P842" i="2" s="1"/>
  <c r="O843" i="2"/>
  <c r="P843" i="2" s="1"/>
  <c r="O844" i="2"/>
  <c r="P844" i="2" s="1"/>
  <c r="O1862" i="2"/>
  <c r="P1862" i="2" s="1"/>
  <c r="O846" i="2"/>
  <c r="P846" i="2" s="1"/>
  <c r="O847" i="2"/>
  <c r="P847" i="2" s="1"/>
  <c r="O848" i="2"/>
  <c r="P848" i="2" s="1"/>
  <c r="O216" i="2"/>
  <c r="P216" i="2" s="1"/>
  <c r="O850" i="2"/>
  <c r="P850" i="2" s="1"/>
  <c r="O851" i="2"/>
  <c r="P851" i="2" s="1"/>
  <c r="O852" i="2"/>
  <c r="P852" i="2" s="1"/>
  <c r="O853" i="2"/>
  <c r="P853" i="2" s="1"/>
  <c r="O854" i="2"/>
  <c r="P854" i="2" s="1"/>
  <c r="O855" i="2"/>
  <c r="P855" i="2" s="1"/>
  <c r="O856" i="2"/>
  <c r="P856" i="2" s="1"/>
  <c r="O857" i="2"/>
  <c r="P857" i="2" s="1"/>
  <c r="O858" i="2"/>
  <c r="P858" i="2" s="1"/>
  <c r="O859" i="2"/>
  <c r="P859" i="2" s="1"/>
  <c r="O860" i="2"/>
  <c r="P860" i="2" s="1"/>
  <c r="O861" i="2"/>
  <c r="P861" i="2" s="1"/>
  <c r="O862" i="2"/>
  <c r="P862" i="2" s="1"/>
  <c r="O863" i="2"/>
  <c r="P863" i="2" s="1"/>
  <c r="O864" i="2"/>
  <c r="P864" i="2" s="1"/>
  <c r="O1106" i="2"/>
  <c r="P1106" i="2" s="1"/>
  <c r="O866" i="2"/>
  <c r="P866" i="2" s="1"/>
  <c r="O867" i="2"/>
  <c r="P867" i="2" s="1"/>
  <c r="O868" i="2"/>
  <c r="P868" i="2" s="1"/>
  <c r="O869" i="2"/>
  <c r="P869" i="2" s="1"/>
  <c r="O870" i="2"/>
  <c r="P870" i="2" s="1"/>
  <c r="O871" i="2"/>
  <c r="P871" i="2" s="1"/>
  <c r="O1579" i="2"/>
  <c r="P1579" i="2" s="1"/>
  <c r="O873" i="2"/>
  <c r="P873" i="2" s="1"/>
  <c r="O874" i="2"/>
  <c r="P874" i="2" s="1"/>
  <c r="O875" i="2"/>
  <c r="P875" i="2" s="1"/>
  <c r="O876" i="2"/>
  <c r="P876" i="2" s="1"/>
  <c r="O220" i="2"/>
  <c r="P220" i="2" s="1"/>
  <c r="O878" i="2"/>
  <c r="P878" i="2" s="1"/>
  <c r="O879" i="2"/>
  <c r="P879" i="2" s="1"/>
  <c r="O880" i="2"/>
  <c r="P880" i="2" s="1"/>
  <c r="O35" i="2"/>
  <c r="P35" i="2" s="1"/>
  <c r="O882" i="2"/>
  <c r="P882" i="2" s="1"/>
  <c r="O883" i="2"/>
  <c r="P883" i="2" s="1"/>
  <c r="O884" i="2"/>
  <c r="P884" i="2" s="1"/>
  <c r="O885" i="2"/>
  <c r="P885" i="2" s="1"/>
  <c r="O886" i="2"/>
  <c r="P886" i="2" s="1"/>
  <c r="O887" i="2"/>
  <c r="P887" i="2" s="1"/>
  <c r="O888" i="2"/>
  <c r="P888" i="2" s="1"/>
  <c r="O889" i="2"/>
  <c r="P889" i="2" s="1"/>
  <c r="O890" i="2"/>
  <c r="P890" i="2" s="1"/>
  <c r="O706" i="2"/>
  <c r="P706" i="2" s="1"/>
  <c r="O892" i="2"/>
  <c r="P892" i="2" s="1"/>
  <c r="O272" i="2"/>
  <c r="P272" i="2" s="1"/>
  <c r="O894" i="2"/>
  <c r="P894" i="2" s="1"/>
  <c r="O1864" i="2"/>
  <c r="P1864" i="2" s="1"/>
  <c r="O41" i="2"/>
  <c r="P41" i="2" s="1"/>
  <c r="O897" i="2"/>
  <c r="P897" i="2" s="1"/>
  <c r="O898" i="2"/>
  <c r="P898" i="2" s="1"/>
  <c r="O899" i="2"/>
  <c r="P899" i="2" s="1"/>
  <c r="O1866" i="2"/>
  <c r="P1866" i="2" s="1"/>
  <c r="O1109" i="2"/>
  <c r="P1109" i="2" s="1"/>
  <c r="O1418" i="2"/>
  <c r="P1418" i="2" s="1"/>
  <c r="O903" i="2"/>
  <c r="P903" i="2" s="1"/>
  <c r="O904" i="2"/>
  <c r="P904" i="2" s="1"/>
  <c r="O42" i="2"/>
  <c r="P42" i="2" s="1"/>
  <c r="O906" i="2"/>
  <c r="P906" i="2" s="1"/>
  <c r="O907" i="2"/>
  <c r="P907" i="2" s="1"/>
  <c r="O908" i="2"/>
  <c r="P908" i="2" s="1"/>
  <c r="O909" i="2"/>
  <c r="P909" i="2" s="1"/>
  <c r="O910" i="2"/>
  <c r="P910" i="2" s="1"/>
  <c r="O911" i="2"/>
  <c r="P911" i="2" s="1"/>
  <c r="O274" i="2"/>
  <c r="P274" i="2" s="1"/>
  <c r="O913" i="2"/>
  <c r="P913" i="2" s="1"/>
  <c r="O1112" i="2"/>
  <c r="P1112" i="2" s="1"/>
  <c r="O915" i="2"/>
  <c r="P915" i="2" s="1"/>
  <c r="O916" i="2"/>
  <c r="P916" i="2" s="1"/>
  <c r="O917" i="2"/>
  <c r="P917" i="2" s="1"/>
  <c r="O918" i="2"/>
  <c r="P918" i="2" s="1"/>
  <c r="O441" i="2"/>
  <c r="P441" i="2" s="1"/>
  <c r="O920" i="2"/>
  <c r="P920" i="2" s="1"/>
  <c r="O1583" i="2"/>
  <c r="P1583" i="2" s="1"/>
  <c r="O1113" i="2"/>
  <c r="P1113" i="2" s="1"/>
  <c r="O923" i="2"/>
  <c r="P923" i="2" s="1"/>
  <c r="O708" i="2"/>
  <c r="P708" i="2" s="1"/>
  <c r="O925" i="2"/>
  <c r="P925" i="2" s="1"/>
  <c r="O1124" i="2"/>
  <c r="P1124" i="2" s="1"/>
  <c r="O927" i="2"/>
  <c r="P927" i="2" s="1"/>
  <c r="O928" i="2"/>
  <c r="P928" i="2" s="1"/>
  <c r="O929" i="2"/>
  <c r="P929" i="2" s="1"/>
  <c r="O930" i="2"/>
  <c r="P930" i="2" s="1"/>
  <c r="O931" i="2"/>
  <c r="P931" i="2" s="1"/>
  <c r="O932" i="2"/>
  <c r="P932" i="2" s="1"/>
  <c r="O95" i="2"/>
  <c r="P95" i="2" s="1"/>
  <c r="O446" i="2"/>
  <c r="P446" i="2" s="1"/>
  <c r="O935" i="2"/>
  <c r="P935" i="2" s="1"/>
  <c r="O936" i="2"/>
  <c r="P936" i="2" s="1"/>
  <c r="O937" i="2"/>
  <c r="P937" i="2" s="1"/>
  <c r="O938" i="2"/>
  <c r="P938" i="2" s="1"/>
  <c r="O939" i="2"/>
  <c r="P939" i="2" s="1"/>
  <c r="O940" i="2"/>
  <c r="P940" i="2" s="1"/>
  <c r="O713" i="2"/>
  <c r="P713" i="2" s="1"/>
  <c r="O280" i="2"/>
  <c r="P280" i="2" s="1"/>
  <c r="O943" i="2"/>
  <c r="P943" i="2" s="1"/>
  <c r="O944" i="2"/>
  <c r="P944" i="2" s="1"/>
  <c r="O945" i="2"/>
  <c r="P945" i="2" s="1"/>
  <c r="O946" i="2"/>
  <c r="P946" i="2" s="1"/>
  <c r="O947" i="2"/>
  <c r="P947" i="2" s="1"/>
  <c r="O948" i="2"/>
  <c r="P948" i="2" s="1"/>
  <c r="O949" i="2"/>
  <c r="P949" i="2" s="1"/>
  <c r="O1584" i="2"/>
  <c r="P1584" i="2" s="1"/>
  <c r="O951" i="2"/>
  <c r="P951" i="2" s="1"/>
  <c r="O952" i="2"/>
  <c r="P952" i="2" s="1"/>
  <c r="O953" i="2"/>
  <c r="P953" i="2" s="1"/>
  <c r="O954" i="2"/>
  <c r="P954" i="2" s="1"/>
  <c r="O955" i="2"/>
  <c r="P955" i="2" s="1"/>
  <c r="O956" i="2"/>
  <c r="P956" i="2" s="1"/>
  <c r="O957" i="2"/>
  <c r="P957" i="2" s="1"/>
  <c r="O958" i="2"/>
  <c r="P958" i="2" s="1"/>
  <c r="O959" i="2"/>
  <c r="P959" i="2" s="1"/>
  <c r="O287" i="2"/>
  <c r="P287" i="2" s="1"/>
  <c r="O961" i="2"/>
  <c r="P961" i="2" s="1"/>
  <c r="O962" i="2"/>
  <c r="P962" i="2" s="1"/>
  <c r="O963" i="2"/>
  <c r="P963" i="2" s="1"/>
  <c r="O964" i="2"/>
  <c r="P964" i="2" s="1"/>
  <c r="O965" i="2"/>
  <c r="P965" i="2" s="1"/>
  <c r="O966" i="2"/>
  <c r="P966" i="2" s="1"/>
  <c r="O1587" i="2"/>
  <c r="P1587" i="2" s="1"/>
  <c r="O968" i="2"/>
  <c r="P968" i="2" s="1"/>
  <c r="O969" i="2"/>
  <c r="P969" i="2" s="1"/>
  <c r="O970" i="2"/>
  <c r="P970" i="2" s="1"/>
  <c r="O971" i="2"/>
  <c r="P971" i="2" s="1"/>
  <c r="O447" i="2"/>
  <c r="P447" i="2" s="1"/>
  <c r="O1423" i="2"/>
  <c r="P1423" i="2" s="1"/>
  <c r="O974" i="2"/>
  <c r="P974" i="2" s="1"/>
  <c r="O975" i="2"/>
  <c r="P975" i="2" s="1"/>
  <c r="O976" i="2"/>
  <c r="P976" i="2" s="1"/>
  <c r="O977" i="2"/>
  <c r="P977" i="2" s="1"/>
  <c r="O978" i="2"/>
  <c r="P978" i="2" s="1"/>
  <c r="O979" i="2"/>
  <c r="P979" i="2" s="1"/>
  <c r="O980" i="2"/>
  <c r="P980" i="2" s="1"/>
  <c r="O1596" i="2"/>
  <c r="P1596" i="2" s="1"/>
  <c r="O982" i="2"/>
  <c r="P982" i="2" s="1"/>
  <c r="O1125" i="2"/>
  <c r="P1125" i="2" s="1"/>
  <c r="O984" i="2"/>
  <c r="P984" i="2" s="1"/>
  <c r="O985" i="2"/>
  <c r="P985" i="2" s="1"/>
  <c r="O986" i="2"/>
  <c r="P986" i="2" s="1"/>
  <c r="O987" i="2"/>
  <c r="P987" i="2" s="1"/>
  <c r="O988" i="2"/>
  <c r="P988" i="2" s="1"/>
  <c r="O989" i="2"/>
  <c r="P989" i="2" s="1"/>
  <c r="O990" i="2"/>
  <c r="P990" i="2" s="1"/>
  <c r="O991" i="2"/>
  <c r="P991" i="2" s="1"/>
  <c r="O992" i="2"/>
  <c r="P992" i="2" s="1"/>
  <c r="O993" i="2"/>
  <c r="P993" i="2" s="1"/>
  <c r="O994" i="2"/>
  <c r="P994" i="2" s="1"/>
  <c r="O995" i="2"/>
  <c r="P995" i="2" s="1"/>
  <c r="O996" i="2"/>
  <c r="P996" i="2" s="1"/>
  <c r="O1126" i="2"/>
  <c r="P1126" i="2" s="1"/>
  <c r="O998" i="2"/>
  <c r="P998" i="2" s="1"/>
  <c r="O999" i="2"/>
  <c r="P999" i="2" s="1"/>
  <c r="O1000" i="2"/>
  <c r="P1000" i="2" s="1"/>
  <c r="O75" i="2"/>
  <c r="P75" i="2" s="1"/>
  <c r="O1002" i="2"/>
  <c r="P1002" i="2" s="1"/>
  <c r="O1003" i="2"/>
  <c r="P1003" i="2" s="1"/>
  <c r="O1004" i="2"/>
  <c r="P1004" i="2" s="1"/>
  <c r="O1005" i="2"/>
  <c r="P1005" i="2" s="1"/>
  <c r="O463" i="2"/>
  <c r="P463" i="2" s="1"/>
  <c r="O1007" i="2"/>
  <c r="P1007" i="2" s="1"/>
  <c r="O1127" i="2"/>
  <c r="P1127" i="2" s="1"/>
  <c r="O1009" i="2"/>
  <c r="P1009" i="2" s="1"/>
  <c r="O1010" i="2"/>
  <c r="P1010" i="2" s="1"/>
  <c r="O1011" i="2"/>
  <c r="P1011" i="2" s="1"/>
  <c r="O1012" i="2"/>
  <c r="P1012" i="2" s="1"/>
  <c r="O1878" i="2"/>
  <c r="P1878" i="2" s="1"/>
  <c r="O1014" i="2"/>
  <c r="P1014" i="2" s="1"/>
  <c r="O1015" i="2"/>
  <c r="P1015" i="2" s="1"/>
  <c r="O1882" i="2"/>
  <c r="P1882" i="2" s="1"/>
  <c r="O1017" i="2"/>
  <c r="P1017" i="2" s="1"/>
  <c r="O1018" i="2"/>
  <c r="P1018" i="2" s="1"/>
  <c r="O1597" i="2"/>
  <c r="P1597" i="2" s="1"/>
  <c r="O1020" i="2"/>
  <c r="P1020" i="2" s="1"/>
  <c r="O1021" i="2"/>
  <c r="P1021" i="2" s="1"/>
  <c r="O1022" i="2"/>
  <c r="P1022" i="2" s="1"/>
  <c r="O289" i="2"/>
  <c r="P289" i="2" s="1"/>
  <c r="O1024" i="2"/>
  <c r="P1024" i="2" s="1"/>
  <c r="O1025" i="2"/>
  <c r="P1025" i="2" s="1"/>
  <c r="O1026" i="2"/>
  <c r="P1026" i="2" s="1"/>
  <c r="O1027" i="2"/>
  <c r="P1027" i="2" s="1"/>
  <c r="O717" i="2"/>
  <c r="P717" i="2" s="1"/>
  <c r="O1029" i="2"/>
  <c r="P1029" i="2" s="1"/>
  <c r="O105" i="2"/>
  <c r="P105" i="2" s="1"/>
  <c r="O1031" i="2"/>
  <c r="P1031" i="2" s="1"/>
  <c r="O1032" i="2"/>
  <c r="P1032" i="2" s="1"/>
  <c r="O1033" i="2"/>
  <c r="P1033" i="2" s="1"/>
  <c r="O1600" i="2"/>
  <c r="P1600" i="2" s="1"/>
  <c r="O723" i="2"/>
  <c r="P723" i="2" s="1"/>
  <c r="O1036" i="2"/>
  <c r="P1036" i="2" s="1"/>
  <c r="O1037" i="2"/>
  <c r="P1037" i="2" s="1"/>
  <c r="O1038" i="2"/>
  <c r="P1038" i="2" s="1"/>
  <c r="O1607" i="2"/>
  <c r="P1607" i="2" s="1"/>
  <c r="O1040" i="2"/>
  <c r="P1040" i="2" s="1"/>
  <c r="O1041" i="2"/>
  <c r="P1041" i="2" s="1"/>
  <c r="O1042" i="2"/>
  <c r="P1042" i="2" s="1"/>
  <c r="O728" i="2"/>
  <c r="P728" i="2" s="1"/>
  <c r="O1044" i="2"/>
  <c r="P1044" i="2" s="1"/>
  <c r="O1045" i="2"/>
  <c r="P1045" i="2" s="1"/>
  <c r="O1046" i="2"/>
  <c r="P1046" i="2" s="1"/>
  <c r="O1047" i="2"/>
  <c r="P1047" i="2" s="1"/>
  <c r="O464" i="2"/>
  <c r="P464" i="2" s="1"/>
  <c r="O1128" i="2"/>
  <c r="P1128" i="2" s="1"/>
  <c r="O1136" i="2"/>
  <c r="P1136" i="2" s="1"/>
  <c r="O1051" i="2"/>
  <c r="P1051" i="2" s="1"/>
  <c r="O475" i="2"/>
  <c r="P475" i="2" s="1"/>
  <c r="O1143" i="2"/>
  <c r="P1143" i="2" s="1"/>
  <c r="O1054" i="2"/>
  <c r="P1054" i="2" s="1"/>
  <c r="O1055" i="2"/>
  <c r="P1055" i="2" s="1"/>
  <c r="O1056" i="2"/>
  <c r="P1056" i="2" s="1"/>
  <c r="O1057" i="2"/>
  <c r="P1057" i="2" s="1"/>
  <c r="O1883" i="2"/>
  <c r="P1883" i="2" s="1"/>
  <c r="O1059" i="2"/>
  <c r="P1059" i="2" s="1"/>
  <c r="O1609" i="2"/>
  <c r="P1609" i="2" s="1"/>
  <c r="O1061" i="2"/>
  <c r="P1061" i="2" s="1"/>
  <c r="O1062" i="2"/>
  <c r="P1062" i="2" s="1"/>
  <c r="O1063" i="2"/>
  <c r="P1063" i="2" s="1"/>
  <c r="O1064" i="2"/>
  <c r="P1064" i="2" s="1"/>
  <c r="O1065" i="2"/>
  <c r="P1065" i="2" s="1"/>
  <c r="O1147" i="2"/>
  <c r="P1147" i="2" s="1"/>
  <c r="O1067" i="2"/>
  <c r="P1067" i="2" s="1"/>
  <c r="O1068" i="2"/>
  <c r="P1068" i="2" s="1"/>
  <c r="O295" i="2"/>
  <c r="P295" i="2" s="1"/>
  <c r="O1070" i="2"/>
  <c r="P1070" i="2" s="1"/>
  <c r="O1886" i="2"/>
  <c r="P1886" i="2" s="1"/>
  <c r="O732" i="2"/>
  <c r="P732" i="2" s="1"/>
  <c r="O1073" i="2"/>
  <c r="P1073" i="2" s="1"/>
  <c r="O1074" i="2"/>
  <c r="P1074" i="2" s="1"/>
  <c r="O1075" i="2"/>
  <c r="P1075" i="2" s="1"/>
  <c r="O1076" i="2"/>
  <c r="P1076" i="2" s="1"/>
  <c r="O1077" i="2"/>
  <c r="P1077" i="2" s="1"/>
  <c r="O1078" i="2"/>
  <c r="P1078" i="2" s="1"/>
  <c r="O1079" i="2"/>
  <c r="P1079" i="2" s="1"/>
  <c r="O1148" i="2"/>
  <c r="P1148" i="2" s="1"/>
  <c r="O1081" i="2"/>
  <c r="P1081" i="2" s="1"/>
  <c r="O1082" i="2"/>
  <c r="P1082" i="2" s="1"/>
  <c r="O1083" i="2"/>
  <c r="P1083" i="2" s="1"/>
  <c r="O1084" i="2"/>
  <c r="P1084" i="2" s="1"/>
  <c r="O1085" i="2"/>
  <c r="P1085" i="2" s="1"/>
  <c r="O1086" i="2"/>
  <c r="P1086" i="2" s="1"/>
  <c r="O1087" i="2"/>
  <c r="P1087" i="2" s="1"/>
  <c r="O1088" i="2"/>
  <c r="P1088" i="2" s="1"/>
  <c r="O1089" i="2"/>
  <c r="P1089" i="2" s="1"/>
  <c r="O1153" i="2"/>
  <c r="P1153" i="2" s="1"/>
  <c r="O1091" i="2"/>
  <c r="P1091" i="2" s="1"/>
  <c r="O1092" i="2"/>
  <c r="P1092" i="2" s="1"/>
  <c r="O1093" i="2"/>
  <c r="P1093" i="2" s="1"/>
  <c r="O480" i="2"/>
  <c r="P480" i="2" s="1"/>
  <c r="O1095" i="2"/>
  <c r="P1095" i="2" s="1"/>
  <c r="O1096" i="2"/>
  <c r="P1096" i="2" s="1"/>
  <c r="O1097" i="2"/>
  <c r="P1097" i="2" s="1"/>
  <c r="O1098" i="2"/>
  <c r="P1098" i="2" s="1"/>
  <c r="O1099" i="2"/>
  <c r="P1099" i="2" s="1"/>
  <c r="O1100" i="2"/>
  <c r="P1100" i="2" s="1"/>
  <c r="O1158" i="2"/>
  <c r="P1158" i="2" s="1"/>
  <c r="O1102" i="2"/>
  <c r="P1102" i="2" s="1"/>
  <c r="O1103" i="2"/>
  <c r="P1103" i="2" s="1"/>
  <c r="O1104" i="2"/>
  <c r="P1104" i="2" s="1"/>
  <c r="O1105" i="2"/>
  <c r="P1105" i="2" s="1"/>
  <c r="O1887" i="2"/>
  <c r="P1887" i="2" s="1"/>
  <c r="O1107" i="2"/>
  <c r="P1107" i="2" s="1"/>
  <c r="O1108" i="2"/>
  <c r="P1108" i="2" s="1"/>
  <c r="O734" i="2"/>
  <c r="P734" i="2" s="1"/>
  <c r="O1110" i="2"/>
  <c r="P1110" i="2" s="1"/>
  <c r="O1111" i="2"/>
  <c r="P1111" i="2" s="1"/>
  <c r="O739" i="2"/>
  <c r="P739" i="2" s="1"/>
  <c r="O156" i="2"/>
  <c r="P156" i="2" s="1"/>
  <c r="O1114" i="2"/>
  <c r="P1114" i="2" s="1"/>
  <c r="O1115" i="2"/>
  <c r="P1115" i="2" s="1"/>
  <c r="O1116" i="2"/>
  <c r="P1116" i="2" s="1"/>
  <c r="O1117" i="2"/>
  <c r="P1117" i="2" s="1"/>
  <c r="O1118" i="2"/>
  <c r="P1118" i="2" s="1"/>
  <c r="O1119" i="2"/>
  <c r="P1119" i="2" s="1"/>
  <c r="O1120" i="2"/>
  <c r="P1120" i="2" s="1"/>
  <c r="O1121" i="2"/>
  <c r="P1121" i="2" s="1"/>
  <c r="O1122" i="2"/>
  <c r="P1122" i="2" s="1"/>
  <c r="O1123" i="2"/>
  <c r="P1123" i="2" s="1"/>
  <c r="O1613" i="2"/>
  <c r="P1613" i="2" s="1"/>
  <c r="O51" i="2"/>
  <c r="P51" i="2" s="1"/>
  <c r="O298" i="2"/>
  <c r="P298" i="2" s="1"/>
  <c r="O1615" i="2"/>
  <c r="P1615" i="2" s="1"/>
  <c r="O740" i="2"/>
  <c r="P740" i="2" s="1"/>
  <c r="O1129" i="2"/>
  <c r="P1129" i="2" s="1"/>
  <c r="O1130" i="2"/>
  <c r="P1130" i="2" s="1"/>
  <c r="O1131" i="2"/>
  <c r="P1131" i="2" s="1"/>
  <c r="O1132" i="2"/>
  <c r="P1132" i="2" s="1"/>
  <c r="O1133" i="2"/>
  <c r="P1133" i="2" s="1"/>
  <c r="O1134" i="2"/>
  <c r="P1134" i="2" s="1"/>
  <c r="O1135" i="2"/>
  <c r="P1135" i="2" s="1"/>
  <c r="O304" i="2"/>
  <c r="P304" i="2" s="1"/>
  <c r="O1137" i="2"/>
  <c r="P1137" i="2" s="1"/>
  <c r="O1138" i="2"/>
  <c r="P1138" i="2" s="1"/>
  <c r="O1139" i="2"/>
  <c r="P1139" i="2" s="1"/>
  <c r="O1140" i="2"/>
  <c r="P1140" i="2" s="1"/>
  <c r="O1141" i="2"/>
  <c r="P1141" i="2" s="1"/>
  <c r="O1142" i="2"/>
  <c r="P1142" i="2" s="1"/>
  <c r="O741" i="2"/>
  <c r="P741" i="2" s="1"/>
  <c r="O1144" i="2"/>
  <c r="P1144" i="2" s="1"/>
  <c r="O1145" i="2"/>
  <c r="P1145" i="2" s="1"/>
  <c r="O1146" i="2"/>
  <c r="P1146" i="2" s="1"/>
  <c r="O487" i="2"/>
  <c r="P487" i="2" s="1"/>
  <c r="O96" i="2"/>
  <c r="P96" i="2" s="1"/>
  <c r="O1149" i="2"/>
  <c r="P1149" i="2" s="1"/>
  <c r="O1150" i="2"/>
  <c r="P1150" i="2" s="1"/>
  <c r="O1151" i="2"/>
  <c r="P1151" i="2" s="1"/>
  <c r="O1152" i="2"/>
  <c r="P1152" i="2" s="1"/>
  <c r="O492" i="2"/>
  <c r="P492" i="2" s="1"/>
  <c r="O1154" i="2"/>
  <c r="P1154" i="2" s="1"/>
  <c r="O1155" i="2"/>
  <c r="P1155" i="2" s="1"/>
  <c r="O1156" i="2"/>
  <c r="P1156" i="2" s="1"/>
  <c r="O1157" i="2"/>
  <c r="P1157" i="2" s="1"/>
  <c r="O1172" i="2"/>
  <c r="P1172" i="2" s="1"/>
  <c r="O1159" i="2"/>
  <c r="P1159" i="2" s="1"/>
  <c r="O1160" i="2"/>
  <c r="P1160" i="2" s="1"/>
  <c r="O1161" i="2"/>
  <c r="P1161" i="2" s="1"/>
  <c r="O1162" i="2"/>
  <c r="P1162" i="2" s="1"/>
  <c r="O1163" i="2"/>
  <c r="P1163" i="2" s="1"/>
  <c r="O1164" i="2"/>
  <c r="P1164" i="2" s="1"/>
  <c r="O1165" i="2"/>
  <c r="P1165" i="2" s="1"/>
  <c r="O1166" i="2"/>
  <c r="P1166" i="2" s="1"/>
  <c r="O1167" i="2"/>
  <c r="P1167" i="2" s="1"/>
  <c r="O1168" i="2"/>
  <c r="P1168" i="2" s="1"/>
  <c r="O1169" i="2"/>
  <c r="P1169" i="2" s="1"/>
  <c r="O1170" i="2"/>
  <c r="P1170" i="2" s="1"/>
  <c r="O1171" i="2"/>
  <c r="P1171" i="2" s="1"/>
  <c r="O742" i="2"/>
  <c r="P742" i="2" s="1"/>
  <c r="O1173" i="2"/>
  <c r="P1173" i="2" s="1"/>
  <c r="O1174" i="2"/>
  <c r="P1174" i="2" s="1"/>
  <c r="O1175" i="2"/>
  <c r="P1175" i="2" s="1"/>
  <c r="O1176" i="2"/>
  <c r="P1176" i="2" s="1"/>
  <c r="O1177" i="2"/>
  <c r="P1177" i="2" s="1"/>
  <c r="O1178" i="2"/>
  <c r="P1178" i="2" s="1"/>
  <c r="O1179" i="2"/>
  <c r="P1179" i="2" s="1"/>
  <c r="O1180" i="2"/>
  <c r="P1180" i="2" s="1"/>
  <c r="O1181" i="2"/>
  <c r="P1181" i="2" s="1"/>
  <c r="O1182" i="2"/>
  <c r="P1182" i="2" s="1"/>
  <c r="O1183" i="2"/>
  <c r="P1183" i="2" s="1"/>
  <c r="O1184" i="2"/>
  <c r="P1184" i="2" s="1"/>
  <c r="O1892" i="2"/>
  <c r="P1892" i="2" s="1"/>
  <c r="O1186" i="2"/>
  <c r="P1186" i="2" s="1"/>
  <c r="O1187" i="2"/>
  <c r="P1187" i="2" s="1"/>
  <c r="O1188" i="2"/>
  <c r="P1188" i="2" s="1"/>
  <c r="O1189" i="2"/>
  <c r="P1189" i="2" s="1"/>
  <c r="O1190" i="2"/>
  <c r="P1190" i="2" s="1"/>
  <c r="O1191" i="2"/>
  <c r="P1191" i="2" s="1"/>
  <c r="O1192" i="2"/>
  <c r="P1192" i="2" s="1"/>
  <c r="O510" i="2"/>
  <c r="P510" i="2" s="1"/>
  <c r="O1194" i="2"/>
  <c r="P1194" i="2" s="1"/>
  <c r="O511" i="2"/>
  <c r="P511" i="2" s="1"/>
  <c r="O1196" i="2"/>
  <c r="P1196" i="2" s="1"/>
  <c r="O1197" i="2"/>
  <c r="P1197" i="2" s="1"/>
  <c r="O1198" i="2"/>
  <c r="P1198" i="2" s="1"/>
  <c r="O1199" i="2"/>
  <c r="P1199" i="2" s="1"/>
  <c r="O1895" i="2"/>
  <c r="P1895" i="2" s="1"/>
  <c r="O1201" i="2"/>
  <c r="P1201" i="2" s="1"/>
  <c r="O1202" i="2"/>
  <c r="P1202" i="2" s="1"/>
  <c r="O743" i="2"/>
  <c r="P743" i="2" s="1"/>
  <c r="O1204" i="2"/>
  <c r="P1204" i="2" s="1"/>
  <c r="O1205" i="2"/>
  <c r="P1205" i="2" s="1"/>
  <c r="O1206" i="2"/>
  <c r="P1206" i="2" s="1"/>
  <c r="O1207" i="2"/>
  <c r="P1207" i="2" s="1"/>
  <c r="O1185" i="2"/>
  <c r="P1185" i="2" s="1"/>
  <c r="O1209" i="2"/>
  <c r="P1209" i="2" s="1"/>
  <c r="O1193" i="2"/>
  <c r="P1193" i="2" s="1"/>
  <c r="O1211" i="2"/>
  <c r="P1211" i="2" s="1"/>
  <c r="O1212" i="2"/>
  <c r="P1212" i="2" s="1"/>
  <c r="O1213" i="2"/>
  <c r="P1213" i="2" s="1"/>
  <c r="O66" i="2"/>
  <c r="P66" i="2" s="1"/>
  <c r="O1215" i="2"/>
  <c r="P1215" i="2" s="1"/>
  <c r="O1216" i="2"/>
  <c r="P1216" i="2" s="1"/>
  <c r="O1217" i="2"/>
  <c r="P1217" i="2" s="1"/>
  <c r="O515" i="2"/>
  <c r="P515" i="2" s="1"/>
  <c r="O1219" i="2"/>
  <c r="P1219" i="2" s="1"/>
  <c r="O1220" i="2"/>
  <c r="P1220" i="2" s="1"/>
  <c r="O1221" i="2"/>
  <c r="P1221" i="2" s="1"/>
  <c r="O1222" i="2"/>
  <c r="P1222" i="2" s="1"/>
  <c r="O1904" i="2"/>
  <c r="P1904" i="2" s="1"/>
  <c r="O1195" i="2"/>
  <c r="P1195" i="2" s="1"/>
  <c r="O1225" i="2"/>
  <c r="P1225" i="2" s="1"/>
  <c r="O1226" i="2"/>
  <c r="P1226" i="2" s="1"/>
  <c r="O1227" i="2"/>
  <c r="P1227" i="2" s="1"/>
  <c r="O1228" i="2"/>
  <c r="P1228" i="2" s="1"/>
  <c r="O1229" i="2"/>
  <c r="P1229" i="2" s="1"/>
  <c r="O1230" i="2"/>
  <c r="P1230" i="2" s="1"/>
  <c r="O1231" i="2"/>
  <c r="P1231" i="2" s="1"/>
  <c r="O1232" i="2"/>
  <c r="P1232" i="2" s="1"/>
  <c r="O1233" i="2"/>
  <c r="P1233" i="2" s="1"/>
  <c r="O1234" i="2"/>
  <c r="P1234" i="2" s="1"/>
  <c r="O1908" i="2"/>
  <c r="P1908" i="2" s="1"/>
  <c r="O1236" i="2"/>
  <c r="P1236" i="2" s="1"/>
  <c r="O1237" i="2"/>
  <c r="P1237" i="2" s="1"/>
  <c r="O1238" i="2"/>
  <c r="P1238" i="2" s="1"/>
  <c r="O1239" i="2"/>
  <c r="P1239" i="2" s="1"/>
  <c r="O1200" i="2"/>
  <c r="P1200" i="2" s="1"/>
  <c r="O1241" i="2"/>
  <c r="P1241" i="2" s="1"/>
  <c r="O517" i="2"/>
  <c r="P517" i="2" s="1"/>
  <c r="O1243" i="2"/>
  <c r="P1243" i="2" s="1"/>
  <c r="O1244" i="2"/>
  <c r="P1244" i="2" s="1"/>
  <c r="O1203" i="2"/>
  <c r="P1203" i="2" s="1"/>
  <c r="O1246" i="2"/>
  <c r="P1246" i="2" s="1"/>
  <c r="O526" i="2"/>
  <c r="P526" i="2" s="1"/>
  <c r="O1248" i="2"/>
  <c r="P1248" i="2" s="1"/>
  <c r="O1618" i="2"/>
  <c r="P1618" i="2" s="1"/>
  <c r="O1250" i="2"/>
  <c r="P1250" i="2" s="1"/>
  <c r="O1251" i="2"/>
  <c r="P1251" i="2" s="1"/>
  <c r="O1923" i="2"/>
  <c r="P1923" i="2" s="1"/>
  <c r="O1253" i="2"/>
  <c r="P1253" i="2" s="1"/>
  <c r="O1987" i="2"/>
  <c r="P1987" i="2" s="1"/>
  <c r="O1255" i="2"/>
  <c r="P1255" i="2" s="1"/>
  <c r="O1256" i="2"/>
  <c r="P1256" i="2" s="1"/>
  <c r="O1257" i="2"/>
  <c r="P1257" i="2" s="1"/>
  <c r="O1258" i="2"/>
  <c r="P1258" i="2" s="1"/>
  <c r="O1259" i="2"/>
  <c r="P1259" i="2" s="1"/>
  <c r="O1260" i="2"/>
  <c r="P1260" i="2" s="1"/>
  <c r="O1261" i="2"/>
  <c r="P1261" i="2" s="1"/>
  <c r="O1208" i="2"/>
  <c r="P1208" i="2" s="1"/>
  <c r="O1210" i="2"/>
  <c r="P1210" i="2" s="1"/>
  <c r="O1264" i="2"/>
  <c r="P1264" i="2" s="1"/>
  <c r="O531" i="2"/>
  <c r="P531" i="2" s="1"/>
  <c r="O1266" i="2"/>
  <c r="P1266" i="2" s="1"/>
  <c r="O1267" i="2"/>
  <c r="P1267" i="2" s="1"/>
  <c r="O1268" i="2"/>
  <c r="P1268" i="2" s="1"/>
  <c r="O1269" i="2"/>
  <c r="P1269" i="2" s="1"/>
  <c r="O1270" i="2"/>
  <c r="P1270" i="2" s="1"/>
  <c r="O1271" i="2"/>
  <c r="P1271" i="2" s="1"/>
  <c r="O1214" i="2"/>
  <c r="P1214" i="2" s="1"/>
  <c r="O1218" i="2"/>
  <c r="P1218" i="2" s="1"/>
  <c r="O749" i="2"/>
  <c r="P749" i="2" s="1"/>
  <c r="O1223" i="2"/>
  <c r="P1223" i="2" s="1"/>
  <c r="O1276" i="2"/>
  <c r="P1276" i="2" s="1"/>
  <c r="O1277" i="2"/>
  <c r="P1277" i="2" s="1"/>
  <c r="O1278" i="2"/>
  <c r="P1278" i="2" s="1"/>
  <c r="O1279" i="2"/>
  <c r="P1279" i="2" s="1"/>
  <c r="O1280" i="2"/>
  <c r="P1280" i="2" s="1"/>
  <c r="O1281" i="2"/>
  <c r="P1281" i="2" s="1"/>
  <c r="O1282" i="2"/>
  <c r="P1282" i="2" s="1"/>
  <c r="O1283" i="2"/>
  <c r="P1283" i="2" s="1"/>
  <c r="O1284" i="2"/>
  <c r="P1284" i="2" s="1"/>
  <c r="O1285" i="2"/>
  <c r="P1285" i="2" s="1"/>
  <c r="O1286" i="2"/>
  <c r="P1286" i="2" s="1"/>
  <c r="O1287" i="2"/>
  <c r="P1287" i="2" s="1"/>
  <c r="O1288" i="2"/>
  <c r="P1288" i="2" s="1"/>
  <c r="O1289" i="2"/>
  <c r="P1289" i="2" s="1"/>
  <c r="O1290" i="2"/>
  <c r="P1290" i="2" s="1"/>
  <c r="O1291" i="2"/>
  <c r="P1291" i="2" s="1"/>
  <c r="O1292" i="2"/>
  <c r="P1292" i="2" s="1"/>
  <c r="O1293" i="2"/>
  <c r="P1293" i="2" s="1"/>
  <c r="O1294" i="2"/>
  <c r="P1294" i="2" s="1"/>
  <c r="O1295" i="2"/>
  <c r="P1295" i="2" s="1"/>
  <c r="O1296" i="2"/>
  <c r="P1296" i="2" s="1"/>
  <c r="O1297" i="2"/>
  <c r="P1297" i="2" s="1"/>
  <c r="O1224" i="2"/>
  <c r="P1224" i="2" s="1"/>
  <c r="O127" i="2"/>
  <c r="P127" i="2" s="1"/>
  <c r="O1300" i="2"/>
  <c r="P1300" i="2" s="1"/>
  <c r="O1301" i="2"/>
  <c r="P1301" i="2" s="1"/>
  <c r="O1302" i="2"/>
  <c r="P1302" i="2" s="1"/>
  <c r="O1303" i="2"/>
  <c r="P1303" i="2" s="1"/>
  <c r="O1304" i="2"/>
  <c r="P1304" i="2" s="1"/>
  <c r="O536" i="2"/>
  <c r="P536" i="2" s="1"/>
  <c r="O1306" i="2"/>
  <c r="P1306" i="2" s="1"/>
  <c r="O1307" i="2"/>
  <c r="P1307" i="2" s="1"/>
  <c r="O1308" i="2"/>
  <c r="P1308" i="2" s="1"/>
  <c r="O1309" i="2"/>
  <c r="P1309" i="2" s="1"/>
  <c r="O1310" i="2"/>
  <c r="P1310" i="2" s="1"/>
  <c r="O1311" i="2"/>
  <c r="P1311" i="2" s="1"/>
  <c r="O1312" i="2"/>
  <c r="P1312" i="2" s="1"/>
  <c r="O750" i="2"/>
  <c r="P750" i="2" s="1"/>
  <c r="O1314" i="2"/>
  <c r="P1314" i="2" s="1"/>
  <c r="O1315" i="2"/>
  <c r="P1315" i="2" s="1"/>
  <c r="O752" i="2"/>
  <c r="P752" i="2" s="1"/>
  <c r="O1317" i="2"/>
  <c r="P1317" i="2" s="1"/>
  <c r="O1318" i="2"/>
  <c r="P1318" i="2" s="1"/>
  <c r="O1319" i="2"/>
  <c r="P1319" i="2" s="1"/>
  <c r="O1320" i="2"/>
  <c r="P1320" i="2" s="1"/>
  <c r="O1321" i="2"/>
  <c r="P1321" i="2" s="1"/>
  <c r="O1930" i="2"/>
  <c r="P1930" i="2" s="1"/>
  <c r="O1323" i="2"/>
  <c r="P1323" i="2" s="1"/>
  <c r="O1324" i="2"/>
  <c r="P1324" i="2" s="1"/>
  <c r="O1325" i="2"/>
  <c r="P1325" i="2" s="1"/>
  <c r="O1326" i="2"/>
  <c r="P1326" i="2" s="1"/>
  <c r="O1327" i="2"/>
  <c r="P1327" i="2" s="1"/>
  <c r="O1328" i="2"/>
  <c r="P1328" i="2" s="1"/>
  <c r="O1329" i="2"/>
  <c r="P1329" i="2" s="1"/>
  <c r="O1330" i="2"/>
  <c r="P1330" i="2" s="1"/>
  <c r="O1331" i="2"/>
  <c r="P1331" i="2" s="1"/>
  <c r="O1332" i="2"/>
  <c r="P1332" i="2" s="1"/>
  <c r="O1333" i="2"/>
  <c r="P1333" i="2" s="1"/>
  <c r="O1334" i="2"/>
  <c r="P1334" i="2" s="1"/>
  <c r="O1335" i="2"/>
  <c r="P1335" i="2" s="1"/>
  <c r="O1336" i="2"/>
  <c r="P1336" i="2" s="1"/>
  <c r="O1337" i="2"/>
  <c r="P1337" i="2" s="1"/>
  <c r="O760" i="2"/>
  <c r="P760" i="2" s="1"/>
  <c r="O1339" i="2"/>
  <c r="P1339" i="2" s="1"/>
  <c r="O1340" i="2"/>
  <c r="P1340" i="2" s="1"/>
  <c r="O1341" i="2"/>
  <c r="P1341" i="2" s="1"/>
  <c r="O1342" i="2"/>
  <c r="P1342" i="2" s="1"/>
  <c r="O1343" i="2"/>
  <c r="P1343" i="2" s="1"/>
  <c r="O1344" i="2"/>
  <c r="P1344" i="2" s="1"/>
  <c r="O538" i="2"/>
  <c r="P538" i="2" s="1"/>
  <c r="O1346" i="2"/>
  <c r="P1346" i="2" s="1"/>
  <c r="O1625" i="2"/>
  <c r="P1625" i="2" s="1"/>
  <c r="O1348" i="2"/>
  <c r="P1348" i="2" s="1"/>
  <c r="O1235" i="2"/>
  <c r="P1235" i="2" s="1"/>
  <c r="O1350" i="2"/>
  <c r="P1350" i="2" s="1"/>
  <c r="O1351" i="2"/>
  <c r="P1351" i="2" s="1"/>
  <c r="O1727" i="2"/>
  <c r="P1727" i="2" s="1"/>
  <c r="O1353" i="2"/>
  <c r="P1353" i="2" s="1"/>
  <c r="O1354" i="2"/>
  <c r="P1354" i="2" s="1"/>
  <c r="O1355" i="2"/>
  <c r="P1355" i="2" s="1"/>
  <c r="O1356" i="2"/>
  <c r="P1356" i="2" s="1"/>
  <c r="O162" i="2"/>
  <c r="P162" i="2" s="1"/>
  <c r="O1358" i="2"/>
  <c r="P1358" i="2" s="1"/>
  <c r="O1359" i="2"/>
  <c r="P1359" i="2" s="1"/>
  <c r="O1240" i="2"/>
  <c r="P1240" i="2" s="1"/>
  <c r="O1361" i="2"/>
  <c r="P1361" i="2" s="1"/>
  <c r="O769" i="2"/>
  <c r="P769" i="2" s="1"/>
  <c r="O784" i="2"/>
  <c r="P784" i="2" s="1"/>
  <c r="O1364" i="2"/>
  <c r="P1364" i="2" s="1"/>
  <c r="O1365" i="2"/>
  <c r="P1365" i="2" s="1"/>
  <c r="O1242" i="2"/>
  <c r="P1242" i="2" s="1"/>
  <c r="O1367" i="2"/>
  <c r="P1367" i="2" s="1"/>
  <c r="O1368" i="2"/>
  <c r="P1368" i="2" s="1"/>
  <c r="O1629" i="2"/>
  <c r="P1629" i="2" s="1"/>
  <c r="O1370" i="2"/>
  <c r="P1370" i="2" s="1"/>
  <c r="O1371" i="2"/>
  <c r="P1371" i="2" s="1"/>
  <c r="O1372" i="2"/>
  <c r="P1372" i="2" s="1"/>
  <c r="O1373" i="2"/>
  <c r="P1373" i="2" s="1"/>
  <c r="O307" i="2"/>
  <c r="P307" i="2" s="1"/>
  <c r="O1375" i="2"/>
  <c r="P1375" i="2" s="1"/>
  <c r="O1376" i="2"/>
  <c r="P1376" i="2" s="1"/>
  <c r="O1377" i="2"/>
  <c r="P1377" i="2" s="1"/>
  <c r="O1933" i="2"/>
  <c r="P1933" i="2" s="1"/>
  <c r="O1379" i="2"/>
  <c r="P1379" i="2" s="1"/>
  <c r="O1380" i="2"/>
  <c r="P1380" i="2" s="1"/>
  <c r="O1381" i="2"/>
  <c r="P1381" i="2" s="1"/>
  <c r="O1382" i="2"/>
  <c r="P1382" i="2" s="1"/>
  <c r="O1245" i="2"/>
  <c r="P1245" i="2" s="1"/>
  <c r="O1384" i="2"/>
  <c r="P1384" i="2" s="1"/>
  <c r="O1385" i="2"/>
  <c r="P1385" i="2" s="1"/>
  <c r="O1632" i="2"/>
  <c r="P1632" i="2" s="1"/>
  <c r="O1387" i="2"/>
  <c r="P1387" i="2" s="1"/>
  <c r="O1388" i="2"/>
  <c r="P1388" i="2" s="1"/>
  <c r="O785" i="2"/>
  <c r="P785" i="2" s="1"/>
  <c r="O1390" i="2"/>
  <c r="P1390" i="2" s="1"/>
  <c r="O1391" i="2"/>
  <c r="P1391" i="2" s="1"/>
  <c r="O1428" i="2"/>
  <c r="P1428" i="2" s="1"/>
  <c r="O1393" i="2"/>
  <c r="P1393" i="2" s="1"/>
  <c r="O1394" i="2"/>
  <c r="P1394" i="2" s="1"/>
  <c r="O1395" i="2"/>
  <c r="P1395" i="2" s="1"/>
  <c r="O1396" i="2"/>
  <c r="P1396" i="2" s="1"/>
  <c r="O1397" i="2"/>
  <c r="P1397" i="2" s="1"/>
  <c r="O339" i="2"/>
  <c r="P339" i="2" s="1"/>
  <c r="O1399" i="2"/>
  <c r="P1399" i="2" s="1"/>
  <c r="O1400" i="2"/>
  <c r="P1400" i="2" s="1"/>
  <c r="O1401" i="2"/>
  <c r="P1401" i="2" s="1"/>
  <c r="O1402" i="2"/>
  <c r="P1402" i="2" s="1"/>
  <c r="O1403" i="2"/>
  <c r="P1403" i="2" s="1"/>
  <c r="O1404" i="2"/>
  <c r="P1404" i="2" s="1"/>
  <c r="O1405" i="2"/>
  <c r="P1405" i="2" s="1"/>
  <c r="O1406" i="2"/>
  <c r="P1406" i="2" s="1"/>
  <c r="O1407" i="2"/>
  <c r="P1407" i="2" s="1"/>
  <c r="O1247" i="2"/>
  <c r="P1247" i="2" s="1"/>
  <c r="O1934" i="2"/>
  <c r="P1934" i="2" s="1"/>
  <c r="O1410" i="2"/>
  <c r="P1410" i="2" s="1"/>
  <c r="O1411" i="2"/>
  <c r="P1411" i="2" s="1"/>
  <c r="O341" i="2"/>
  <c r="P341" i="2" s="1"/>
  <c r="O1413" i="2"/>
  <c r="P1413" i="2" s="1"/>
  <c r="O1414" i="2"/>
  <c r="P1414" i="2" s="1"/>
  <c r="O1415" i="2"/>
  <c r="P1415" i="2" s="1"/>
  <c r="O1416" i="2"/>
  <c r="P1416" i="2" s="1"/>
  <c r="O1417" i="2"/>
  <c r="P1417" i="2" s="1"/>
  <c r="O786" i="2"/>
  <c r="P786" i="2" s="1"/>
  <c r="O1419" i="2"/>
  <c r="P1419" i="2" s="1"/>
  <c r="O1420" i="2"/>
  <c r="P1420" i="2" s="1"/>
  <c r="O1421" i="2"/>
  <c r="P1421" i="2" s="1"/>
  <c r="O1422" i="2"/>
  <c r="P1422" i="2" s="1"/>
  <c r="O1634" i="2"/>
  <c r="P1634" i="2" s="1"/>
  <c r="O1424" i="2"/>
  <c r="P1424" i="2" s="1"/>
  <c r="O1425" i="2"/>
  <c r="P1425" i="2" s="1"/>
  <c r="O1426" i="2"/>
  <c r="P1426" i="2" s="1"/>
  <c r="O1427" i="2"/>
  <c r="P1427" i="2" s="1"/>
  <c r="O787" i="2"/>
  <c r="P787" i="2" s="1"/>
  <c r="O1429" i="2"/>
  <c r="P1429" i="2" s="1"/>
  <c r="O1430" i="2"/>
  <c r="P1430" i="2" s="1"/>
  <c r="O1431" i="2"/>
  <c r="P1431" i="2" s="1"/>
  <c r="O1432" i="2"/>
  <c r="P1432" i="2" s="1"/>
  <c r="O1433" i="2"/>
  <c r="P1433" i="2" s="1"/>
  <c r="O1434" i="2"/>
  <c r="P1434" i="2" s="1"/>
  <c r="O1435" i="2"/>
  <c r="P1435" i="2" s="1"/>
  <c r="O1638" i="2"/>
  <c r="P1638" i="2" s="1"/>
  <c r="O1437" i="2"/>
  <c r="P1437" i="2" s="1"/>
  <c r="O1438" i="2"/>
  <c r="P1438" i="2" s="1"/>
  <c r="O1439" i="2"/>
  <c r="P1439" i="2" s="1"/>
  <c r="O1953" i="2"/>
  <c r="P1953" i="2" s="1"/>
  <c r="O1441" i="2"/>
  <c r="P1441" i="2" s="1"/>
  <c r="O1442" i="2"/>
  <c r="P1442" i="2" s="1"/>
  <c r="O1443" i="2"/>
  <c r="P1443" i="2" s="1"/>
  <c r="O1444" i="2"/>
  <c r="P1444" i="2" s="1"/>
  <c r="O1445" i="2"/>
  <c r="P1445" i="2" s="1"/>
  <c r="O1446" i="2"/>
  <c r="P1446" i="2" s="1"/>
  <c r="O1447" i="2"/>
  <c r="P1447" i="2" s="1"/>
  <c r="O1448" i="2"/>
  <c r="P1448" i="2" s="1"/>
  <c r="O1449" i="2"/>
  <c r="P1449" i="2" s="1"/>
  <c r="O1450" i="2"/>
  <c r="P1450" i="2" s="1"/>
  <c r="O1451" i="2"/>
  <c r="P1451" i="2" s="1"/>
  <c r="O1452" i="2"/>
  <c r="P1452" i="2" s="1"/>
  <c r="O1453" i="2"/>
  <c r="P1453" i="2" s="1"/>
  <c r="O1249" i="2"/>
  <c r="P1249" i="2" s="1"/>
  <c r="O1252" i="2"/>
  <c r="P1252" i="2" s="1"/>
  <c r="O1456" i="2"/>
  <c r="P1456" i="2" s="1"/>
  <c r="O1457" i="2"/>
  <c r="P1457" i="2" s="1"/>
  <c r="O1458" i="2"/>
  <c r="P1458" i="2" s="1"/>
  <c r="O1459" i="2"/>
  <c r="P1459" i="2" s="1"/>
  <c r="O1460" i="2"/>
  <c r="P1460" i="2" s="1"/>
  <c r="O1461" i="2"/>
  <c r="P1461" i="2" s="1"/>
  <c r="O342" i="2"/>
  <c r="P342" i="2" s="1"/>
  <c r="O1463" i="2"/>
  <c r="P1463" i="2" s="1"/>
  <c r="O1464" i="2"/>
  <c r="P1464" i="2" s="1"/>
  <c r="O1465" i="2"/>
  <c r="P1465" i="2" s="1"/>
  <c r="O1466" i="2"/>
  <c r="P1466" i="2" s="1"/>
  <c r="O1644" i="2"/>
  <c r="P1644" i="2" s="1"/>
  <c r="O1468" i="2"/>
  <c r="P1468" i="2" s="1"/>
  <c r="O1469" i="2"/>
  <c r="P1469" i="2" s="1"/>
  <c r="O1470" i="2"/>
  <c r="P1470" i="2" s="1"/>
  <c r="O1471" i="2"/>
  <c r="P1471" i="2" s="1"/>
  <c r="O107" i="2"/>
  <c r="P107" i="2" s="1"/>
  <c r="O1473" i="2"/>
  <c r="P1473" i="2" s="1"/>
  <c r="O1474" i="2"/>
  <c r="P1474" i="2" s="1"/>
  <c r="O1475" i="2"/>
  <c r="P1475" i="2" s="1"/>
  <c r="O1476" i="2"/>
  <c r="P1476" i="2" s="1"/>
  <c r="O1254" i="2"/>
  <c r="P1254" i="2" s="1"/>
  <c r="O1478" i="2"/>
  <c r="P1478" i="2" s="1"/>
  <c r="O1479" i="2"/>
  <c r="P1479" i="2" s="1"/>
  <c r="O1480" i="2"/>
  <c r="P1480" i="2" s="1"/>
  <c r="O1481" i="2"/>
  <c r="P1481" i="2" s="1"/>
  <c r="O1482" i="2"/>
  <c r="P1482" i="2" s="1"/>
  <c r="O1483" i="2"/>
  <c r="P1483" i="2" s="1"/>
  <c r="O351" i="2"/>
  <c r="P351" i="2" s="1"/>
  <c r="O1485" i="2"/>
  <c r="P1485" i="2" s="1"/>
  <c r="O1486" i="2"/>
  <c r="P1486" i="2" s="1"/>
  <c r="O1487" i="2"/>
  <c r="P1487" i="2" s="1"/>
  <c r="O1488" i="2"/>
  <c r="P1488" i="2" s="1"/>
  <c r="O1489" i="2"/>
  <c r="P1489" i="2" s="1"/>
  <c r="O788" i="2"/>
  <c r="P788" i="2" s="1"/>
  <c r="O1491" i="2"/>
  <c r="P1491" i="2" s="1"/>
  <c r="O1262" i="2"/>
  <c r="P1262" i="2" s="1"/>
  <c r="O1493" i="2"/>
  <c r="P1493" i="2" s="1"/>
  <c r="O1494" i="2"/>
  <c r="P1494" i="2" s="1"/>
  <c r="O1495" i="2"/>
  <c r="P1495" i="2" s="1"/>
  <c r="O1496" i="2"/>
  <c r="P1496" i="2" s="1"/>
  <c r="O1497" i="2"/>
  <c r="P1497" i="2" s="1"/>
  <c r="O1498" i="2"/>
  <c r="P1498" i="2" s="1"/>
  <c r="O1499" i="2"/>
  <c r="P1499" i="2" s="1"/>
  <c r="O54" i="2"/>
  <c r="P54" i="2" s="1"/>
  <c r="O1263" i="2"/>
  <c r="P1263" i="2" s="1"/>
  <c r="O1502" i="2"/>
  <c r="P1502" i="2" s="1"/>
  <c r="O1265" i="2"/>
  <c r="P1265" i="2" s="1"/>
  <c r="O1504" i="2"/>
  <c r="P1504" i="2" s="1"/>
  <c r="O1505" i="2"/>
  <c r="P1505" i="2" s="1"/>
  <c r="O1506" i="2"/>
  <c r="P1506" i="2" s="1"/>
  <c r="O1507" i="2"/>
  <c r="P1507" i="2" s="1"/>
  <c r="O1508" i="2"/>
  <c r="P1508" i="2" s="1"/>
  <c r="O1509" i="2"/>
  <c r="P1509" i="2" s="1"/>
  <c r="O1510" i="2"/>
  <c r="P1510" i="2" s="1"/>
  <c r="O1511" i="2"/>
  <c r="P1511" i="2" s="1"/>
  <c r="O1512" i="2"/>
  <c r="P1512" i="2" s="1"/>
  <c r="O1513" i="2"/>
  <c r="P1513" i="2" s="1"/>
  <c r="O1514" i="2"/>
  <c r="P1514" i="2" s="1"/>
  <c r="O540" i="2"/>
  <c r="P540" i="2" s="1"/>
  <c r="O1516" i="2"/>
  <c r="P1516" i="2" s="1"/>
  <c r="O1517" i="2"/>
  <c r="P1517" i="2" s="1"/>
  <c r="O1518" i="2"/>
  <c r="P1518" i="2" s="1"/>
  <c r="O1519" i="2"/>
  <c r="P1519" i="2" s="1"/>
  <c r="O354" i="2"/>
  <c r="P354" i="2" s="1"/>
  <c r="O1521" i="2"/>
  <c r="P1521" i="2" s="1"/>
  <c r="O1522" i="2"/>
  <c r="P1522" i="2" s="1"/>
  <c r="O1523" i="2"/>
  <c r="P1523" i="2" s="1"/>
  <c r="O1524" i="2"/>
  <c r="P1524" i="2" s="1"/>
  <c r="O1525" i="2"/>
  <c r="P1525" i="2" s="1"/>
  <c r="O1526" i="2"/>
  <c r="P1526" i="2" s="1"/>
  <c r="O1527" i="2"/>
  <c r="P1527" i="2" s="1"/>
  <c r="O1528" i="2"/>
  <c r="P1528" i="2" s="1"/>
  <c r="O1529" i="2"/>
  <c r="P1529" i="2" s="1"/>
  <c r="O1530" i="2"/>
  <c r="P1530" i="2" s="1"/>
  <c r="O1531" i="2"/>
  <c r="P1531" i="2" s="1"/>
  <c r="O1532" i="2"/>
  <c r="P1532" i="2" s="1"/>
  <c r="O1272" i="2"/>
  <c r="P1272" i="2" s="1"/>
  <c r="O1534" i="2"/>
  <c r="P1534" i="2" s="1"/>
  <c r="O1535" i="2"/>
  <c r="P1535" i="2" s="1"/>
  <c r="O1536" i="2"/>
  <c r="P1536" i="2" s="1"/>
  <c r="O1537" i="2"/>
  <c r="P1537" i="2" s="1"/>
  <c r="O1648" i="2"/>
  <c r="P1648" i="2" s="1"/>
  <c r="O1539" i="2"/>
  <c r="P1539" i="2" s="1"/>
  <c r="O1540" i="2"/>
  <c r="P1540" i="2" s="1"/>
  <c r="O359" i="2"/>
  <c r="P359" i="2" s="1"/>
  <c r="O1542" i="2"/>
  <c r="P1542" i="2" s="1"/>
  <c r="O1543" i="2"/>
  <c r="P1543" i="2" s="1"/>
  <c r="O1544" i="2"/>
  <c r="P1544" i="2" s="1"/>
  <c r="O1545" i="2"/>
  <c r="P1545" i="2" s="1"/>
  <c r="O1546" i="2"/>
  <c r="P1546" i="2" s="1"/>
  <c r="O797" i="2"/>
  <c r="P797" i="2" s="1"/>
  <c r="O1548" i="2"/>
  <c r="P1548" i="2" s="1"/>
  <c r="O1549" i="2"/>
  <c r="P1549" i="2" s="1"/>
  <c r="O1550" i="2"/>
  <c r="P1550" i="2" s="1"/>
  <c r="O1551" i="2"/>
  <c r="P1551" i="2" s="1"/>
  <c r="O1552" i="2"/>
  <c r="P1552" i="2" s="1"/>
  <c r="O1553" i="2"/>
  <c r="P1553" i="2" s="1"/>
  <c r="O1554" i="2"/>
  <c r="P1554" i="2" s="1"/>
  <c r="O1555" i="2"/>
  <c r="P1555" i="2" s="1"/>
  <c r="O1556" i="2"/>
  <c r="P1556" i="2" s="1"/>
  <c r="O1557" i="2"/>
  <c r="P1557" i="2" s="1"/>
  <c r="O799" i="2"/>
  <c r="P799" i="2" s="1"/>
  <c r="O172" i="2"/>
  <c r="P172" i="2" s="1"/>
  <c r="O1649" i="2"/>
  <c r="P1649" i="2" s="1"/>
  <c r="O1958" i="2"/>
  <c r="P1958" i="2" s="1"/>
  <c r="O1562" i="2"/>
  <c r="P1562" i="2" s="1"/>
  <c r="O1563" i="2"/>
  <c r="P1563" i="2" s="1"/>
  <c r="O1564" i="2"/>
  <c r="P1564" i="2" s="1"/>
  <c r="O1565" i="2"/>
  <c r="P1565" i="2" s="1"/>
  <c r="O1566" i="2"/>
  <c r="P1566" i="2" s="1"/>
  <c r="O1567" i="2"/>
  <c r="P1567" i="2" s="1"/>
  <c r="O361" i="2"/>
  <c r="P361" i="2" s="1"/>
  <c r="O1569" i="2"/>
  <c r="P1569" i="2" s="1"/>
  <c r="O1570" i="2"/>
  <c r="P1570" i="2" s="1"/>
  <c r="O1571" i="2"/>
  <c r="P1571" i="2" s="1"/>
  <c r="O1572" i="2"/>
  <c r="P1572" i="2" s="1"/>
  <c r="O1573" i="2"/>
  <c r="P1573" i="2" s="1"/>
  <c r="O1574" i="2"/>
  <c r="P1574" i="2" s="1"/>
  <c r="O1575" i="2"/>
  <c r="P1575" i="2" s="1"/>
  <c r="O1576" i="2"/>
  <c r="P1576" i="2" s="1"/>
  <c r="O1577" i="2"/>
  <c r="P1577" i="2" s="1"/>
  <c r="O1578" i="2"/>
  <c r="P1578" i="2" s="1"/>
  <c r="O1273" i="2"/>
  <c r="P1273" i="2" s="1"/>
  <c r="O1580" i="2"/>
  <c r="P1580" i="2" s="1"/>
  <c r="O1581" i="2"/>
  <c r="P1581" i="2" s="1"/>
  <c r="O1582" i="2"/>
  <c r="P1582" i="2" s="1"/>
  <c r="O807" i="2"/>
  <c r="P807" i="2" s="1"/>
  <c r="O362" i="2"/>
  <c r="P362" i="2" s="1"/>
  <c r="O1585" i="2"/>
  <c r="P1585" i="2" s="1"/>
  <c r="O1586" i="2"/>
  <c r="P1586" i="2" s="1"/>
  <c r="O366" i="2"/>
  <c r="P366" i="2" s="1"/>
  <c r="O1588" i="2"/>
  <c r="P1588" i="2" s="1"/>
  <c r="O1589" i="2"/>
  <c r="P1589" i="2" s="1"/>
  <c r="O1590" i="2"/>
  <c r="P1590" i="2" s="1"/>
  <c r="O1591" i="2"/>
  <c r="P1591" i="2" s="1"/>
  <c r="O1592" i="2"/>
  <c r="P1592" i="2" s="1"/>
  <c r="O1593" i="2"/>
  <c r="P1593" i="2" s="1"/>
  <c r="O1594" i="2"/>
  <c r="P1594" i="2" s="1"/>
  <c r="O1595" i="2"/>
  <c r="P1595" i="2" s="1"/>
  <c r="O1650" i="2"/>
  <c r="P1650" i="2" s="1"/>
  <c r="O808" i="2"/>
  <c r="P808" i="2" s="1"/>
  <c r="O1598" i="2"/>
  <c r="P1598" i="2" s="1"/>
  <c r="O1599" i="2"/>
  <c r="P1599" i="2" s="1"/>
  <c r="O1274" i="2"/>
  <c r="P1274" i="2" s="1"/>
  <c r="O1601" i="2"/>
  <c r="P1601" i="2" s="1"/>
  <c r="O1602" i="2"/>
  <c r="P1602" i="2" s="1"/>
  <c r="O1603" i="2"/>
  <c r="P1603" i="2" s="1"/>
  <c r="O1604" i="2"/>
  <c r="P1604" i="2" s="1"/>
  <c r="O1605" i="2"/>
  <c r="P1605" i="2" s="1"/>
  <c r="O1606" i="2"/>
  <c r="P1606" i="2" s="1"/>
  <c r="O1275" i="2"/>
  <c r="P1275" i="2" s="1"/>
  <c r="O1608" i="2"/>
  <c r="P1608" i="2" s="1"/>
  <c r="O1728" i="2"/>
  <c r="P1728" i="2" s="1"/>
  <c r="O1610" i="2"/>
  <c r="P1610" i="2" s="1"/>
  <c r="O1611" i="2"/>
  <c r="P1611" i="2" s="1"/>
  <c r="O1612" i="2"/>
  <c r="P1612" i="2" s="1"/>
  <c r="O1735" i="2"/>
  <c r="P1735" i="2" s="1"/>
  <c r="O1614" i="2"/>
  <c r="P1614" i="2" s="1"/>
  <c r="O812" i="2"/>
  <c r="P812" i="2" s="1"/>
  <c r="O1616" i="2"/>
  <c r="P1616" i="2" s="1"/>
  <c r="O1617" i="2"/>
  <c r="P1617" i="2" s="1"/>
  <c r="O1967" i="2"/>
  <c r="P1967" i="2" s="1"/>
  <c r="O1619" i="2"/>
  <c r="P1619" i="2" s="1"/>
  <c r="O1620" i="2"/>
  <c r="P1620" i="2" s="1"/>
  <c r="O1621" i="2"/>
  <c r="P1621" i="2" s="1"/>
  <c r="O1622" i="2"/>
  <c r="P1622" i="2" s="1"/>
  <c r="O1623" i="2"/>
  <c r="P1623" i="2" s="1"/>
  <c r="O1624" i="2"/>
  <c r="P1624" i="2" s="1"/>
  <c r="O817" i="2"/>
  <c r="P817" i="2" s="1"/>
  <c r="O1626" i="2"/>
  <c r="P1626" i="2" s="1"/>
  <c r="O1627" i="2"/>
  <c r="P1627" i="2" s="1"/>
  <c r="O1628" i="2"/>
  <c r="P1628" i="2" s="1"/>
  <c r="O1436" i="2"/>
  <c r="P1436" i="2" s="1"/>
  <c r="O1630" i="2"/>
  <c r="P1630" i="2" s="1"/>
  <c r="O1631" i="2"/>
  <c r="P1631" i="2" s="1"/>
  <c r="O1440" i="2"/>
  <c r="P1440" i="2" s="1"/>
  <c r="O1633" i="2"/>
  <c r="P1633" i="2" s="1"/>
  <c r="O1652" i="2"/>
  <c r="P1652" i="2" s="1"/>
  <c r="O1635" i="2"/>
  <c r="P1635" i="2" s="1"/>
  <c r="O1636" i="2"/>
  <c r="P1636" i="2" s="1"/>
  <c r="O1637" i="2"/>
  <c r="P1637" i="2" s="1"/>
  <c r="O822" i="2"/>
  <c r="P822" i="2" s="1"/>
  <c r="O1639" i="2"/>
  <c r="P1639" i="2" s="1"/>
  <c r="O1640" i="2"/>
  <c r="P1640" i="2" s="1"/>
  <c r="O1641" i="2"/>
  <c r="P1641" i="2" s="1"/>
  <c r="O1642" i="2"/>
  <c r="P1642" i="2" s="1"/>
  <c r="O1643" i="2"/>
  <c r="P1643" i="2" s="1"/>
  <c r="O835" i="2"/>
  <c r="P835" i="2" s="1"/>
  <c r="O1645" i="2"/>
  <c r="P1645" i="2" s="1"/>
  <c r="O1646" i="2"/>
  <c r="P1646" i="2" s="1"/>
  <c r="O1647" i="2"/>
  <c r="P1647" i="2" s="1"/>
  <c r="O1298" i="2"/>
  <c r="P1298" i="2" s="1"/>
  <c r="O1659" i="2"/>
  <c r="P1659" i="2" s="1"/>
  <c r="O845" i="2"/>
  <c r="P845" i="2" s="1"/>
  <c r="O1651" i="2"/>
  <c r="P1651" i="2" s="1"/>
  <c r="O1664" i="2"/>
  <c r="P1664" i="2" s="1"/>
  <c r="O1653" i="2"/>
  <c r="P1653" i="2" s="1"/>
  <c r="O1654" i="2"/>
  <c r="P1654" i="2" s="1"/>
  <c r="O1655" i="2"/>
  <c r="P1655" i="2" s="1"/>
  <c r="O1656" i="2"/>
  <c r="P1656" i="2" s="1"/>
  <c r="O1657" i="2"/>
  <c r="P1657" i="2" s="1"/>
  <c r="O1658" i="2"/>
  <c r="P1658" i="2" s="1"/>
  <c r="O1668" i="2"/>
  <c r="P1668" i="2" s="1"/>
  <c r="O1660" i="2"/>
  <c r="P1660" i="2" s="1"/>
  <c r="O1661" i="2"/>
  <c r="P1661" i="2" s="1"/>
  <c r="O1662" i="2"/>
  <c r="P1662" i="2" s="1"/>
  <c r="O1663" i="2"/>
  <c r="P1663" i="2" s="1"/>
  <c r="O1299" i="2"/>
  <c r="P1299" i="2" s="1"/>
  <c r="O1665" i="2"/>
  <c r="P1665" i="2" s="1"/>
  <c r="O1666" i="2"/>
  <c r="P1666" i="2" s="1"/>
  <c r="O1667" i="2"/>
  <c r="P1667" i="2" s="1"/>
  <c r="O849" i="2"/>
  <c r="P849" i="2" s="1"/>
  <c r="O1669" i="2"/>
  <c r="P1669" i="2" s="1"/>
  <c r="O1670" i="2"/>
  <c r="P1670" i="2" s="1"/>
  <c r="O1671" i="2"/>
  <c r="P1671" i="2" s="1"/>
  <c r="O1672" i="2"/>
  <c r="P1672" i="2" s="1"/>
  <c r="O1673" i="2"/>
  <c r="P1673" i="2" s="1"/>
  <c r="O1674" i="2"/>
  <c r="P1674" i="2" s="1"/>
  <c r="O1675" i="2"/>
  <c r="P1675" i="2" s="1"/>
  <c r="O1676" i="2"/>
  <c r="P1676" i="2" s="1"/>
  <c r="O1677" i="2"/>
  <c r="P1677" i="2" s="1"/>
  <c r="O865" i="2"/>
  <c r="P865" i="2" s="1"/>
  <c r="O1971" i="2"/>
  <c r="P1971" i="2" s="1"/>
  <c r="O1680" i="2"/>
  <c r="P1680" i="2" s="1"/>
  <c r="O1681" i="2"/>
  <c r="P1681" i="2" s="1"/>
  <c r="O1682" i="2"/>
  <c r="P1682" i="2" s="1"/>
  <c r="O1683" i="2"/>
  <c r="P1683" i="2" s="1"/>
  <c r="O1684" i="2"/>
  <c r="P1684" i="2" s="1"/>
  <c r="O1685" i="2"/>
  <c r="P1685" i="2" s="1"/>
  <c r="O1686" i="2"/>
  <c r="P1686" i="2" s="1"/>
  <c r="O1687" i="2"/>
  <c r="P1687" i="2" s="1"/>
  <c r="O1688" i="2"/>
  <c r="P1688" i="2" s="1"/>
  <c r="O1689" i="2"/>
  <c r="P1689" i="2" s="1"/>
  <c r="O1690" i="2"/>
  <c r="P1690" i="2" s="1"/>
  <c r="O1691" i="2"/>
  <c r="P1691" i="2" s="1"/>
  <c r="O1692" i="2"/>
  <c r="P1692" i="2" s="1"/>
  <c r="O1693" i="2"/>
  <c r="P1693" i="2" s="1"/>
  <c r="O1694" i="2"/>
  <c r="P1694" i="2" s="1"/>
  <c r="O1695" i="2"/>
  <c r="P1695" i="2" s="1"/>
  <c r="O367" i="2"/>
  <c r="P367" i="2" s="1"/>
  <c r="O1697" i="2"/>
  <c r="P1697" i="2" s="1"/>
  <c r="O1698" i="2"/>
  <c r="P1698" i="2" s="1"/>
  <c r="O1699" i="2"/>
  <c r="P1699" i="2" s="1"/>
  <c r="O872" i="2"/>
  <c r="P872" i="2" s="1"/>
  <c r="O1701" i="2"/>
  <c r="P1701" i="2" s="1"/>
  <c r="O1702" i="2"/>
  <c r="P1702" i="2" s="1"/>
  <c r="O1305" i="2"/>
  <c r="P1305" i="2" s="1"/>
  <c r="O1704" i="2"/>
  <c r="P1704" i="2" s="1"/>
  <c r="O1705" i="2"/>
  <c r="P1705" i="2" s="1"/>
  <c r="O1706" i="2"/>
  <c r="P1706" i="2" s="1"/>
  <c r="O1707" i="2"/>
  <c r="P1707" i="2" s="1"/>
  <c r="O1708" i="2"/>
  <c r="P1708" i="2" s="1"/>
  <c r="O1709" i="2"/>
  <c r="P1709" i="2" s="1"/>
  <c r="O1710" i="2"/>
  <c r="P1710" i="2" s="1"/>
  <c r="O1711" i="2"/>
  <c r="P1711" i="2" s="1"/>
  <c r="O1712" i="2"/>
  <c r="P1712" i="2" s="1"/>
  <c r="O1713" i="2"/>
  <c r="P1713" i="2" s="1"/>
  <c r="O1714" i="2"/>
  <c r="P1714" i="2" s="1"/>
  <c r="O1715" i="2"/>
  <c r="P1715" i="2" s="1"/>
  <c r="O877" i="2"/>
  <c r="P877" i="2" s="1"/>
  <c r="O1717" i="2"/>
  <c r="P1717" i="2" s="1"/>
  <c r="O1718" i="2"/>
  <c r="P1718" i="2" s="1"/>
  <c r="O1719" i="2"/>
  <c r="P1719" i="2" s="1"/>
  <c r="O1720" i="2"/>
  <c r="P1720" i="2" s="1"/>
  <c r="O1721" i="2"/>
  <c r="P1721" i="2" s="1"/>
  <c r="O1722" i="2"/>
  <c r="P1722" i="2" s="1"/>
  <c r="O1723" i="2"/>
  <c r="P1723" i="2" s="1"/>
  <c r="O1724" i="2"/>
  <c r="P1724" i="2" s="1"/>
  <c r="O543" i="2"/>
  <c r="P543" i="2" s="1"/>
  <c r="O554" i="2"/>
  <c r="P554" i="2" s="1"/>
  <c r="O221" i="2"/>
  <c r="P221" i="2" s="1"/>
  <c r="O97" i="2"/>
  <c r="P97" i="2" s="1"/>
  <c r="O1729" i="2"/>
  <c r="P1729" i="2" s="1"/>
  <c r="O1730" i="2"/>
  <c r="P1730" i="2" s="1"/>
  <c r="O1731" i="2"/>
  <c r="P1731" i="2" s="1"/>
  <c r="O1732" i="2"/>
  <c r="P1732" i="2" s="1"/>
  <c r="O1733" i="2"/>
  <c r="P1733" i="2" s="1"/>
  <c r="O1734" i="2"/>
  <c r="P1734" i="2" s="1"/>
  <c r="O1678" i="2"/>
  <c r="P1678" i="2" s="1"/>
  <c r="O1736" i="2"/>
  <c r="P1736" i="2" s="1"/>
  <c r="O1313" i="2"/>
  <c r="P1313" i="2" s="1"/>
  <c r="O1738" i="2"/>
  <c r="P1738" i="2" s="1"/>
  <c r="O1739" i="2"/>
  <c r="P1739" i="2" s="1"/>
  <c r="O1740" i="2"/>
  <c r="P1740" i="2" s="1"/>
  <c r="O1741" i="2"/>
  <c r="P1741" i="2" s="1"/>
  <c r="O1742" i="2"/>
  <c r="P1742" i="2" s="1"/>
  <c r="O1743" i="2"/>
  <c r="P1743" i="2" s="1"/>
  <c r="O1454" i="2"/>
  <c r="P1454" i="2" s="1"/>
  <c r="O1745" i="2"/>
  <c r="P1745" i="2" s="1"/>
  <c r="O556" i="2"/>
  <c r="P556" i="2" s="1"/>
  <c r="O1747" i="2"/>
  <c r="P1747" i="2" s="1"/>
  <c r="O557" i="2"/>
  <c r="P557" i="2" s="1"/>
  <c r="O1316" i="2"/>
  <c r="P1316" i="2" s="1"/>
  <c r="O1973" i="2"/>
  <c r="P1973" i="2" s="1"/>
  <c r="O1751" i="2"/>
  <c r="P1751" i="2" s="1"/>
  <c r="O1752" i="2"/>
  <c r="P1752" i="2" s="1"/>
  <c r="O881" i="2"/>
  <c r="P881" i="2" s="1"/>
  <c r="O1754" i="2"/>
  <c r="P1754" i="2" s="1"/>
  <c r="O1755" i="2"/>
  <c r="P1755" i="2" s="1"/>
  <c r="O1756" i="2"/>
  <c r="P1756" i="2" s="1"/>
  <c r="O1757" i="2"/>
  <c r="P1757" i="2" s="1"/>
  <c r="O1758" i="2"/>
  <c r="P1758" i="2" s="1"/>
  <c r="O1759" i="2"/>
  <c r="P1759" i="2" s="1"/>
  <c r="O370" i="2"/>
  <c r="P370" i="2" s="1"/>
  <c r="O1761" i="2"/>
  <c r="P1761" i="2" s="1"/>
  <c r="O1762" i="2"/>
  <c r="P1762" i="2" s="1"/>
  <c r="O1763" i="2"/>
  <c r="P1763" i="2" s="1"/>
  <c r="O1764" i="2"/>
  <c r="P1764" i="2" s="1"/>
  <c r="O1765" i="2"/>
  <c r="P1765" i="2" s="1"/>
  <c r="O1766" i="2"/>
  <c r="P1766" i="2" s="1"/>
  <c r="O1767" i="2"/>
  <c r="P1767" i="2" s="1"/>
  <c r="O1768" i="2"/>
  <c r="P1768" i="2" s="1"/>
  <c r="O1769" i="2"/>
  <c r="P1769" i="2" s="1"/>
  <c r="O1770" i="2"/>
  <c r="P1770" i="2" s="1"/>
  <c r="O1771" i="2"/>
  <c r="P1771" i="2" s="1"/>
  <c r="O1772" i="2"/>
  <c r="P1772" i="2" s="1"/>
  <c r="O1773" i="2"/>
  <c r="P1773" i="2" s="1"/>
  <c r="O1774" i="2"/>
  <c r="P1774" i="2" s="1"/>
  <c r="O1775" i="2"/>
  <c r="P1775" i="2" s="1"/>
  <c r="O1776" i="2"/>
  <c r="P1776" i="2" s="1"/>
  <c r="O1777" i="2"/>
  <c r="P1777" i="2" s="1"/>
  <c r="O1322" i="2"/>
  <c r="P1322" i="2" s="1"/>
  <c r="O1779" i="2"/>
  <c r="P1779" i="2" s="1"/>
  <c r="O1780" i="2"/>
  <c r="P1780" i="2" s="1"/>
  <c r="O1781" i="2"/>
  <c r="P1781" i="2" s="1"/>
  <c r="O1782" i="2"/>
  <c r="P1782" i="2" s="1"/>
  <c r="O1783" i="2"/>
  <c r="P1783" i="2" s="1"/>
  <c r="O1784" i="2"/>
  <c r="P1784" i="2" s="1"/>
  <c r="O1785" i="2"/>
  <c r="P1785" i="2" s="1"/>
  <c r="O1786" i="2"/>
  <c r="P1786" i="2" s="1"/>
  <c r="O1787" i="2"/>
  <c r="P1787" i="2" s="1"/>
  <c r="O1788" i="2"/>
  <c r="P1788" i="2" s="1"/>
  <c r="O1789" i="2"/>
  <c r="P1789" i="2" s="1"/>
  <c r="O1790" i="2"/>
  <c r="P1790" i="2" s="1"/>
  <c r="O1791" i="2"/>
  <c r="P1791" i="2" s="1"/>
  <c r="O1792" i="2"/>
  <c r="P1792" i="2" s="1"/>
  <c r="O1793" i="2"/>
  <c r="P1793" i="2" s="1"/>
  <c r="O1990" i="2"/>
  <c r="P1990" i="2" s="1"/>
  <c r="O1795" i="2"/>
  <c r="P1795" i="2" s="1"/>
  <c r="O1796" i="2"/>
  <c r="P1796" i="2" s="1"/>
  <c r="O1797" i="2"/>
  <c r="P1797" i="2" s="1"/>
  <c r="O1798" i="2"/>
  <c r="P1798" i="2" s="1"/>
  <c r="O1799" i="2"/>
  <c r="P1799" i="2" s="1"/>
  <c r="O891" i="2"/>
  <c r="P891" i="2" s="1"/>
  <c r="O1801" i="2"/>
  <c r="P1801" i="2" s="1"/>
  <c r="O1802" i="2"/>
  <c r="P1802" i="2" s="1"/>
  <c r="O1803" i="2"/>
  <c r="P1803" i="2" s="1"/>
  <c r="O1974" i="2"/>
  <c r="P1974" i="2" s="1"/>
  <c r="O1805" i="2"/>
  <c r="P1805" i="2" s="1"/>
  <c r="O1338" i="2"/>
  <c r="P1338" i="2" s="1"/>
  <c r="O1345" i="2"/>
  <c r="P1345" i="2" s="1"/>
  <c r="O1808" i="2"/>
  <c r="P1808" i="2" s="1"/>
  <c r="O1809" i="2"/>
  <c r="P1809" i="2" s="1"/>
  <c r="O893" i="2"/>
  <c r="P893" i="2" s="1"/>
  <c r="O1811" i="2"/>
  <c r="P1811" i="2" s="1"/>
  <c r="O1812" i="2"/>
  <c r="P1812" i="2" s="1"/>
  <c r="O1813" i="2"/>
  <c r="P1813" i="2" s="1"/>
  <c r="O1814" i="2"/>
  <c r="P1814" i="2" s="1"/>
  <c r="O1815" i="2"/>
  <c r="P1815" i="2" s="1"/>
  <c r="O1816" i="2"/>
  <c r="P1816" i="2" s="1"/>
  <c r="O1725" i="2"/>
  <c r="P1725" i="2" s="1"/>
  <c r="O1818" i="2"/>
  <c r="P1818" i="2" s="1"/>
  <c r="O223" i="2"/>
  <c r="P223" i="2" s="1"/>
  <c r="O174" i="2"/>
  <c r="P174" i="2" s="1"/>
  <c r="O1821" i="2"/>
  <c r="P1821" i="2" s="1"/>
  <c r="O1822" i="2"/>
  <c r="P1822" i="2" s="1"/>
  <c r="O374" i="2"/>
  <c r="P374" i="2" s="1"/>
  <c r="O1824" i="2"/>
  <c r="P1824" i="2" s="1"/>
  <c r="O1825" i="2"/>
  <c r="P1825" i="2" s="1"/>
  <c r="O1826" i="2"/>
  <c r="P1826" i="2" s="1"/>
  <c r="O1827" i="2"/>
  <c r="P1827" i="2" s="1"/>
  <c r="O1828" i="2"/>
  <c r="P1828" i="2" s="1"/>
  <c r="O1829" i="2"/>
  <c r="P1829" i="2" s="1"/>
  <c r="O1830" i="2"/>
  <c r="P1830" i="2" s="1"/>
  <c r="O1831" i="2"/>
  <c r="P1831" i="2" s="1"/>
  <c r="O1832" i="2"/>
  <c r="P1832" i="2" s="1"/>
  <c r="O1833" i="2"/>
  <c r="P1833" i="2" s="1"/>
  <c r="O1834" i="2"/>
  <c r="P1834" i="2" s="1"/>
  <c r="O1835" i="2"/>
  <c r="P1835" i="2" s="1"/>
  <c r="O1347" i="2"/>
  <c r="P1347" i="2" s="1"/>
  <c r="O1837" i="2"/>
  <c r="P1837" i="2" s="1"/>
  <c r="O1838" i="2"/>
  <c r="P1838" i="2" s="1"/>
  <c r="O1839" i="2"/>
  <c r="P1839" i="2" s="1"/>
  <c r="O1840" i="2"/>
  <c r="P1840" i="2" s="1"/>
  <c r="O1841" i="2"/>
  <c r="P1841" i="2" s="1"/>
  <c r="O1842" i="2"/>
  <c r="P1842" i="2" s="1"/>
  <c r="O1843" i="2"/>
  <c r="P1843" i="2" s="1"/>
  <c r="O1844" i="2"/>
  <c r="P1844" i="2" s="1"/>
  <c r="O1845" i="2"/>
  <c r="P1845" i="2" s="1"/>
  <c r="O1846" i="2"/>
  <c r="P1846" i="2" s="1"/>
  <c r="O1847" i="2"/>
  <c r="P1847" i="2" s="1"/>
  <c r="O1848" i="2"/>
  <c r="P1848" i="2" s="1"/>
  <c r="O1849" i="2"/>
  <c r="P1849" i="2" s="1"/>
  <c r="O1850" i="2"/>
  <c r="P1850" i="2" s="1"/>
  <c r="O1851" i="2"/>
  <c r="P1851" i="2" s="1"/>
  <c r="O1852" i="2"/>
  <c r="P1852" i="2" s="1"/>
  <c r="O1853" i="2"/>
  <c r="P1853" i="2" s="1"/>
  <c r="O1854" i="2"/>
  <c r="P1854" i="2" s="1"/>
  <c r="O1855" i="2"/>
  <c r="P1855" i="2" s="1"/>
  <c r="O571" i="2"/>
  <c r="P571" i="2" s="1"/>
  <c r="O1981" i="2"/>
  <c r="P1981" i="2" s="1"/>
  <c r="O1858" i="2"/>
  <c r="P1858" i="2" s="1"/>
  <c r="O1859" i="2"/>
  <c r="P1859" i="2" s="1"/>
  <c r="O1860" i="2"/>
  <c r="P1860" i="2" s="1"/>
  <c r="O1861" i="2"/>
  <c r="P1861" i="2" s="1"/>
  <c r="O895" i="2"/>
  <c r="P895" i="2" s="1"/>
  <c r="O1863" i="2"/>
  <c r="P1863" i="2" s="1"/>
  <c r="O577" i="2"/>
  <c r="P577" i="2" s="1"/>
  <c r="O1865" i="2"/>
  <c r="P1865" i="2" s="1"/>
  <c r="O1349" i="2"/>
  <c r="P1349" i="2" s="1"/>
  <c r="O1867" i="2"/>
  <c r="P1867" i="2" s="1"/>
  <c r="O1868" i="2"/>
  <c r="P1868" i="2" s="1"/>
  <c r="O1869" i="2"/>
  <c r="P1869" i="2" s="1"/>
  <c r="O1870" i="2"/>
  <c r="P1870" i="2" s="1"/>
  <c r="O1871" i="2"/>
  <c r="P1871" i="2" s="1"/>
  <c r="O1872" i="2"/>
  <c r="P1872" i="2" s="1"/>
  <c r="O1873" i="2"/>
  <c r="P1873" i="2" s="1"/>
  <c r="O1874" i="2"/>
  <c r="P1874" i="2" s="1"/>
  <c r="O1875" i="2"/>
  <c r="P1875" i="2" s="1"/>
  <c r="O1876" i="2"/>
  <c r="P1876" i="2" s="1"/>
  <c r="O1877" i="2"/>
  <c r="P1877" i="2" s="1"/>
  <c r="O896" i="2"/>
  <c r="P896" i="2" s="1"/>
  <c r="O1879" i="2"/>
  <c r="P1879" i="2" s="1"/>
  <c r="O1880" i="2"/>
  <c r="P1880" i="2" s="1"/>
  <c r="O1881" i="2"/>
  <c r="P1881" i="2" s="1"/>
  <c r="O900" i="2"/>
  <c r="P900" i="2" s="1"/>
  <c r="O1679" i="2"/>
  <c r="P1679" i="2" s="1"/>
  <c r="O1884" i="2"/>
  <c r="P1884" i="2" s="1"/>
  <c r="O1885" i="2"/>
  <c r="P1885" i="2" s="1"/>
  <c r="O901" i="2"/>
  <c r="P901" i="2" s="1"/>
  <c r="O1352" i="2"/>
  <c r="P1352" i="2" s="1"/>
  <c r="O1888" i="2"/>
  <c r="P1888" i="2" s="1"/>
  <c r="O1889" i="2"/>
  <c r="P1889" i="2" s="1"/>
  <c r="O1890" i="2"/>
  <c r="P1890" i="2" s="1"/>
  <c r="O1891" i="2"/>
  <c r="P1891" i="2" s="1"/>
  <c r="O1357" i="2"/>
  <c r="P1357" i="2" s="1"/>
  <c r="O1893" i="2"/>
  <c r="P1893" i="2" s="1"/>
  <c r="O1894" i="2"/>
  <c r="P1894" i="2" s="1"/>
  <c r="O583" i="2"/>
  <c r="P583" i="2" s="1"/>
  <c r="O1896" i="2"/>
  <c r="P1896" i="2" s="1"/>
  <c r="O1897" i="2"/>
  <c r="P1897" i="2" s="1"/>
  <c r="O1898" i="2"/>
  <c r="P1898" i="2" s="1"/>
  <c r="O1899" i="2"/>
  <c r="P1899" i="2" s="1"/>
  <c r="O1900" i="2"/>
  <c r="P1900" i="2" s="1"/>
  <c r="O1901" i="2"/>
  <c r="P1901" i="2" s="1"/>
  <c r="O1902" i="2"/>
  <c r="P1902" i="2" s="1"/>
  <c r="O1903" i="2"/>
  <c r="P1903" i="2" s="1"/>
  <c r="O1455" i="2"/>
  <c r="P1455" i="2" s="1"/>
  <c r="O1905" i="2"/>
  <c r="P1905" i="2" s="1"/>
  <c r="O1906" i="2"/>
  <c r="P1906" i="2" s="1"/>
  <c r="O1907" i="2"/>
  <c r="P1907" i="2" s="1"/>
  <c r="O1696" i="2"/>
  <c r="P1696" i="2" s="1"/>
  <c r="O1909" i="2"/>
  <c r="P1909" i="2" s="1"/>
  <c r="O1910" i="2"/>
  <c r="P1910" i="2" s="1"/>
  <c r="O1911" i="2"/>
  <c r="P1911" i="2" s="1"/>
  <c r="O1912" i="2"/>
  <c r="P1912" i="2" s="1"/>
  <c r="O1913" i="2"/>
  <c r="P1913" i="2" s="1"/>
  <c r="O1914" i="2"/>
  <c r="P1914" i="2" s="1"/>
  <c r="O1915" i="2"/>
  <c r="P1915" i="2" s="1"/>
  <c r="O1916" i="2"/>
  <c r="P1916" i="2" s="1"/>
  <c r="O1917" i="2"/>
  <c r="P1917" i="2" s="1"/>
  <c r="O1918" i="2"/>
  <c r="P1918" i="2" s="1"/>
  <c r="O1919" i="2"/>
  <c r="P1919" i="2" s="1"/>
  <c r="O1920" i="2"/>
  <c r="P1920" i="2" s="1"/>
  <c r="O1921" i="2"/>
  <c r="P1921" i="2" s="1"/>
  <c r="O1922" i="2"/>
  <c r="P1922" i="2" s="1"/>
  <c r="O1360" i="2"/>
  <c r="P1360" i="2" s="1"/>
  <c r="O1924" i="2"/>
  <c r="P1924" i="2" s="1"/>
  <c r="O1925" i="2"/>
  <c r="P1925" i="2" s="1"/>
  <c r="O1926" i="2"/>
  <c r="P1926" i="2" s="1"/>
  <c r="O1927" i="2"/>
  <c r="P1927" i="2" s="1"/>
  <c r="O1928" i="2"/>
  <c r="P1928" i="2" s="1"/>
  <c r="O1929" i="2"/>
  <c r="P1929" i="2" s="1"/>
  <c r="O902" i="2"/>
  <c r="P902" i="2" s="1"/>
  <c r="O1931" i="2"/>
  <c r="P1931" i="2" s="1"/>
  <c r="O1932" i="2"/>
  <c r="P1932" i="2" s="1"/>
  <c r="O1362" i="2"/>
  <c r="P1362" i="2" s="1"/>
  <c r="O585" i="2"/>
  <c r="P585" i="2" s="1"/>
  <c r="O1935" i="2"/>
  <c r="P1935" i="2" s="1"/>
  <c r="O1936" i="2"/>
  <c r="P1936" i="2" s="1"/>
  <c r="O1937" i="2"/>
  <c r="P1937" i="2" s="1"/>
  <c r="O1938" i="2"/>
  <c r="P1938" i="2" s="1"/>
  <c r="O1939" i="2"/>
  <c r="P1939" i="2" s="1"/>
  <c r="O1940" i="2"/>
  <c r="P1940" i="2" s="1"/>
  <c r="O1941" i="2"/>
  <c r="P1941" i="2" s="1"/>
  <c r="O1942" i="2"/>
  <c r="P1942" i="2" s="1"/>
  <c r="O1943" i="2"/>
  <c r="P1943" i="2" s="1"/>
  <c r="O1944" i="2"/>
  <c r="P1944" i="2" s="1"/>
  <c r="O1945" i="2"/>
  <c r="P1945" i="2" s="1"/>
  <c r="O1946" i="2"/>
  <c r="P1946" i="2" s="1"/>
  <c r="O1947" i="2"/>
  <c r="P1947" i="2" s="1"/>
  <c r="O1948" i="2"/>
  <c r="P1948" i="2" s="1"/>
  <c r="O1949" i="2"/>
  <c r="P1949" i="2" s="1"/>
  <c r="O1950" i="2"/>
  <c r="P1950" i="2" s="1"/>
  <c r="O1951" i="2"/>
  <c r="P1951" i="2" s="1"/>
  <c r="O1952" i="2"/>
  <c r="P1952" i="2" s="1"/>
  <c r="O589" i="2"/>
  <c r="P589" i="2" s="1"/>
  <c r="O1954" i="2"/>
  <c r="P1954" i="2" s="1"/>
  <c r="O1955" i="2"/>
  <c r="P1955" i="2" s="1"/>
  <c r="O1956" i="2"/>
  <c r="P1956" i="2" s="1"/>
  <c r="O1957" i="2"/>
  <c r="P1957" i="2" s="1"/>
  <c r="O1700" i="2"/>
  <c r="P1700" i="2" s="1"/>
  <c r="O1959" i="2"/>
  <c r="P1959" i="2" s="1"/>
  <c r="O1960" i="2"/>
  <c r="P1960" i="2" s="1"/>
  <c r="O1961" i="2"/>
  <c r="P1961" i="2" s="1"/>
  <c r="O1962" i="2"/>
  <c r="P1962" i="2" s="1"/>
  <c r="O1963" i="2"/>
  <c r="P1963" i="2" s="1"/>
  <c r="O1964" i="2"/>
  <c r="P1964" i="2" s="1"/>
  <c r="O1965" i="2"/>
  <c r="P1965" i="2" s="1"/>
  <c r="O1966" i="2"/>
  <c r="P1966" i="2" s="1"/>
  <c r="O380" i="2"/>
  <c r="P380" i="2" s="1"/>
  <c r="O1968" i="2"/>
  <c r="P1968" i="2" s="1"/>
  <c r="O1969" i="2"/>
  <c r="P1969" i="2" s="1"/>
  <c r="O1970" i="2"/>
  <c r="P1970" i="2" s="1"/>
  <c r="O1703" i="2"/>
  <c r="P1703" i="2" s="1"/>
  <c r="O1972" i="2"/>
  <c r="P1972" i="2" s="1"/>
  <c r="O1716" i="2"/>
  <c r="P1716" i="2" s="1"/>
  <c r="O905" i="2"/>
  <c r="P905" i="2" s="1"/>
  <c r="O1975" i="2"/>
  <c r="P1975" i="2" s="1"/>
  <c r="O1976" i="2"/>
  <c r="P1976" i="2" s="1"/>
  <c r="O1977" i="2"/>
  <c r="P1977" i="2" s="1"/>
  <c r="O1978" i="2"/>
  <c r="P1978" i="2" s="1"/>
  <c r="O1979" i="2"/>
  <c r="P1979" i="2" s="1"/>
  <c r="O1980" i="2"/>
  <c r="P1980" i="2" s="1"/>
  <c r="O591" i="2"/>
  <c r="P591" i="2" s="1"/>
  <c r="O1982" i="2"/>
  <c r="P1982" i="2" s="1"/>
  <c r="O1983" i="2"/>
  <c r="P1983" i="2" s="1"/>
  <c r="O1984" i="2"/>
  <c r="P1984" i="2" s="1"/>
  <c r="O1985" i="2"/>
  <c r="P1985" i="2" s="1"/>
  <c r="O1986" i="2"/>
  <c r="P1986" i="2" s="1"/>
  <c r="O912" i="2"/>
  <c r="P912" i="2" s="1"/>
  <c r="O1988" i="2"/>
  <c r="P1988" i="2" s="1"/>
  <c r="O1989" i="2"/>
  <c r="P1989" i="2" s="1"/>
  <c r="O381" i="2"/>
  <c r="P381" i="2" s="1"/>
  <c r="O1991" i="2"/>
  <c r="P1991" i="2" s="1"/>
  <c r="O1992" i="2"/>
  <c r="P1992" i="2" s="1"/>
  <c r="O1993" i="2"/>
  <c r="P1993" i="2" s="1"/>
  <c r="O1994" i="2"/>
  <c r="P1994" i="2" s="1"/>
  <c r="O1995" i="2"/>
  <c r="P1995" i="2" s="1"/>
  <c r="O1996" i="2"/>
  <c r="P1996" i="2" s="1"/>
  <c r="O1997" i="2"/>
  <c r="P1997" i="2" s="1"/>
  <c r="O1998" i="2"/>
  <c r="P1998" i="2" s="1"/>
  <c r="O1999" i="2"/>
  <c r="P1999" i="2" s="1"/>
  <c r="O2000" i="2"/>
  <c r="P2000" i="2" s="1"/>
  <c r="O2001" i="2"/>
  <c r="P2001"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347DA6-8D71-4E18-959A-75B10A8CE80B}" keepAlive="1" name="Query - Tickets" description="Connection to the 'Tickets' query in the workbook." type="5" refreshedVersion="8" background="1" saveData="1">
    <dbPr connection="Provider=Microsoft.Mashup.OleDb.1;Data Source=$Workbook$;Location=Tickets;Extended Properties=&quot;&quot;" command="SELECT * FROM [Tickets]"/>
  </connection>
</connections>
</file>

<file path=xl/sharedStrings.xml><?xml version="1.0" encoding="utf-8"?>
<sst xmlns="http://schemas.openxmlformats.org/spreadsheetml/2006/main" count="16094" uniqueCount="4058">
  <si>
    <t>Ticket ID</t>
  </si>
  <si>
    <t>Customer Name</t>
  </si>
  <si>
    <t>Customer Email</t>
  </si>
  <si>
    <t>Product Purchased</t>
  </si>
  <si>
    <t>Date of Purchase</t>
  </si>
  <si>
    <t>Ticket Type</t>
  </si>
  <si>
    <t>Ticket Subject</t>
  </si>
  <si>
    <t>Ticket Status</t>
  </si>
  <si>
    <t>Ticket Priority</t>
  </si>
  <si>
    <t>Ticket Channel</t>
  </si>
  <si>
    <t>First Response Time</t>
  </si>
  <si>
    <t>Time to Resolution</t>
  </si>
  <si>
    <t>Customer Satisfaction Rating</t>
  </si>
  <si>
    <t>Resolution Duration Hours</t>
  </si>
  <si>
    <t>Allison Hill</t>
  </si>
  <si>
    <t>Javier Johnson</t>
  </si>
  <si>
    <t>Meredith Barnes</t>
  </si>
  <si>
    <t>Melissa Peterson</t>
  </si>
  <si>
    <t>Ian Cooper</t>
  </si>
  <si>
    <t>Edward Fuller</t>
  </si>
  <si>
    <t>Victoria Wyatt</t>
  </si>
  <si>
    <t>Daniel Adams</t>
  </si>
  <si>
    <t>James Mayo</t>
  </si>
  <si>
    <t>Renee Morales</t>
  </si>
  <si>
    <t>Jonathan Wilkerson</t>
  </si>
  <si>
    <t>Deborah Richards</t>
  </si>
  <si>
    <t>Anthony Rodriguez</t>
  </si>
  <si>
    <t>Zachary Rice</t>
  </si>
  <si>
    <t>Martin Rodriguez</t>
  </si>
  <si>
    <t>Jonathan White</t>
  </si>
  <si>
    <t>Brittany Farmer</t>
  </si>
  <si>
    <t>Sandra Parker</t>
  </si>
  <si>
    <t>Rose Spence</t>
  </si>
  <si>
    <t>Shane Henderson</t>
  </si>
  <si>
    <t>Jennifer Powers</t>
  </si>
  <si>
    <t>George Chapman</t>
  </si>
  <si>
    <t>Austin Johnson</t>
  </si>
  <si>
    <t>Carlos Walls</t>
  </si>
  <si>
    <t>Matthew Gomez</t>
  </si>
  <si>
    <t>Maria Brown</t>
  </si>
  <si>
    <t>Brenda White</t>
  </si>
  <si>
    <t>Matthew Fernandez</t>
  </si>
  <si>
    <t>John Hancock</t>
  </si>
  <si>
    <t>Rachel Mitchell</t>
  </si>
  <si>
    <t>Kimberly Adkins</t>
  </si>
  <si>
    <t>Jordan York</t>
  </si>
  <si>
    <t>Steve Sanchez</t>
  </si>
  <si>
    <t>Taylor Harris</t>
  </si>
  <si>
    <t>Eugene Walton</t>
  </si>
  <si>
    <t>Daniel Baker</t>
  </si>
  <si>
    <t>Joshua Turner</t>
  </si>
  <si>
    <t>Brandy Wilson</t>
  </si>
  <si>
    <t>Grant Watts</t>
  </si>
  <si>
    <t>Donald Smith</t>
  </si>
  <si>
    <t>Jessica Smith</t>
  </si>
  <si>
    <t>Jacob Tran</t>
  </si>
  <si>
    <t>Amanda Howard</t>
  </si>
  <si>
    <t>Nicole Frost</t>
  </si>
  <si>
    <t>Norman Cook</t>
  </si>
  <si>
    <t>Michael Reyes</t>
  </si>
  <si>
    <t>Robert Perez</t>
  </si>
  <si>
    <t>Diana May</t>
  </si>
  <si>
    <t>Wesley White</t>
  </si>
  <si>
    <t>Jessica Joyce</t>
  </si>
  <si>
    <t>April Frost</t>
  </si>
  <si>
    <t>Mary Martinez</t>
  </si>
  <si>
    <t>Cameron Fisher</t>
  </si>
  <si>
    <t>Joshua Smith</t>
  </si>
  <si>
    <t>Jeremy Lewis</t>
  </si>
  <si>
    <t>Diane Beck</t>
  </si>
  <si>
    <t>Angel Riggs</t>
  </si>
  <si>
    <t>Janet Ross</t>
  </si>
  <si>
    <t>Christopher Rubio</t>
  </si>
  <si>
    <t>John Schmidt</t>
  </si>
  <si>
    <t>Terry Griffin</t>
  </si>
  <si>
    <t>Mark Cannon</t>
  </si>
  <si>
    <t>Cynthia Rogers</t>
  </si>
  <si>
    <t>Amy Russell</t>
  </si>
  <si>
    <t>Lauren Dominguez</t>
  </si>
  <si>
    <t>Steven Houston</t>
  </si>
  <si>
    <t>Michael Yates</t>
  </si>
  <si>
    <t>James Elliott</t>
  </si>
  <si>
    <t>James Lewis</t>
  </si>
  <si>
    <t>Julie Curry</t>
  </si>
  <si>
    <t>Marissa Webster</t>
  </si>
  <si>
    <t>Michael Elliott</t>
  </si>
  <si>
    <t>Tracey Higgins</t>
  </si>
  <si>
    <t>Susan Brooks</t>
  </si>
  <si>
    <t>Raymond Jefferson</t>
  </si>
  <si>
    <t>Mary Jones</t>
  </si>
  <si>
    <t>Madison Poole</t>
  </si>
  <si>
    <t>Tamara Hampton</t>
  </si>
  <si>
    <t>David Michael</t>
  </si>
  <si>
    <t>Gabrielle Snyder</t>
  </si>
  <si>
    <t>Kyle Beard</t>
  </si>
  <si>
    <t>Justin Allen</t>
  </si>
  <si>
    <t>Edward Sullivan</t>
  </si>
  <si>
    <t>Jessica Reese</t>
  </si>
  <si>
    <t>Nathan Stewart</t>
  </si>
  <si>
    <t>Paige Carlson</t>
  </si>
  <si>
    <t>Michael Martinez</t>
  </si>
  <si>
    <t>Nicole Garcia</t>
  </si>
  <si>
    <t>Anthony Everett</t>
  </si>
  <si>
    <t>Mark Brown</t>
  </si>
  <si>
    <t>Phillip Obrien</t>
  </si>
  <si>
    <t>Wanda Torres</t>
  </si>
  <si>
    <t>Matthew Moore</t>
  </si>
  <si>
    <t>Julie Johnson</t>
  </si>
  <si>
    <t>Rachel Weber</t>
  </si>
  <si>
    <t>Samantha Jones</t>
  </si>
  <si>
    <t>John Torres</t>
  </si>
  <si>
    <t>Kyle Preston</t>
  </si>
  <si>
    <t>Laura Sampson</t>
  </si>
  <si>
    <t>Donald Shea</t>
  </si>
  <si>
    <t>Gary Santiago</t>
  </si>
  <si>
    <t>Robin Pierce</t>
  </si>
  <si>
    <t>Jennifer Robertson</t>
  </si>
  <si>
    <t>Isaiah Avila</t>
  </si>
  <si>
    <t>Dwayne Gilmore</t>
  </si>
  <si>
    <t>Christopher Pierce</t>
  </si>
  <si>
    <t>Brittany Cantu</t>
  </si>
  <si>
    <t>Juan Reyes</t>
  </si>
  <si>
    <t>Katie Hoover</t>
  </si>
  <si>
    <t>Jill Washington</t>
  </si>
  <si>
    <t>Veronica Allen</t>
  </si>
  <si>
    <t>John Mcintyre</t>
  </si>
  <si>
    <t>Andrew Shaw MD</t>
  </si>
  <si>
    <t>Charles Pitts</t>
  </si>
  <si>
    <t>Jennifer Miller</t>
  </si>
  <si>
    <t>Olivia Brennan</t>
  </si>
  <si>
    <t>Nicole Hamilton MD</t>
  </si>
  <si>
    <t>Anthony Howard</t>
  </si>
  <si>
    <t>Catherine Thompson</t>
  </si>
  <si>
    <t>Joel King</t>
  </si>
  <si>
    <t>Jeremy Reed</t>
  </si>
  <si>
    <t>James Webb</t>
  </si>
  <si>
    <t>William Barrett</t>
  </si>
  <si>
    <t>Stephanie Parsons</t>
  </si>
  <si>
    <t>Megan Le</t>
  </si>
  <si>
    <t>Jeremiah Riley</t>
  </si>
  <si>
    <t>Carlos Ryan</t>
  </si>
  <si>
    <t>Elizabeth Harrell</t>
  </si>
  <si>
    <t>Veronica Coffey</t>
  </si>
  <si>
    <t>Jacob Curry</t>
  </si>
  <si>
    <t>Manuel Hahn</t>
  </si>
  <si>
    <t>Elizabeth Ortiz</t>
  </si>
  <si>
    <t>Stephen Taylor</t>
  </si>
  <si>
    <t>Patrick Moore</t>
  </si>
  <si>
    <t>Diana Vaughn</t>
  </si>
  <si>
    <t>Mrs. Stephanie Newman</t>
  </si>
  <si>
    <t>Daniel Fowler</t>
  </si>
  <si>
    <t>Andrea Hubbard</t>
  </si>
  <si>
    <t>Rachel Carlson</t>
  </si>
  <si>
    <t>Ashley Delacruz</t>
  </si>
  <si>
    <t>Christopher Williams</t>
  </si>
  <si>
    <t>Ivan Wheeler</t>
  </si>
  <si>
    <t>Sharon Boyd</t>
  </si>
  <si>
    <t>Jessica Rodriguez</t>
  </si>
  <si>
    <t>Cameron Weber</t>
  </si>
  <si>
    <t>Jessica Mcguire</t>
  </si>
  <si>
    <t>Jessica Beasley</t>
  </si>
  <si>
    <t>Emily Edwards</t>
  </si>
  <si>
    <t>Anna Davis</t>
  </si>
  <si>
    <t>Meagan Jenkins</t>
  </si>
  <si>
    <t>Heather Lane</t>
  </si>
  <si>
    <t>Holly Farmer</t>
  </si>
  <si>
    <t>Kristin Lynch</t>
  </si>
  <si>
    <t>Sergio Knight</t>
  </si>
  <si>
    <t>Joseph Bennett</t>
  </si>
  <si>
    <t>Todd Carlson</t>
  </si>
  <si>
    <t>Jeremy Coleman</t>
  </si>
  <si>
    <t>Brian Gregory</t>
  </si>
  <si>
    <t>Kyle Smith</t>
  </si>
  <si>
    <t>Jonathan Jordan</t>
  </si>
  <si>
    <t>Renee Jones</t>
  </si>
  <si>
    <t>Laura Mckinney</t>
  </si>
  <si>
    <t>Travis Stevens</t>
  </si>
  <si>
    <t>Blake Harrell</t>
  </si>
  <si>
    <t>Jordan Bullock</t>
  </si>
  <si>
    <t>Christopher Hernandez</t>
  </si>
  <si>
    <t>Olivia Cole</t>
  </si>
  <si>
    <t>Mark Hogan</t>
  </si>
  <si>
    <t>Jacob Mitchell</t>
  </si>
  <si>
    <t>Rebecca Huang</t>
  </si>
  <si>
    <t>John Hernandez</t>
  </si>
  <si>
    <t>Matthew Williams</t>
  </si>
  <si>
    <t>Jake Campbell</t>
  </si>
  <si>
    <t>Maria Jones</t>
  </si>
  <si>
    <t>Tracey Morrison</t>
  </si>
  <si>
    <t>Matthew Bates</t>
  </si>
  <si>
    <t>Rickey Li</t>
  </si>
  <si>
    <t>Christopher Lewis</t>
  </si>
  <si>
    <t>Richard Romero</t>
  </si>
  <si>
    <t>Brittany White</t>
  </si>
  <si>
    <t>Tracy Bishop</t>
  </si>
  <si>
    <t>Russell Richardson</t>
  </si>
  <si>
    <t>Tracy Montoya</t>
  </si>
  <si>
    <t>Ashley Singleton</t>
  </si>
  <si>
    <t>Brittany Kim</t>
  </si>
  <si>
    <t>Jonathan Young</t>
  </si>
  <si>
    <t>Raven Taylor</t>
  </si>
  <si>
    <t>Aaron Miller</t>
  </si>
  <si>
    <t>Ashley Roberts</t>
  </si>
  <si>
    <t>Amy Copeland</t>
  </si>
  <si>
    <t>Michelle Carter</t>
  </si>
  <si>
    <t>Angela Villegas</t>
  </si>
  <si>
    <t>Shane Williams</t>
  </si>
  <si>
    <t>Austin Allen</t>
  </si>
  <si>
    <t>Joshua Li</t>
  </si>
  <si>
    <t>Robin Brown</t>
  </si>
  <si>
    <t>Andrew Mahoney</t>
  </si>
  <si>
    <t>Matthew Mitchell</t>
  </si>
  <si>
    <t>Steve Paul</t>
  </si>
  <si>
    <t>Tim Stone PhD</t>
  </si>
  <si>
    <t>Brian Murphy</t>
  </si>
  <si>
    <t>Jeremy Acosta</t>
  </si>
  <si>
    <t>Angela Walsh</t>
  </si>
  <si>
    <t>Jessica Martinez</t>
  </si>
  <si>
    <t>Christian Cole</t>
  </si>
  <si>
    <t>Ernest Ramirez</t>
  </si>
  <si>
    <t>Autumn Hampton</t>
  </si>
  <si>
    <t>Katherine Martinez</t>
  </si>
  <si>
    <t>Tracy Downs</t>
  </si>
  <si>
    <t>Michelle Ho</t>
  </si>
  <si>
    <t>Cynthia Snyder</t>
  </si>
  <si>
    <t>Angelica Parker</t>
  </si>
  <si>
    <t>William Day</t>
  </si>
  <si>
    <t>Penny Bowman</t>
  </si>
  <si>
    <t>Kelly Torres</t>
  </si>
  <si>
    <t>Sarah King</t>
  </si>
  <si>
    <t>Caroline David</t>
  </si>
  <si>
    <t>Kristy Bryan</t>
  </si>
  <si>
    <t>Pamela Butler</t>
  </si>
  <si>
    <t>Karen Ballard</t>
  </si>
  <si>
    <t>Jason Marshall</t>
  </si>
  <si>
    <t>Bianca Wood</t>
  </si>
  <si>
    <t>Brent Roberts</t>
  </si>
  <si>
    <t>Taylor Griffith</t>
  </si>
  <si>
    <t>Mr. Alexander Landry MD</t>
  </si>
  <si>
    <t>Stephen Pena MD</t>
  </si>
  <si>
    <t>Jamie Williams</t>
  </si>
  <si>
    <t>Jonathan Duran</t>
  </si>
  <si>
    <t>Jennifer Norton</t>
  </si>
  <si>
    <t>Kathryn Williams</t>
  </si>
  <si>
    <t>Steven Taylor</t>
  </si>
  <si>
    <t>Katrina Burns</t>
  </si>
  <si>
    <t>Jason Parker</t>
  </si>
  <si>
    <t>Laura Perez</t>
  </si>
  <si>
    <t>Sarah Hernandez</t>
  </si>
  <si>
    <t>Erik Hernandez</t>
  </si>
  <si>
    <t>Michele Stone</t>
  </si>
  <si>
    <t>Julia Patel</t>
  </si>
  <si>
    <t>Diana Evans</t>
  </si>
  <si>
    <t>Timothy Pope</t>
  </si>
  <si>
    <t>Tina Ballard</t>
  </si>
  <si>
    <t>John Harris</t>
  </si>
  <si>
    <t>Cynthia Williams</t>
  </si>
  <si>
    <t>Ashlee Townsend</t>
  </si>
  <si>
    <t>Shirley Alvarez</t>
  </si>
  <si>
    <t>Randy Pearson</t>
  </si>
  <si>
    <t>Ryan Peck</t>
  </si>
  <si>
    <t>Tonya Howe</t>
  </si>
  <si>
    <t>William Daniels</t>
  </si>
  <si>
    <t>Robert Rivera</t>
  </si>
  <si>
    <t>Rachel Bradley</t>
  </si>
  <si>
    <t>Angie Caldwell</t>
  </si>
  <si>
    <t>David Molina</t>
  </si>
  <si>
    <t>David Contreras</t>
  </si>
  <si>
    <t>Stacy Carrillo</t>
  </si>
  <si>
    <t>Tyler Mendoza</t>
  </si>
  <si>
    <t>Susan Todd</t>
  </si>
  <si>
    <t>Jeremy Padilla</t>
  </si>
  <si>
    <t>Joshua Martin</t>
  </si>
  <si>
    <t>Steven Griffin Jr.</t>
  </si>
  <si>
    <t>Robert Cummings</t>
  </si>
  <si>
    <t>Amber Cooper</t>
  </si>
  <si>
    <t>Jason Mack</t>
  </si>
  <si>
    <t>Michael Stanley</t>
  </si>
  <si>
    <t>Cameron Irwin</t>
  </si>
  <si>
    <t>Jessica Gray</t>
  </si>
  <si>
    <t>Molly Rodriguez</t>
  </si>
  <si>
    <t>Kirk Griffin</t>
  </si>
  <si>
    <t>Nicole Parsons</t>
  </si>
  <si>
    <t>Kyle Chambers</t>
  </si>
  <si>
    <t>Antonio Fry</t>
  </si>
  <si>
    <t>Teresa Powers</t>
  </si>
  <si>
    <t>Joshua Allen</t>
  </si>
  <si>
    <t>Tracy Grant</t>
  </si>
  <si>
    <t>Jerry Watson</t>
  </si>
  <si>
    <t>Benjamin Ballard</t>
  </si>
  <si>
    <t>Alexis Giles</t>
  </si>
  <si>
    <t>Christine Herman</t>
  </si>
  <si>
    <t>Dennis Hunt</t>
  </si>
  <si>
    <t>Erica Harris</t>
  </si>
  <si>
    <t>Juan Silva</t>
  </si>
  <si>
    <t>Roy Porter</t>
  </si>
  <si>
    <t>Heather Taylor</t>
  </si>
  <si>
    <t>Sara Jones</t>
  </si>
  <si>
    <t>Chris Robinson</t>
  </si>
  <si>
    <t>Susan Hopkins</t>
  </si>
  <si>
    <t>Denise Madden</t>
  </si>
  <si>
    <t>Brent Hernandez</t>
  </si>
  <si>
    <t>Angela Chung</t>
  </si>
  <si>
    <t>Sarah Valdez</t>
  </si>
  <si>
    <t>Adam Jackson</t>
  </si>
  <si>
    <t>Valerie Jacobson</t>
  </si>
  <si>
    <t>Anthony Jones</t>
  </si>
  <si>
    <t>Daniel Thomas</t>
  </si>
  <si>
    <t>Ruben Price</t>
  </si>
  <si>
    <t>Amy Kim</t>
  </si>
  <si>
    <t>Erin Walters</t>
  </si>
  <si>
    <t>Michael Guerrero</t>
  </si>
  <si>
    <t>Derrick James</t>
  </si>
  <si>
    <t>Eric Ward</t>
  </si>
  <si>
    <t>Kayla Garcia</t>
  </si>
  <si>
    <t>James Carter</t>
  </si>
  <si>
    <t>Carolyn James</t>
  </si>
  <si>
    <t>Donald Evans</t>
  </si>
  <si>
    <t>Luis Ellis Jr.</t>
  </si>
  <si>
    <t>Erin Cook</t>
  </si>
  <si>
    <t>Christopher Sanders</t>
  </si>
  <si>
    <t>Robert Long</t>
  </si>
  <si>
    <t>Krista Benton</t>
  </si>
  <si>
    <t>Michael Fuentes</t>
  </si>
  <si>
    <t>Matthew Espinoza</t>
  </si>
  <si>
    <t>Jonathon Knapp</t>
  </si>
  <si>
    <t>Kimberly Little</t>
  </si>
  <si>
    <t>Lonnie Hart</t>
  </si>
  <si>
    <t>David Dixon</t>
  </si>
  <si>
    <t>Brittany Cuevas</t>
  </si>
  <si>
    <t>Monica Bailey</t>
  </si>
  <si>
    <t>Jeffrey Horton</t>
  </si>
  <si>
    <t>Megan Martin</t>
  </si>
  <si>
    <t>Joel Salinas</t>
  </si>
  <si>
    <t>Sonya Cole</t>
  </si>
  <si>
    <t>Michael Flynn</t>
  </si>
  <si>
    <t>Brian Lambert</t>
  </si>
  <si>
    <t>James Wilson</t>
  </si>
  <si>
    <t>Tamara Lawrence</t>
  </si>
  <si>
    <t>Charles Price</t>
  </si>
  <si>
    <t>Tamara Arias</t>
  </si>
  <si>
    <t>Jerry Brown</t>
  </si>
  <si>
    <t>Kathy Simpson</t>
  </si>
  <si>
    <t>Andre Juarez</t>
  </si>
  <si>
    <t>Krystal Barton</t>
  </si>
  <si>
    <t>Joshua Ritter</t>
  </si>
  <si>
    <t>Ronald Potter</t>
  </si>
  <si>
    <t>Angie Grimes</t>
  </si>
  <si>
    <t>Shannon Bishop</t>
  </si>
  <si>
    <t>Laura Patel</t>
  </si>
  <si>
    <t>Scott Duke</t>
  </si>
  <si>
    <t>Sharon Martinez DVM</t>
  </si>
  <si>
    <t>Jenna Thomas</t>
  </si>
  <si>
    <t>Patricia Powell</t>
  </si>
  <si>
    <t>Sheila Boone</t>
  </si>
  <si>
    <t>Arthur Ferguson</t>
  </si>
  <si>
    <t>Drew Kelley</t>
  </si>
  <si>
    <t>Amber Sims</t>
  </si>
  <si>
    <t>Tyler Harris</t>
  </si>
  <si>
    <t>Danielle Watson</t>
  </si>
  <si>
    <t>Jessica Davis</t>
  </si>
  <si>
    <t>Michael Smith</t>
  </si>
  <si>
    <t>Brandon Shaffer</t>
  </si>
  <si>
    <t>Nicole Anderson</t>
  </si>
  <si>
    <t>Gregory Lewis</t>
  </si>
  <si>
    <t>Brian Goodwin</t>
  </si>
  <si>
    <t>Donald Miller</t>
  </si>
  <si>
    <t>Chelsea Myers</t>
  </si>
  <si>
    <t>David Little</t>
  </si>
  <si>
    <t>Scott Carroll</t>
  </si>
  <si>
    <t>Alexis Lewis</t>
  </si>
  <si>
    <t>Pamela Henderson</t>
  </si>
  <si>
    <t>Bradley Miller</t>
  </si>
  <si>
    <t>Pamela Santos</t>
  </si>
  <si>
    <t>Tim Wilson</t>
  </si>
  <si>
    <t>Michael Miles</t>
  </si>
  <si>
    <t>Deanna Watson</t>
  </si>
  <si>
    <t>Austin Joseph</t>
  </si>
  <si>
    <t>Carol Moore</t>
  </si>
  <si>
    <t>April Trevino</t>
  </si>
  <si>
    <t>Tyler Johnson</t>
  </si>
  <si>
    <t>Roger Duncan</t>
  </si>
  <si>
    <t>Vicki Finley</t>
  </si>
  <si>
    <t>Jesus Wood</t>
  </si>
  <si>
    <t>Wesley Cuevas</t>
  </si>
  <si>
    <t>Jason Hall</t>
  </si>
  <si>
    <t>Sarah Acosta</t>
  </si>
  <si>
    <t>Valerie Thomas</t>
  </si>
  <si>
    <t>Judy Adkins</t>
  </si>
  <si>
    <t>Amy Bates</t>
  </si>
  <si>
    <t>Ronnie Nguyen</t>
  </si>
  <si>
    <t>Lauren Moore</t>
  </si>
  <si>
    <t>Randy Hayes</t>
  </si>
  <si>
    <t>Elizabeth Bush</t>
  </si>
  <si>
    <t>Tracy Foster</t>
  </si>
  <si>
    <t>Sarah Hawkins</t>
  </si>
  <si>
    <t>Ronald Haas</t>
  </si>
  <si>
    <t>Angela Willis</t>
  </si>
  <si>
    <t>Anna Boone</t>
  </si>
  <si>
    <t>Nathaniel Crawford</t>
  </si>
  <si>
    <t>Denise Griffin</t>
  </si>
  <si>
    <t>Jason Pierce</t>
  </si>
  <si>
    <t>Rebecca Wright</t>
  </si>
  <si>
    <t>Kari Durham</t>
  </si>
  <si>
    <t>Steven Osborne</t>
  </si>
  <si>
    <t>Crystal Moore</t>
  </si>
  <si>
    <t>Theresa Johnston</t>
  </si>
  <si>
    <t>Renee Wolfe</t>
  </si>
  <si>
    <t>Travis Copeland</t>
  </si>
  <si>
    <t>David Robinson</t>
  </si>
  <si>
    <t>Christopher Lang</t>
  </si>
  <si>
    <t>Sarah Valencia</t>
  </si>
  <si>
    <t>Eric Taylor</t>
  </si>
  <si>
    <t>Carrie Novak</t>
  </si>
  <si>
    <t>Elizabeth Thompson</t>
  </si>
  <si>
    <t>Amanda Guzman</t>
  </si>
  <si>
    <t>Blake Reed</t>
  </si>
  <si>
    <t>David Jones</t>
  </si>
  <si>
    <t>Tracy Wilkerson</t>
  </si>
  <si>
    <t>John Shields</t>
  </si>
  <si>
    <t>Dean Garcia</t>
  </si>
  <si>
    <t>Stephanie Davis</t>
  </si>
  <si>
    <t>Jessica Brown</t>
  </si>
  <si>
    <t>Monica Baker</t>
  </si>
  <si>
    <t>Katherine Brown</t>
  </si>
  <si>
    <t>Christina Johnson</t>
  </si>
  <si>
    <t>James Burns</t>
  </si>
  <si>
    <t>Jaclyn Griffin</t>
  </si>
  <si>
    <t>Paul Contreras</t>
  </si>
  <si>
    <t>Kristen Randall</t>
  </si>
  <si>
    <t>Karen Miller</t>
  </si>
  <si>
    <t>Mrs. Tiffany Cole</t>
  </si>
  <si>
    <t>William Graham</t>
  </si>
  <si>
    <t>Justin Arnold</t>
  </si>
  <si>
    <t>Ashley Hernandez</t>
  </si>
  <si>
    <t>Joseph Cooper</t>
  </si>
  <si>
    <t>Amanda Hill</t>
  </si>
  <si>
    <t>Shawn Vaughn</t>
  </si>
  <si>
    <t>Riley Collins</t>
  </si>
  <si>
    <t>William Ramos</t>
  </si>
  <si>
    <t>Daniel Holloway</t>
  </si>
  <si>
    <t>Ana Mckinney</t>
  </si>
  <si>
    <t>Shaun Gonzalez</t>
  </si>
  <si>
    <t>Jacob Marshall</t>
  </si>
  <si>
    <t>John Griffin</t>
  </si>
  <si>
    <t>Deanna Rivas</t>
  </si>
  <si>
    <t>Cindy Walker</t>
  </si>
  <si>
    <t>Richard Saunders</t>
  </si>
  <si>
    <t>Courtney Franklin</t>
  </si>
  <si>
    <t>Daniel Turner</t>
  </si>
  <si>
    <t>Sara Hoffman</t>
  </si>
  <si>
    <t>Margaret Hensley MD</t>
  </si>
  <si>
    <t>Jennifer Flores</t>
  </si>
  <si>
    <t>Jennifer Doyle</t>
  </si>
  <si>
    <t>Karen Shepard</t>
  </si>
  <si>
    <t>Carl Green</t>
  </si>
  <si>
    <t>Daniel Savage</t>
  </si>
  <si>
    <t>Julie Wilson</t>
  </si>
  <si>
    <t>Cory Wilson</t>
  </si>
  <si>
    <t>Curtis Ortiz</t>
  </si>
  <si>
    <t>Gary Hatfield</t>
  </si>
  <si>
    <t>Caroline Duran</t>
  </si>
  <si>
    <t>Madeline Powell</t>
  </si>
  <si>
    <t>Tiffany Mcclain</t>
  </si>
  <si>
    <t>Shawn Collins</t>
  </si>
  <si>
    <t>Elizabeth Carter</t>
  </si>
  <si>
    <t>Carmen Meadows</t>
  </si>
  <si>
    <t>Alex Wagner</t>
  </si>
  <si>
    <t>Dawn Nichols</t>
  </si>
  <si>
    <t>Amber Wilson</t>
  </si>
  <si>
    <t>Christine Jennings</t>
  </si>
  <si>
    <t>Larry Taylor</t>
  </si>
  <si>
    <t>Kathleen Lynch</t>
  </si>
  <si>
    <t>Andrew Crawford</t>
  </si>
  <si>
    <t>Brandon Rodriguez</t>
  </si>
  <si>
    <t>Ashley Scott</t>
  </si>
  <si>
    <t>Robert Sawyer</t>
  </si>
  <si>
    <t>Peter Williams</t>
  </si>
  <si>
    <t>Debra Quinn</t>
  </si>
  <si>
    <t>Denise Cruz</t>
  </si>
  <si>
    <t>Nicholas Jarvis</t>
  </si>
  <si>
    <t>Jessica Carr</t>
  </si>
  <si>
    <t>Tyler Marks</t>
  </si>
  <si>
    <t>Margaret Hernandez</t>
  </si>
  <si>
    <t>Sheila Jones</t>
  </si>
  <si>
    <t>Krista Gray</t>
  </si>
  <si>
    <t>Jonathan Stewart</t>
  </si>
  <si>
    <t>Justin Smith</t>
  </si>
  <si>
    <t>Kristina Pena</t>
  </si>
  <si>
    <t>Evelyn Saunders</t>
  </si>
  <si>
    <t>Peter Walker</t>
  </si>
  <si>
    <t>Amber Martin</t>
  </si>
  <si>
    <t>Craig Martinez</t>
  </si>
  <si>
    <t>Brandy Porter</t>
  </si>
  <si>
    <t>Priscilla Kent</t>
  </si>
  <si>
    <t>Sonya Gordon</t>
  </si>
  <si>
    <t>James Cooper</t>
  </si>
  <si>
    <t>Nicole Evans</t>
  </si>
  <si>
    <t>Donna Reed</t>
  </si>
  <si>
    <t>Mallory Page</t>
  </si>
  <si>
    <t>Paul Skinner</t>
  </si>
  <si>
    <t>Charles Santiago</t>
  </si>
  <si>
    <t>Ryan Vaughn</t>
  </si>
  <si>
    <t>Sean Stevenson</t>
  </si>
  <si>
    <t>Rebecca Roberts</t>
  </si>
  <si>
    <t>Amy Manning</t>
  </si>
  <si>
    <t>Michele Holland</t>
  </si>
  <si>
    <t>Michael Lopez</t>
  </si>
  <si>
    <t>Dennis Martin</t>
  </si>
  <si>
    <t>Linda Ayala</t>
  </si>
  <si>
    <t>Emily Robinson</t>
  </si>
  <si>
    <t>Jennifer Bailey</t>
  </si>
  <si>
    <t>Lisa Wells</t>
  </si>
  <si>
    <t>Lisa Haley</t>
  </si>
  <si>
    <t>Allison Black</t>
  </si>
  <si>
    <t>Matthew Flores</t>
  </si>
  <si>
    <t>Austin Santiago</t>
  </si>
  <si>
    <t>Michele Cherry</t>
  </si>
  <si>
    <t>Joe Rivera</t>
  </si>
  <si>
    <t>Roberto Bartlett</t>
  </si>
  <si>
    <t>Ryan Howard</t>
  </si>
  <si>
    <t>Timothy James</t>
  </si>
  <si>
    <t>Robert Gardner</t>
  </si>
  <si>
    <t>Travis Spencer</t>
  </si>
  <si>
    <t>Theresa Torres</t>
  </si>
  <si>
    <t>Ruben Lee</t>
  </si>
  <si>
    <t>Wendy Murray</t>
  </si>
  <si>
    <t>Katelyn Rivera</t>
  </si>
  <si>
    <t>Corey Tucker</t>
  </si>
  <si>
    <t>Rhonda Benjamin</t>
  </si>
  <si>
    <t>Jessica Larsen</t>
  </si>
  <si>
    <t>Raymond Tucker</t>
  </si>
  <si>
    <t>Christina Gross</t>
  </si>
  <si>
    <t>Kevin Sullivan</t>
  </si>
  <si>
    <t>Reginald Diaz</t>
  </si>
  <si>
    <t>Jordan Sanders</t>
  </si>
  <si>
    <t>Jose Griffin</t>
  </si>
  <si>
    <t>Teresa Williams</t>
  </si>
  <si>
    <t>Daniel Velez</t>
  </si>
  <si>
    <t>Michael Boyd</t>
  </si>
  <si>
    <t>Matthew Diaz</t>
  </si>
  <si>
    <t>Robert Reed</t>
  </si>
  <si>
    <t>David Robertson</t>
  </si>
  <si>
    <t>Bailey Hall</t>
  </si>
  <si>
    <t>Maria Jenkins</t>
  </si>
  <si>
    <t>Amanda Armstrong</t>
  </si>
  <si>
    <t>Kristy Smith</t>
  </si>
  <si>
    <t>Carolyn Greer</t>
  </si>
  <si>
    <t>Deborah Ramsey</t>
  </si>
  <si>
    <t>Carlos Smith</t>
  </si>
  <si>
    <t>Lucas Williams</t>
  </si>
  <si>
    <t>Stephanie Hampton</t>
  </si>
  <si>
    <t>Crystal Lang</t>
  </si>
  <si>
    <t>Laura Coleman</t>
  </si>
  <si>
    <t>Jennifer Lopez</t>
  </si>
  <si>
    <t>Melissa Stewart</t>
  </si>
  <si>
    <t>Jessica Diaz</t>
  </si>
  <si>
    <t>Karen Wood</t>
  </si>
  <si>
    <t>Jennifer Taylor</t>
  </si>
  <si>
    <t>Jordan Hartman</t>
  </si>
  <si>
    <t>Kaitlyn Burke</t>
  </si>
  <si>
    <t>James Joyce</t>
  </si>
  <si>
    <t>Adam Jefferson DVM</t>
  </si>
  <si>
    <t>Christopher Johnson</t>
  </si>
  <si>
    <t>Heather Foster</t>
  </si>
  <si>
    <t>Molly Hansen</t>
  </si>
  <si>
    <t>Jared Smith</t>
  </si>
  <si>
    <t>Travis Pratt</t>
  </si>
  <si>
    <t>Kristine Carrillo</t>
  </si>
  <si>
    <t>Mr. James Kramer</t>
  </si>
  <si>
    <t>Kelli Smith</t>
  </si>
  <si>
    <t>Angela Velazquez</t>
  </si>
  <si>
    <t>Paul Conrad</t>
  </si>
  <si>
    <t>Christine Harris</t>
  </si>
  <si>
    <t>Megan Alvarado</t>
  </si>
  <si>
    <t>Ethan Villanueva</t>
  </si>
  <si>
    <t>Bethany Fox</t>
  </si>
  <si>
    <t>Scott Parsons</t>
  </si>
  <si>
    <t>Adam Craig</t>
  </si>
  <si>
    <t>Chelsea Baker</t>
  </si>
  <si>
    <t>Mr. Michael Watson PhD</t>
  </si>
  <si>
    <t>Brett Nelson</t>
  </si>
  <si>
    <t>Nancy Kennedy</t>
  </si>
  <si>
    <t>Emily Tucker</t>
  </si>
  <si>
    <t>Amy Cervantes</t>
  </si>
  <si>
    <t>Isaac Castro</t>
  </si>
  <si>
    <t>Christina Johnston</t>
  </si>
  <si>
    <t>Patricia Griffin</t>
  </si>
  <si>
    <t>Margaret Mcfarland</t>
  </si>
  <si>
    <t>Greg Edwards</t>
  </si>
  <si>
    <t>Teresa Adkins</t>
  </si>
  <si>
    <t>Mary Shepard</t>
  </si>
  <si>
    <t>Kara Brown</t>
  </si>
  <si>
    <t>Angela Huynh</t>
  </si>
  <si>
    <t>Cameron Rose</t>
  </si>
  <si>
    <t>Seth Donovan</t>
  </si>
  <si>
    <t>Joyce Curry</t>
  </si>
  <si>
    <t>Karen Perez</t>
  </si>
  <si>
    <t>Aaron Ochoa</t>
  </si>
  <si>
    <t>Theresa Woods</t>
  </si>
  <si>
    <t>Kimberly Lopez</t>
  </si>
  <si>
    <t>Sandra Walker</t>
  </si>
  <si>
    <t>Dominique Paul</t>
  </si>
  <si>
    <t>Jesse Chavez</t>
  </si>
  <si>
    <t>Alison Compton</t>
  </si>
  <si>
    <t>Johnny Peterson</t>
  </si>
  <si>
    <t>Erin Bridges</t>
  </si>
  <si>
    <t>Corey Skinner</t>
  </si>
  <si>
    <t>William Wright</t>
  </si>
  <si>
    <t>Christine Price</t>
  </si>
  <si>
    <t>Dawn Little</t>
  </si>
  <si>
    <t>Cynthia Hamilton</t>
  </si>
  <si>
    <t>Alexa Williams</t>
  </si>
  <si>
    <t>Christopher Davis</t>
  </si>
  <si>
    <t>Joshua Rodriguez</t>
  </si>
  <si>
    <t>Steven Quinn</t>
  </si>
  <si>
    <t>Karina Kim</t>
  </si>
  <si>
    <t>Erica Mcdonald</t>
  </si>
  <si>
    <t>Jordan Parsons</t>
  </si>
  <si>
    <t>Cynthia Le</t>
  </si>
  <si>
    <t>Lisa Morris</t>
  </si>
  <si>
    <t>Andre Rodriguez</t>
  </si>
  <si>
    <t>Marcus Garza Jr.</t>
  </si>
  <si>
    <t>Steve Miller PhD</t>
  </si>
  <si>
    <t>Amy Jensen</t>
  </si>
  <si>
    <t>Anne Hardy</t>
  </si>
  <si>
    <t>Theresa Hansen</t>
  </si>
  <si>
    <t>Jimmy Ortega</t>
  </si>
  <si>
    <t>Christopher Murillo</t>
  </si>
  <si>
    <t>Jennifer Schultz</t>
  </si>
  <si>
    <t>Tammy King</t>
  </si>
  <si>
    <t>Duane Smith</t>
  </si>
  <si>
    <t>Ethan Ingram</t>
  </si>
  <si>
    <t>Andrew Kelly</t>
  </si>
  <si>
    <t>Eric Duncan</t>
  </si>
  <si>
    <t>Steven Warner PhD</t>
  </si>
  <si>
    <t>Richard Weeks</t>
  </si>
  <si>
    <t>Matthew Guzman</t>
  </si>
  <si>
    <t>Emma Cunningham</t>
  </si>
  <si>
    <t>Jenna Griffin</t>
  </si>
  <si>
    <t>Bradley Duncan</t>
  </si>
  <si>
    <t>Michael Gill</t>
  </si>
  <si>
    <t>Kristina Shea</t>
  </si>
  <si>
    <t>Laura Rodriguez</t>
  </si>
  <si>
    <t>Matthew Carrillo</t>
  </si>
  <si>
    <t>Andrew Meyers</t>
  </si>
  <si>
    <t>Anthony Rush</t>
  </si>
  <si>
    <t>Ashley Cole</t>
  </si>
  <si>
    <t>Nicole Dunn</t>
  </si>
  <si>
    <t>Kelsey Scott</t>
  </si>
  <si>
    <t>Matthew Smith</t>
  </si>
  <si>
    <t>Alicia Dillon</t>
  </si>
  <si>
    <t>Ethan Delacruz</t>
  </si>
  <si>
    <t>Alison Wright</t>
  </si>
  <si>
    <t>Heather Turner</t>
  </si>
  <si>
    <t>Courtney Peterson</t>
  </si>
  <si>
    <t>Megan Salas</t>
  </si>
  <si>
    <t>Erin Daniels</t>
  </si>
  <si>
    <t>Charles Barker</t>
  </si>
  <si>
    <t>Sylvia Stewart</t>
  </si>
  <si>
    <t>Fernando Dudley</t>
  </si>
  <si>
    <t>Richard Rodriguez</t>
  </si>
  <si>
    <t>Lisa Carlson</t>
  </si>
  <si>
    <t>Jonathan Jacobs</t>
  </si>
  <si>
    <t>Darrell Ortiz</t>
  </si>
  <si>
    <t>Christina Harris</t>
  </si>
  <si>
    <t>Sharon Clay</t>
  </si>
  <si>
    <t>Michelle Long</t>
  </si>
  <si>
    <t>Jennifer Moss</t>
  </si>
  <si>
    <t>James Torres</t>
  </si>
  <si>
    <t>Stephanie Ford</t>
  </si>
  <si>
    <t>Teresa Horton</t>
  </si>
  <si>
    <t>Steven Huang</t>
  </si>
  <si>
    <t>Rebecca Higgins</t>
  </si>
  <si>
    <t>Michael Acosta</t>
  </si>
  <si>
    <t>Mary Hernandez</t>
  </si>
  <si>
    <t>Randy Griffin</t>
  </si>
  <si>
    <t>Dawn Ellis</t>
  </si>
  <si>
    <t>Kevin Alvarez</t>
  </si>
  <si>
    <t>Joshua Harvey</t>
  </si>
  <si>
    <t>Scott Estrada</t>
  </si>
  <si>
    <t>Candace Mitchell DDS</t>
  </si>
  <si>
    <t>Edwin Richardson</t>
  </si>
  <si>
    <t>John Martinez</t>
  </si>
  <si>
    <t>Anthony Duncan</t>
  </si>
  <si>
    <t>Ryan Green</t>
  </si>
  <si>
    <t>Kathleen Morton</t>
  </si>
  <si>
    <t>Mario Wilson</t>
  </si>
  <si>
    <t>Justin Walsh</t>
  </si>
  <si>
    <t>Eric Pierce</t>
  </si>
  <si>
    <t>Toni Collier</t>
  </si>
  <si>
    <t>Rebecca Brewer</t>
  </si>
  <si>
    <t>Robert Reilly</t>
  </si>
  <si>
    <t>Joshua Clark</t>
  </si>
  <si>
    <t>Gina Brooks</t>
  </si>
  <si>
    <t>Nicole Thornton</t>
  </si>
  <si>
    <t>Jacqueline Gallegos</t>
  </si>
  <si>
    <t>Paula Gentry</t>
  </si>
  <si>
    <t>Gerald Webb</t>
  </si>
  <si>
    <t>Christine Johnson MD</t>
  </si>
  <si>
    <t>Felicia Small</t>
  </si>
  <si>
    <t>Emily Mcclain</t>
  </si>
  <si>
    <t>Megan Nelson</t>
  </si>
  <si>
    <t>Christine Bell</t>
  </si>
  <si>
    <t>Louis Morgan</t>
  </si>
  <si>
    <t>James Miller</t>
  </si>
  <si>
    <t>Melissa Jensen</t>
  </si>
  <si>
    <t>Laura Davis</t>
  </si>
  <si>
    <t>Julie Hall</t>
  </si>
  <si>
    <t>Michael Ortega</t>
  </si>
  <si>
    <t>Joel Jackson</t>
  </si>
  <si>
    <t>Rebecca Nguyen</t>
  </si>
  <si>
    <t>Marc Kelley</t>
  </si>
  <si>
    <t>Rachel Graham</t>
  </si>
  <si>
    <t>Timothy Andrews</t>
  </si>
  <si>
    <t>Samantha Thompson</t>
  </si>
  <si>
    <t>Jamie Snyder</t>
  </si>
  <si>
    <t>April Thomas</t>
  </si>
  <si>
    <t>Daniel Rich</t>
  </si>
  <si>
    <t>Lauren Carr DDS</t>
  </si>
  <si>
    <t>Justin Irwin</t>
  </si>
  <si>
    <t>Karen Lopez</t>
  </si>
  <si>
    <t>Shane Martinez</t>
  </si>
  <si>
    <t>Vanessa Taylor</t>
  </si>
  <si>
    <t>Tara Hanson</t>
  </si>
  <si>
    <t>Cody Jacobs</t>
  </si>
  <si>
    <t>Timothy Johnston</t>
  </si>
  <si>
    <t>John Vaughn</t>
  </si>
  <si>
    <t>Kelly Bishop</t>
  </si>
  <si>
    <t>Kimberly Riley</t>
  </si>
  <si>
    <t>Taylor Berry</t>
  </si>
  <si>
    <t>Linda Torres</t>
  </si>
  <si>
    <t>William Lamb</t>
  </si>
  <si>
    <t>Diana Anderson</t>
  </si>
  <si>
    <t>Susan Stevenson</t>
  </si>
  <si>
    <t>Kari Lloyd</t>
  </si>
  <si>
    <t>Brittany Crawford</t>
  </si>
  <si>
    <t>Carol Lane</t>
  </si>
  <si>
    <t>John Alvarez</t>
  </si>
  <si>
    <t>Seth Smith</t>
  </si>
  <si>
    <t>Anne Schmidt</t>
  </si>
  <si>
    <t>Derek Garcia</t>
  </si>
  <si>
    <t>Leah Lee</t>
  </si>
  <si>
    <t>Sandra Smith</t>
  </si>
  <si>
    <t>Darlene Johnson</t>
  </si>
  <si>
    <t>Michelle Wilson</t>
  </si>
  <si>
    <t>Cathy Rodriguez</t>
  </si>
  <si>
    <t>Zachary Hammond</t>
  </si>
  <si>
    <t>Zachary Scott</t>
  </si>
  <si>
    <t>Matthew Rodriguez</t>
  </si>
  <si>
    <t>Ashley Jones</t>
  </si>
  <si>
    <t>Tasha Ortega</t>
  </si>
  <si>
    <t>Teresa Henry</t>
  </si>
  <si>
    <t>James Norris</t>
  </si>
  <si>
    <t>Jennifer Chen</t>
  </si>
  <si>
    <t>Paige Roberts</t>
  </si>
  <si>
    <t>Michael Mosley</t>
  </si>
  <si>
    <t>Nathan Watkins</t>
  </si>
  <si>
    <t>Joseph Flowers</t>
  </si>
  <si>
    <t>Richard Williams</t>
  </si>
  <si>
    <t>Sheila Herrera</t>
  </si>
  <si>
    <t>Kaitlin Hardin</t>
  </si>
  <si>
    <t>Summer Hoover</t>
  </si>
  <si>
    <t>Ashley Crawford</t>
  </si>
  <si>
    <t>Erika Daugherty</t>
  </si>
  <si>
    <t>Christopher Brown</t>
  </si>
  <si>
    <t>Jessica Frost</t>
  </si>
  <si>
    <t>Christopher Hobbs</t>
  </si>
  <si>
    <t>Stacie Butler</t>
  </si>
  <si>
    <t>Jerry Allen</t>
  </si>
  <si>
    <t>Dr. Mark Patton MD</t>
  </si>
  <si>
    <t>Shari Hatfield</t>
  </si>
  <si>
    <t>Brian Hernandez</t>
  </si>
  <si>
    <t>Jackson Clark</t>
  </si>
  <si>
    <t>Joshua Moore</t>
  </si>
  <si>
    <t>Kevin Barnes</t>
  </si>
  <si>
    <t>Jason Gonzalez</t>
  </si>
  <si>
    <t>Timothy Gibson</t>
  </si>
  <si>
    <t>Vanessa Harris</t>
  </si>
  <si>
    <t>John Barnes</t>
  </si>
  <si>
    <t>Tiffany Whitehead</t>
  </si>
  <si>
    <t>Sara Ramirez</t>
  </si>
  <si>
    <t>Daniel Pennington</t>
  </si>
  <si>
    <t>John Mack</t>
  </si>
  <si>
    <t>David Hansen</t>
  </si>
  <si>
    <t>David Duarte</t>
  </si>
  <si>
    <t>Nicole Johnson</t>
  </si>
  <si>
    <t>Seth Sims</t>
  </si>
  <si>
    <t>Elizabeth Mullins</t>
  </si>
  <si>
    <t>Kayla Kent</t>
  </si>
  <si>
    <t>Holly Thompson</t>
  </si>
  <si>
    <t>Brian Mendoza</t>
  </si>
  <si>
    <t>Kathy Henderson</t>
  </si>
  <si>
    <t>Barbara Mckinney</t>
  </si>
  <si>
    <t>James White</t>
  </si>
  <si>
    <t>Shaun Meyer DDS</t>
  </si>
  <si>
    <t>Oscar Smith</t>
  </si>
  <si>
    <t>Jennifer Cooper</t>
  </si>
  <si>
    <t>Carlos Clarke</t>
  </si>
  <si>
    <t>Amber Gomez</t>
  </si>
  <si>
    <t>David Lopez</t>
  </si>
  <si>
    <t>William Ferguson</t>
  </si>
  <si>
    <t>Jimmy Flores</t>
  </si>
  <si>
    <t>Elizabeth Kemp</t>
  </si>
  <si>
    <t>Monique Mccullough</t>
  </si>
  <si>
    <t>Connie Howard</t>
  </si>
  <si>
    <t>Pamela Gonzalez</t>
  </si>
  <si>
    <t>Jennifer Henry</t>
  </si>
  <si>
    <t>Jaclyn Watson</t>
  </si>
  <si>
    <t>Stephen Figueroa</t>
  </si>
  <si>
    <t>Jessica Mosley</t>
  </si>
  <si>
    <t>William Fox</t>
  </si>
  <si>
    <t>Thomas Perry</t>
  </si>
  <si>
    <t>James Spencer</t>
  </si>
  <si>
    <t>Patrick Walker DDS</t>
  </si>
  <si>
    <t>Maxwell Roberts</t>
  </si>
  <si>
    <t>Donald Gamble</t>
  </si>
  <si>
    <t>David Jennings</t>
  </si>
  <si>
    <t>Anthony Flores</t>
  </si>
  <si>
    <t>Tina Williams</t>
  </si>
  <si>
    <t>Pamela George</t>
  </si>
  <si>
    <t>Michael Barker</t>
  </si>
  <si>
    <t>Douglas Maxwell</t>
  </si>
  <si>
    <t>Daniel Lopez</t>
  </si>
  <si>
    <t>Karen Collins</t>
  </si>
  <si>
    <t>Carrie Torres</t>
  </si>
  <si>
    <t>Calvin Anderson</t>
  </si>
  <si>
    <t>John Reynolds</t>
  </si>
  <si>
    <t>Bryan King</t>
  </si>
  <si>
    <t>Lance Matthews</t>
  </si>
  <si>
    <t>Teresa Rush</t>
  </si>
  <si>
    <t>Annette Lane</t>
  </si>
  <si>
    <t>Kimberly Beltran</t>
  </si>
  <si>
    <t>Kevin Gonzales</t>
  </si>
  <si>
    <t>Darren Rodriguez</t>
  </si>
  <si>
    <t>Michele Hawkins</t>
  </si>
  <si>
    <t>Noah Mcdaniel</t>
  </si>
  <si>
    <t>Benjamin Randall</t>
  </si>
  <si>
    <t>Mrs. Ashley Kim DDS</t>
  </si>
  <si>
    <t>Natalie Stafford</t>
  </si>
  <si>
    <t>Wanda Martinez</t>
  </si>
  <si>
    <t>Denise Clarke</t>
  </si>
  <si>
    <t>Ms. Brittany Gibson</t>
  </si>
  <si>
    <t>Oscar Greer</t>
  </si>
  <si>
    <t>Brittany Howell</t>
  </si>
  <si>
    <t>John Carter MD</t>
  </si>
  <si>
    <t>Jeffrey Melendez</t>
  </si>
  <si>
    <t>Christopher Hopkins</t>
  </si>
  <si>
    <t>James Gallagher</t>
  </si>
  <si>
    <t>Justin Moore</t>
  </si>
  <si>
    <t>Pamela Mitchell</t>
  </si>
  <si>
    <t>Lauren Hubbard</t>
  </si>
  <si>
    <t>Matthew Wright</t>
  </si>
  <si>
    <t>Joshua Johnson</t>
  </si>
  <si>
    <t>Leah Odom</t>
  </si>
  <si>
    <t>Ariel Leonard</t>
  </si>
  <si>
    <t>Jeffrey Crawford</t>
  </si>
  <si>
    <t>Zachary Morales</t>
  </si>
  <si>
    <t>George Jones</t>
  </si>
  <si>
    <t>Kathy Evans</t>
  </si>
  <si>
    <t>Phillip White</t>
  </si>
  <si>
    <t>Mr. Rodney Hurley III</t>
  </si>
  <si>
    <t>Helen Hernandez</t>
  </si>
  <si>
    <t>Ronald Brown</t>
  </si>
  <si>
    <t>Michael Young</t>
  </si>
  <si>
    <t>Julie Castro</t>
  </si>
  <si>
    <t>Allen Clarke</t>
  </si>
  <si>
    <t>Amy Mosley</t>
  </si>
  <si>
    <t>Ann Hahn</t>
  </si>
  <si>
    <t>Sandra Herring</t>
  </si>
  <si>
    <t>Emily Collier</t>
  </si>
  <si>
    <t>Brian Lewis</t>
  </si>
  <si>
    <t>Melissa Rodriguez</t>
  </si>
  <si>
    <t>Heidi Baldwin</t>
  </si>
  <si>
    <t>Amy Lowery</t>
  </si>
  <si>
    <t>Robert Martinez</t>
  </si>
  <si>
    <t>Timothy Sherman</t>
  </si>
  <si>
    <t>Pamela Sullivan</t>
  </si>
  <si>
    <t>Tammy Cook</t>
  </si>
  <si>
    <t>Austin Fisher</t>
  </si>
  <si>
    <t>Jeremy Davidson</t>
  </si>
  <si>
    <t>Christopher Black</t>
  </si>
  <si>
    <t>Nicholas Green</t>
  </si>
  <si>
    <t>Shawn Duffy</t>
  </si>
  <si>
    <t>Crystal Davis</t>
  </si>
  <si>
    <t>Jeffrey Green</t>
  </si>
  <si>
    <t>Joseph Ayala</t>
  </si>
  <si>
    <t>Cheryl Atkins</t>
  </si>
  <si>
    <t>Lindsay Carney</t>
  </si>
  <si>
    <t>Alyssa Cherry</t>
  </si>
  <si>
    <t>Judith Smith</t>
  </si>
  <si>
    <t>James Henderson</t>
  </si>
  <si>
    <t>Kaitlin Gomez</t>
  </si>
  <si>
    <t>Megan Anderson</t>
  </si>
  <si>
    <t>Sherry Anderson</t>
  </si>
  <si>
    <t>William Porter</t>
  </si>
  <si>
    <t>Tammy Black</t>
  </si>
  <si>
    <t>Brittany Farrell</t>
  </si>
  <si>
    <t>John Martin</t>
  </si>
  <si>
    <t>Michael Washington</t>
  </si>
  <si>
    <t>Dalton Mitchell</t>
  </si>
  <si>
    <t>Lauren Bonilla</t>
  </si>
  <si>
    <t>Gary Mitchell</t>
  </si>
  <si>
    <t>Brad Rivas</t>
  </si>
  <si>
    <t>Wayne Douglas</t>
  </si>
  <si>
    <t>Christine Williams</t>
  </si>
  <si>
    <t>James Thompson</t>
  </si>
  <si>
    <t>Dominique Goodwin</t>
  </si>
  <si>
    <t>Emily Cohen</t>
  </si>
  <si>
    <t>Jeremy Hughes</t>
  </si>
  <si>
    <t>Jessica Simmons</t>
  </si>
  <si>
    <t>Michelle Arias</t>
  </si>
  <si>
    <t>Carl Leach</t>
  </si>
  <si>
    <t>Andrew Rodriguez</t>
  </si>
  <si>
    <t>Dawn Scott</t>
  </si>
  <si>
    <t>Richard Cameron</t>
  </si>
  <si>
    <t>Jordan Santiago</t>
  </si>
  <si>
    <t>Lindsey Savage</t>
  </si>
  <si>
    <t>Matthew Stevens</t>
  </si>
  <si>
    <t>Mr. William Ward</t>
  </si>
  <si>
    <t>Brian Smith</t>
  </si>
  <si>
    <t>Jessica Garrett</t>
  </si>
  <si>
    <t>Bruce Barrera</t>
  </si>
  <si>
    <t>Christina Hudson</t>
  </si>
  <si>
    <t>Jessica Perry</t>
  </si>
  <si>
    <t>Mrs. Jennifer Palmer DDS</t>
  </si>
  <si>
    <t>Ethan Brown</t>
  </si>
  <si>
    <t>Hannah Terry</t>
  </si>
  <si>
    <t>Jordan Matthews</t>
  </si>
  <si>
    <t>Toni Whitaker</t>
  </si>
  <si>
    <t>Angelica Webb</t>
  </si>
  <si>
    <t>Xavier Torres</t>
  </si>
  <si>
    <t>Christopher Clayton</t>
  </si>
  <si>
    <t>Justin Tucker</t>
  </si>
  <si>
    <t>Shelly Munoz</t>
  </si>
  <si>
    <t>Ryan Rodriguez</t>
  </si>
  <si>
    <t>Brian Soto</t>
  </si>
  <si>
    <t>Jonathan Oconnor</t>
  </si>
  <si>
    <t>Angela Watson</t>
  </si>
  <si>
    <t>Kendra Cobb</t>
  </si>
  <si>
    <t>Kelli Fleming</t>
  </si>
  <si>
    <t>Angela Edwards</t>
  </si>
  <si>
    <t>Brittany Andrews</t>
  </si>
  <si>
    <t>Gregory Wilcox</t>
  </si>
  <si>
    <t>Lisa Ramos</t>
  </si>
  <si>
    <t>George Hardy</t>
  </si>
  <si>
    <t>Emily Peterson</t>
  </si>
  <si>
    <t>Ronnie Torres</t>
  </si>
  <si>
    <t>Debbie Romero</t>
  </si>
  <si>
    <t>Norman Chavez</t>
  </si>
  <si>
    <t>Lori Ferguson</t>
  </si>
  <si>
    <t>Michelle Stone</t>
  </si>
  <si>
    <t>Brent Dawson</t>
  </si>
  <si>
    <t>Jeremy Wood</t>
  </si>
  <si>
    <t>Mallory Barajas</t>
  </si>
  <si>
    <t>Kari Ellis</t>
  </si>
  <si>
    <t>Justin Dorsey</t>
  </si>
  <si>
    <t>Amanda Hernandez</t>
  </si>
  <si>
    <t>Charles Bowers</t>
  </si>
  <si>
    <t>Patrick Smith</t>
  </si>
  <si>
    <t>Jesse Morgan</t>
  </si>
  <si>
    <t>Kathy Murray</t>
  </si>
  <si>
    <t>Mario Hanson</t>
  </si>
  <si>
    <t>Michael Ramos</t>
  </si>
  <si>
    <t>Michelle Hoffman</t>
  </si>
  <si>
    <t>Amy Hudson</t>
  </si>
  <si>
    <t>Kim Rivers</t>
  </si>
  <si>
    <t>Lisa Morales</t>
  </si>
  <si>
    <t>Alexander Rice</t>
  </si>
  <si>
    <t>Charles Scott</t>
  </si>
  <si>
    <t>Tyrone White</t>
  </si>
  <si>
    <t>Deanna David</t>
  </si>
  <si>
    <t>Jordan Gordon</t>
  </si>
  <si>
    <t>Allen Schultz</t>
  </si>
  <si>
    <t>Justin Glover</t>
  </si>
  <si>
    <t>Walter Brooks</t>
  </si>
  <si>
    <t>Aaron Marshall</t>
  </si>
  <si>
    <t>David Frazier</t>
  </si>
  <si>
    <t>Patrick Hart</t>
  </si>
  <si>
    <t>Dr. Christine Wagner PhD</t>
  </si>
  <si>
    <t>Mrs. Julia Greene</t>
  </si>
  <si>
    <t>Steven Chambers</t>
  </si>
  <si>
    <t>Kimberly Cobb</t>
  </si>
  <si>
    <t>Heather Hess</t>
  </si>
  <si>
    <t>Jill Walker</t>
  </si>
  <si>
    <t>Robert Garrett</t>
  </si>
  <si>
    <t>Tanner Mann</t>
  </si>
  <si>
    <t>Donald Mason</t>
  </si>
  <si>
    <t>Krystal Jones</t>
  </si>
  <si>
    <t>Monica Hill</t>
  </si>
  <si>
    <t>Justin Gibson</t>
  </si>
  <si>
    <t>Zachary Hill</t>
  </si>
  <si>
    <t>Donald Fisher</t>
  </si>
  <si>
    <t>Kenneth Johnson</t>
  </si>
  <si>
    <t>Gary Brown</t>
  </si>
  <si>
    <t>Taylor Pittman</t>
  </si>
  <si>
    <t>Kelly Young</t>
  </si>
  <si>
    <t>Calvin Villegas</t>
  </si>
  <si>
    <t>Amy Lang</t>
  </si>
  <si>
    <t>Kristin Phillips</t>
  </si>
  <si>
    <t>Rachel Hanson</t>
  </si>
  <si>
    <t>Gina Pace</t>
  </si>
  <si>
    <t>Kurt Jones</t>
  </si>
  <si>
    <t>John Oliver</t>
  </si>
  <si>
    <t>Jeffrey Moyer</t>
  </si>
  <si>
    <t>Grant Wood</t>
  </si>
  <si>
    <t>Robert Hansen</t>
  </si>
  <si>
    <t>Rachel Peterson</t>
  </si>
  <si>
    <t>Kenneth Mccarty</t>
  </si>
  <si>
    <t>Kathleen Mora</t>
  </si>
  <si>
    <t>Dr. Robert Aguirre</t>
  </si>
  <si>
    <t>Hunter Spencer</t>
  </si>
  <si>
    <t>William Gonzalez</t>
  </si>
  <si>
    <t>Craig Thompson</t>
  </si>
  <si>
    <t>Ashley Boyle</t>
  </si>
  <si>
    <t>Vanessa Cuevas</t>
  </si>
  <si>
    <t>Bianca Lopez</t>
  </si>
  <si>
    <t>Dana Williams</t>
  </si>
  <si>
    <t>Mark Ramirez</t>
  </si>
  <si>
    <t>Rachel Gibbs</t>
  </si>
  <si>
    <t>Kathleen Marshall</t>
  </si>
  <si>
    <t>Kevin Little</t>
  </si>
  <si>
    <t>Eric Oneal</t>
  </si>
  <si>
    <t>Bradley Wallace</t>
  </si>
  <si>
    <t>Jerry Reynolds</t>
  </si>
  <si>
    <t>David Brewer</t>
  </si>
  <si>
    <t>Rachel House</t>
  </si>
  <si>
    <t>Michael Wright</t>
  </si>
  <si>
    <t>Debbie Carrillo</t>
  </si>
  <si>
    <t>Kaitlyn Hunt</t>
  </si>
  <si>
    <t>David Matthews</t>
  </si>
  <si>
    <t>Ryan Patterson</t>
  </si>
  <si>
    <t>Kenneth Anderson</t>
  </si>
  <si>
    <t>Jeffery Goodwin</t>
  </si>
  <si>
    <t>Troy Rivera</t>
  </si>
  <si>
    <t>Chelsea Rodriguez</t>
  </si>
  <si>
    <t>Juan Johnson</t>
  </si>
  <si>
    <t>David Keller</t>
  </si>
  <si>
    <t>Theodore Myers</t>
  </si>
  <si>
    <t>Steven Clark</t>
  </si>
  <si>
    <t>Kenneth Collins</t>
  </si>
  <si>
    <t>Charles Brown</t>
  </si>
  <si>
    <t>Sherry Stevens</t>
  </si>
  <si>
    <t>Michelle Evans</t>
  </si>
  <si>
    <t>James Hopkins</t>
  </si>
  <si>
    <t>Mark Carter</t>
  </si>
  <si>
    <t>Philip Martinez</t>
  </si>
  <si>
    <t>David Hunter</t>
  </si>
  <si>
    <t>Jane Reese</t>
  </si>
  <si>
    <t>Erin Goodman</t>
  </si>
  <si>
    <t>Travis Taylor</t>
  </si>
  <si>
    <t>Caleb Figueroa</t>
  </si>
  <si>
    <t>Hunter Robinson</t>
  </si>
  <si>
    <t>Mark Mills</t>
  </si>
  <si>
    <t>Raymond Wang</t>
  </si>
  <si>
    <t>William Rogers</t>
  </si>
  <si>
    <t>Mary Ramsey</t>
  </si>
  <si>
    <t>Chelsey Clark</t>
  </si>
  <si>
    <t>Frank Smith</t>
  </si>
  <si>
    <t>Diana Hanson</t>
  </si>
  <si>
    <t>Victoria Garcia</t>
  </si>
  <si>
    <t>Megan Compton</t>
  </si>
  <si>
    <t>Crystal Matthews</t>
  </si>
  <si>
    <t>Jeffrey Sanchez</t>
  </si>
  <si>
    <t>Dan Johnson</t>
  </si>
  <si>
    <t>Erin Allen</t>
  </si>
  <si>
    <t>Michelle Franklin</t>
  </si>
  <si>
    <t>Sergio Jones</t>
  </si>
  <si>
    <t>Kevin Guerra</t>
  </si>
  <si>
    <t>Nathan Sanchez</t>
  </si>
  <si>
    <t>Christina Huffman</t>
  </si>
  <si>
    <t>Jeremy Wagner</t>
  </si>
  <si>
    <t>Jessica Miller</t>
  </si>
  <si>
    <t>John Chavez</t>
  </si>
  <si>
    <t>John Moore</t>
  </si>
  <si>
    <t>Jared Perry</t>
  </si>
  <si>
    <t>William Jones</t>
  </si>
  <si>
    <t>Jeffrey Scott</t>
  </si>
  <si>
    <t>Tammy Fitzgerald</t>
  </si>
  <si>
    <t>Alyssa Wade</t>
  </si>
  <si>
    <t>Lance Lynn</t>
  </si>
  <si>
    <t>Jennifer Willis</t>
  </si>
  <si>
    <t>Dawn Turner</t>
  </si>
  <si>
    <t>Monica Davis</t>
  </si>
  <si>
    <t>Abigail Jackson</t>
  </si>
  <si>
    <t>Mary Quinn</t>
  </si>
  <si>
    <t>Mr. Brian Bradley</t>
  </si>
  <si>
    <t>William Savage</t>
  </si>
  <si>
    <t>Edward Gray</t>
  </si>
  <si>
    <t>Dr. Adam Adams</t>
  </si>
  <si>
    <t>Ricky Bennett</t>
  </si>
  <si>
    <t>Michael Cooper</t>
  </si>
  <si>
    <t>Henry Rivera</t>
  </si>
  <si>
    <t>Tammy Johnson</t>
  </si>
  <si>
    <t>Isabella Montgomery</t>
  </si>
  <si>
    <t>Dr. Robin Smith</t>
  </si>
  <si>
    <t>Dr. Robert Bailey</t>
  </si>
  <si>
    <t>Lawrence Joseph</t>
  </si>
  <si>
    <t>Victoria Owens DVM</t>
  </si>
  <si>
    <t>Tony Graves</t>
  </si>
  <si>
    <t>Pamela Robinson</t>
  </si>
  <si>
    <t>Ann Holt</t>
  </si>
  <si>
    <t>Jamie Love</t>
  </si>
  <si>
    <t>Courtney Wilson</t>
  </si>
  <si>
    <t>Audrey Richardson</t>
  </si>
  <si>
    <t>Cheryl Price</t>
  </si>
  <si>
    <t>Matthew Garza</t>
  </si>
  <si>
    <t>Tommy Hood</t>
  </si>
  <si>
    <t>Maurice Solis</t>
  </si>
  <si>
    <t>Ryan Berry</t>
  </si>
  <si>
    <t>Mrs. Samantha Clark</t>
  </si>
  <si>
    <t>Elizabeth Briggs</t>
  </si>
  <si>
    <t>Wanda Todd</t>
  </si>
  <si>
    <t>Chloe Chase</t>
  </si>
  <si>
    <t>Michelle Ellis</t>
  </si>
  <si>
    <t>Christine Brock</t>
  </si>
  <si>
    <t>Richard Garrison</t>
  </si>
  <si>
    <t>Anne Mccann</t>
  </si>
  <si>
    <t>Jeffrey Hernandez</t>
  </si>
  <si>
    <t>Michael Blevins DDS</t>
  </si>
  <si>
    <t>John Meyers</t>
  </si>
  <si>
    <t>Bruce Martinez</t>
  </si>
  <si>
    <t>Patrick Bauer</t>
  </si>
  <si>
    <t>Calvin Nguyen</t>
  </si>
  <si>
    <t>Rachel Moreno</t>
  </si>
  <si>
    <t>Nicole Clark</t>
  </si>
  <si>
    <t>Rebecca Martinez</t>
  </si>
  <si>
    <t>Paul Miller</t>
  </si>
  <si>
    <t>Tony Smith</t>
  </si>
  <si>
    <t>Kenneth Neal</t>
  </si>
  <si>
    <t>Amanda Johnson</t>
  </si>
  <si>
    <t>Leslie Ramirez</t>
  </si>
  <si>
    <t>Carla Bryant</t>
  </si>
  <si>
    <t>Debra Schultz</t>
  </si>
  <si>
    <t>Jennifer Hernandez</t>
  </si>
  <si>
    <t>Joseph Sutton</t>
  </si>
  <si>
    <t>Paula Thomas</t>
  </si>
  <si>
    <t>Rachel Martinez</t>
  </si>
  <si>
    <t>Sharon Arnold</t>
  </si>
  <si>
    <t>Patrick Faulkner</t>
  </si>
  <si>
    <t>Michelle Sandoval</t>
  </si>
  <si>
    <t>Jacqueline Waters</t>
  </si>
  <si>
    <t>Kathryn Hill</t>
  </si>
  <si>
    <t>Angie Torres</t>
  </si>
  <si>
    <t>Carmen Brown</t>
  </si>
  <si>
    <t>Monica Castillo</t>
  </si>
  <si>
    <t>Michele Brady</t>
  </si>
  <si>
    <t>Lisa Oconnell</t>
  </si>
  <si>
    <t>Anthony Simpson</t>
  </si>
  <si>
    <t>Sarah Hodge</t>
  </si>
  <si>
    <t>Laura Robinson</t>
  </si>
  <si>
    <t>Amy Smith</t>
  </si>
  <si>
    <t>Nathan Morales</t>
  </si>
  <si>
    <t>Brittany Martinez</t>
  </si>
  <si>
    <t>James Evans</t>
  </si>
  <si>
    <t>Mary Gonzales MD</t>
  </si>
  <si>
    <t>Andrew Foster</t>
  </si>
  <si>
    <t>Mrs. Katherine Simpson</t>
  </si>
  <si>
    <t>Natalie Petersen</t>
  </si>
  <si>
    <t>Jonathan Saunders</t>
  </si>
  <si>
    <t>Jessica Roberts</t>
  </si>
  <si>
    <t>Jorge Wright</t>
  </si>
  <si>
    <t>Christina Mccarthy</t>
  </si>
  <si>
    <t>Leslie Walters MD</t>
  </si>
  <si>
    <t>Luis Davis</t>
  </si>
  <si>
    <t>Courtney Simmons</t>
  </si>
  <si>
    <t>Douglas Bell</t>
  </si>
  <si>
    <t>Matthew Morris</t>
  </si>
  <si>
    <t>John Cook</t>
  </si>
  <si>
    <t>Erin Figueroa</t>
  </si>
  <si>
    <t>Donald Silva</t>
  </si>
  <si>
    <t>Kevin Barr</t>
  </si>
  <si>
    <t>Lisa Turner</t>
  </si>
  <si>
    <t>Carl Barnes</t>
  </si>
  <si>
    <t>Autumn Graham</t>
  </si>
  <si>
    <t>Melissa Anderson</t>
  </si>
  <si>
    <t>Jennifer Cohen</t>
  </si>
  <si>
    <t>Jennifer Nelson</t>
  </si>
  <si>
    <t>Timothy Hunt</t>
  </si>
  <si>
    <t>Carolyn Williams</t>
  </si>
  <si>
    <t>Richard Day</t>
  </si>
  <si>
    <t>Mackenzie Compton</t>
  </si>
  <si>
    <t>Logan Nguyen</t>
  </si>
  <si>
    <t>Diana Scott</t>
  </si>
  <si>
    <t>Melissa Bautista</t>
  </si>
  <si>
    <t>Derrick Perkins</t>
  </si>
  <si>
    <t>Charles Mendoza</t>
  </si>
  <si>
    <t>Terri White</t>
  </si>
  <si>
    <t>Andrea Jones</t>
  </si>
  <si>
    <t>Breanna Christensen</t>
  </si>
  <si>
    <t>Pamela Newman</t>
  </si>
  <si>
    <t>Linda Sparks</t>
  </si>
  <si>
    <t>Angela Taylor</t>
  </si>
  <si>
    <t>Anthony Holt</t>
  </si>
  <si>
    <t>Stephen Perry</t>
  </si>
  <si>
    <t>Matthew Perez</t>
  </si>
  <si>
    <t>Brian Garcia</t>
  </si>
  <si>
    <t>Tamara Huang</t>
  </si>
  <si>
    <t>Brittany Contreras</t>
  </si>
  <si>
    <t>Mary Cantu</t>
  </si>
  <si>
    <t>Erica Myers</t>
  </si>
  <si>
    <t>Diana Davis</t>
  </si>
  <si>
    <t>Michael Gutierrez</t>
  </si>
  <si>
    <t>Joseph Patel PhD</t>
  </si>
  <si>
    <t>Melissa Goodman</t>
  </si>
  <si>
    <t>Tina Mccall</t>
  </si>
  <si>
    <t>Russell Arnold</t>
  </si>
  <si>
    <t>Victor Padilla</t>
  </si>
  <si>
    <t>Brian Perkins</t>
  </si>
  <si>
    <t>Bob Jones</t>
  </si>
  <si>
    <t>Joseph Rush</t>
  </si>
  <si>
    <t>Alexis Rodriguez</t>
  </si>
  <si>
    <t>Darren Huynh</t>
  </si>
  <si>
    <t>Manuel Robinson</t>
  </si>
  <si>
    <t>Julie Edwards</t>
  </si>
  <si>
    <t>Chloe Rodriguez</t>
  </si>
  <si>
    <t>Christopher Rodriguez</t>
  </si>
  <si>
    <t>Margaret Johnson</t>
  </si>
  <si>
    <t>Mrs. Amber Davis</t>
  </si>
  <si>
    <t>Paul Swanson</t>
  </si>
  <si>
    <t>Kathryn Hampton</t>
  </si>
  <si>
    <t>Christian Ford</t>
  </si>
  <si>
    <t>Patricia Martin</t>
  </si>
  <si>
    <t>Latasha Gamble</t>
  </si>
  <si>
    <t>Rebecca Jacobson</t>
  </si>
  <si>
    <t>Douglas Cox</t>
  </si>
  <si>
    <t>Dr. Pamela Ramos</t>
  </si>
  <si>
    <t>Dustin Ortiz</t>
  </si>
  <si>
    <t>Michael Hunter</t>
  </si>
  <si>
    <t>Danielle Nicholson</t>
  </si>
  <si>
    <t>Sarah Walker</t>
  </si>
  <si>
    <t>Stephanie Marshall</t>
  </si>
  <si>
    <t>James Brown</t>
  </si>
  <si>
    <t>Donald Johnson</t>
  </si>
  <si>
    <t>Victoria Schroeder</t>
  </si>
  <si>
    <t>Daniel Johnson</t>
  </si>
  <si>
    <t>Cathy Brown</t>
  </si>
  <si>
    <t>Tom Olson</t>
  </si>
  <si>
    <t>Adam Logan</t>
  </si>
  <si>
    <t>William Mcmillan</t>
  </si>
  <si>
    <t>Wayne Russell</t>
  </si>
  <si>
    <t>Wayne Davis</t>
  </si>
  <si>
    <t>Lindsay Robinson</t>
  </si>
  <si>
    <t>Jack Turner</t>
  </si>
  <si>
    <t>Guy Clayton</t>
  </si>
  <si>
    <t>Judy Brooks</t>
  </si>
  <si>
    <t>Madison Park</t>
  </si>
  <si>
    <t>Lisa Jenkins</t>
  </si>
  <si>
    <t>Kathy Shaffer</t>
  </si>
  <si>
    <t>Craig Harrison</t>
  </si>
  <si>
    <t>Maria Mueller</t>
  </si>
  <si>
    <t>Shawn Baker</t>
  </si>
  <si>
    <t>Christian Brooks</t>
  </si>
  <si>
    <t>Cheryl Newman</t>
  </si>
  <si>
    <t>Nicholas Powell</t>
  </si>
  <si>
    <t>Kathy Welch</t>
  </si>
  <si>
    <t>Frank Davis</t>
  </si>
  <si>
    <t>Michael Knapp</t>
  </si>
  <si>
    <t>Miss Paula Lopez</t>
  </si>
  <si>
    <t>Rachel Townsend</t>
  </si>
  <si>
    <t>Lauren Garcia</t>
  </si>
  <si>
    <t>Steven Davis</t>
  </si>
  <si>
    <t>Alex Jones DVM</t>
  </si>
  <si>
    <t>Rhonda White</t>
  </si>
  <si>
    <t>Autumn Cooper</t>
  </si>
  <si>
    <t>Patrick House</t>
  </si>
  <si>
    <t>Cindy Diaz</t>
  </si>
  <si>
    <t>Beth Hill</t>
  </si>
  <si>
    <t>Patrick Simpson</t>
  </si>
  <si>
    <t>Stacy Campbell</t>
  </si>
  <si>
    <t>Daniel Bowen</t>
  </si>
  <si>
    <t>Fernando Rodriguez</t>
  </si>
  <si>
    <t>Sabrina Cole</t>
  </si>
  <si>
    <t>Sherry Clements</t>
  </si>
  <si>
    <t>Heather Jones</t>
  </si>
  <si>
    <t>Michelle Lewis</t>
  </si>
  <si>
    <t>Kelsey Garcia</t>
  </si>
  <si>
    <t>Jessica Li</t>
  </si>
  <si>
    <t>Jennifer Martinez MD</t>
  </si>
  <si>
    <t>Richard Johnston</t>
  </si>
  <si>
    <t>Tamara Williams</t>
  </si>
  <si>
    <t>Evan Reed</t>
  </si>
  <si>
    <t>Michael Gibson</t>
  </si>
  <si>
    <t>Roger Taylor</t>
  </si>
  <si>
    <t>Steven Wood</t>
  </si>
  <si>
    <t>Anthony Torres</t>
  </si>
  <si>
    <t>Chad Murray</t>
  </si>
  <si>
    <t>Mary Boyd</t>
  </si>
  <si>
    <t>Karen Davis</t>
  </si>
  <si>
    <t>Savannah Neal</t>
  </si>
  <si>
    <t>Robert Lopez</t>
  </si>
  <si>
    <t>Paige Collins</t>
  </si>
  <si>
    <t>Jack Hester</t>
  </si>
  <si>
    <t>Eric Kane</t>
  </si>
  <si>
    <t>Steven Lopez</t>
  </si>
  <si>
    <t>Joshua Gomez</t>
  </si>
  <si>
    <t>Dominic Davis</t>
  </si>
  <si>
    <t>Christopher Hill</t>
  </si>
  <si>
    <t>Tina Robinson</t>
  </si>
  <si>
    <t>Desiree Andrade</t>
  </si>
  <si>
    <t>Melissa Simpson</t>
  </si>
  <si>
    <t>Morgan Davis</t>
  </si>
  <si>
    <t>Benjamin Lopez</t>
  </si>
  <si>
    <t>Alex Mccann</t>
  </si>
  <si>
    <t>John Smith</t>
  </si>
  <si>
    <t>Donna Perez</t>
  </si>
  <si>
    <t>Gabriela Henry</t>
  </si>
  <si>
    <t>Ronald Turner</t>
  </si>
  <si>
    <t>Monica Smith</t>
  </si>
  <si>
    <t>Mr. Patrick Mcpherson MD</t>
  </si>
  <si>
    <t>Sherry Shelton</t>
  </si>
  <si>
    <t>Hannah Rivera</t>
  </si>
  <si>
    <t>Adam Ho</t>
  </si>
  <si>
    <t>Carla Tucker</t>
  </si>
  <si>
    <t>Kevin Brown</t>
  </si>
  <si>
    <t>Shawn Glover</t>
  </si>
  <si>
    <t>Kevin Miller</t>
  </si>
  <si>
    <t>Jenny Rasmussen</t>
  </si>
  <si>
    <t>Jeffrey Liu</t>
  </si>
  <si>
    <t>Elizabeth Miller</t>
  </si>
  <si>
    <t>Jeremy Edwards</t>
  </si>
  <si>
    <t>Thomas Johnson</t>
  </si>
  <si>
    <t>Lauren Watson</t>
  </si>
  <si>
    <t>Robert Golden</t>
  </si>
  <si>
    <t>Marie Cook</t>
  </si>
  <si>
    <t>Barbara Richards</t>
  </si>
  <si>
    <t>Brandy Jacobson</t>
  </si>
  <si>
    <t>Christina Jones</t>
  </si>
  <si>
    <t>John Wall</t>
  </si>
  <si>
    <t>Mr. David Abbott</t>
  </si>
  <si>
    <t>Alex Thomas</t>
  </si>
  <si>
    <t>Dylan Contreras</t>
  </si>
  <si>
    <t>Ashley Butler</t>
  </si>
  <si>
    <t>Alexandra Turner</t>
  </si>
  <si>
    <t>Judy Smith</t>
  </si>
  <si>
    <t>Michael Myers</t>
  </si>
  <si>
    <t>Julia Trevino</t>
  </si>
  <si>
    <t>Ryan Webb</t>
  </si>
  <si>
    <t>Patricia Fox</t>
  </si>
  <si>
    <t>Sandra Jones</t>
  </si>
  <si>
    <t>Timothy Alvarez</t>
  </si>
  <si>
    <t>Steven Thompson</t>
  </si>
  <si>
    <t>Ashley Bradford</t>
  </si>
  <si>
    <t>Erica Hale</t>
  </si>
  <si>
    <t>David Kim</t>
  </si>
  <si>
    <t>Kevin Soto</t>
  </si>
  <si>
    <t>Laura Lin</t>
  </si>
  <si>
    <t>Kara Bell</t>
  </si>
  <si>
    <t>Laura Martinez</t>
  </si>
  <si>
    <t>Alison Nicholson</t>
  </si>
  <si>
    <t>Seth Donaldson</t>
  </si>
  <si>
    <t>Jennifer Brown</t>
  </si>
  <si>
    <t>George Green</t>
  </si>
  <si>
    <t>Erin Todd</t>
  </si>
  <si>
    <t>Pamela Johnson</t>
  </si>
  <si>
    <t>Karen Anderson</t>
  </si>
  <si>
    <t>John Harrington</t>
  </si>
  <si>
    <t>Jamie Sutton</t>
  </si>
  <si>
    <t>Michael Dunn</t>
  </si>
  <si>
    <t>Jeffrey Brown</t>
  </si>
  <si>
    <t>Rhonda Herrera</t>
  </si>
  <si>
    <t>Angela Martinez</t>
  </si>
  <si>
    <t>Yolanda Anderson</t>
  </si>
  <si>
    <t>Todd Harris</t>
  </si>
  <si>
    <t>Penny Carter</t>
  </si>
  <si>
    <t>Amy Mccullough</t>
  </si>
  <si>
    <t>Patrick Clark</t>
  </si>
  <si>
    <t>Phillip Benton</t>
  </si>
  <si>
    <t>Ronald Miller</t>
  </si>
  <si>
    <t>Andrew Harris</t>
  </si>
  <si>
    <t>Phillip Pineda</t>
  </si>
  <si>
    <t>Nicholas Howell</t>
  </si>
  <si>
    <t>Tiffany Randolph</t>
  </si>
  <si>
    <t>Patricia Green</t>
  </si>
  <si>
    <t>Michael Hill</t>
  </si>
  <si>
    <t>Donald Adams</t>
  </si>
  <si>
    <t>Erica Baker</t>
  </si>
  <si>
    <t>Ian Little</t>
  </si>
  <si>
    <t>Kristen Ashley</t>
  </si>
  <si>
    <t>Bethany Mccoy</t>
  </si>
  <si>
    <t>Cathy Hunter</t>
  </si>
  <si>
    <t>Trevor Braun</t>
  </si>
  <si>
    <t>Hannah Jones</t>
  </si>
  <si>
    <t>Jacob Carson</t>
  </si>
  <si>
    <t>Lawrence Ward</t>
  </si>
  <si>
    <t>Caitlin Williams</t>
  </si>
  <si>
    <t>Kayla Norman</t>
  </si>
  <si>
    <t>Jane Cuevas</t>
  </si>
  <si>
    <t>Laura Kelley</t>
  </si>
  <si>
    <t>John Warren</t>
  </si>
  <si>
    <t>Erin Lloyd</t>
  </si>
  <si>
    <t>Tyler Ortiz</t>
  </si>
  <si>
    <t>Mr. Richard Hall</t>
  </si>
  <si>
    <t>Brenda Green</t>
  </si>
  <si>
    <t>Brittany Snyder</t>
  </si>
  <si>
    <t>Dennis Spencer</t>
  </si>
  <si>
    <t>Christopher Jones</t>
  </si>
  <si>
    <t>Dana Carter</t>
  </si>
  <si>
    <t>Nathan Jones</t>
  </si>
  <si>
    <t>John Taylor</t>
  </si>
  <si>
    <t>Adam Watkins</t>
  </si>
  <si>
    <t>Diana Mejia</t>
  </si>
  <si>
    <t>Lauren Anthony</t>
  </si>
  <si>
    <t>Charles Cervantes</t>
  </si>
  <si>
    <t>Dustin Wilson</t>
  </si>
  <si>
    <t>Nicole Middleton DDS</t>
  </si>
  <si>
    <t>Kyle Williams</t>
  </si>
  <si>
    <t>Tom Duncan</t>
  </si>
  <si>
    <t>Tamara Wilson</t>
  </si>
  <si>
    <t>Audrey Gomez</t>
  </si>
  <si>
    <t>George Chavez</t>
  </si>
  <si>
    <t>Lori Sanchez</t>
  </si>
  <si>
    <t>Christian Cervantes</t>
  </si>
  <si>
    <t>Shannon Curry</t>
  </si>
  <si>
    <t>Amanda Watts</t>
  </si>
  <si>
    <t>Mr. Christopher Evans</t>
  </si>
  <si>
    <t>Linda Daniels</t>
  </si>
  <si>
    <t>Matthew Wilson</t>
  </si>
  <si>
    <t>Michele Ayala</t>
  </si>
  <si>
    <t>Alyssa Adams</t>
  </si>
  <si>
    <t>Deborah Stewart</t>
  </si>
  <si>
    <t>Debra Chandler</t>
  </si>
  <si>
    <t>Shawn Herrera</t>
  </si>
  <si>
    <t>Alicia Bowen</t>
  </si>
  <si>
    <t>Kristen Pena</t>
  </si>
  <si>
    <t>Mitchell Roberts</t>
  </si>
  <si>
    <t>Teresa Johnson</t>
  </si>
  <si>
    <t>Amanda Campbell</t>
  </si>
  <si>
    <t>Caleb Bowers</t>
  </si>
  <si>
    <t>Jonathan Warner</t>
  </si>
  <si>
    <t>Anna Chapman</t>
  </si>
  <si>
    <t>Jose Johnson</t>
  </si>
  <si>
    <t>Eddie Davis</t>
  </si>
  <si>
    <t>Dana Smith</t>
  </si>
  <si>
    <t>Danny Hester</t>
  </si>
  <si>
    <t>Maria Cook</t>
  </si>
  <si>
    <t>Charles Jensen</t>
  </si>
  <si>
    <t>Darlene Collins</t>
  </si>
  <si>
    <t>Shelby Adams</t>
  </si>
  <si>
    <t>Jessica Jones</t>
  </si>
  <si>
    <t>Jeffrey Stanton</t>
  </si>
  <si>
    <t>Dr. Joshua Ross</t>
  </si>
  <si>
    <t>Jacqueline Santos</t>
  </si>
  <si>
    <t>Larry Kennedy</t>
  </si>
  <si>
    <t>Mike Wells</t>
  </si>
  <si>
    <t>Cody Benson</t>
  </si>
  <si>
    <t>Andrea Fields</t>
  </si>
  <si>
    <t>Thomas Simmons</t>
  </si>
  <si>
    <t>Christina Watkins</t>
  </si>
  <si>
    <t>Robert Matthews</t>
  </si>
  <si>
    <t>Robert Savage</t>
  </si>
  <si>
    <t>Robert Thomas</t>
  </si>
  <si>
    <t>Robert Coleman</t>
  </si>
  <si>
    <t>Jamie Cruz</t>
  </si>
  <si>
    <t>Larry Lewis</t>
  </si>
  <si>
    <t>Kristina Henry</t>
  </si>
  <si>
    <t>Sean Wyatt</t>
  </si>
  <si>
    <t>Christopher Adkins</t>
  </si>
  <si>
    <t>Erin Bartlett</t>
  </si>
  <si>
    <t>Maria Sanders</t>
  </si>
  <si>
    <t>Yolanda Chen</t>
  </si>
  <si>
    <t>Ashley Wood</t>
  </si>
  <si>
    <t>Ryan Brown</t>
  </si>
  <si>
    <t>Nancy Cook</t>
  </si>
  <si>
    <t>Teresa Powell</t>
  </si>
  <si>
    <t>Angela Ramos</t>
  </si>
  <si>
    <t>Sara Smith</t>
  </si>
  <si>
    <t>Angelica Conrad</t>
  </si>
  <si>
    <t>Kevin Sheppard</t>
  </si>
  <si>
    <t>Nathaniel Wright</t>
  </si>
  <si>
    <t>Dustin Ramirez</t>
  </si>
  <si>
    <t>Deanna Gonzales</t>
  </si>
  <si>
    <t>Joanna Welch</t>
  </si>
  <si>
    <t>Christine Park</t>
  </si>
  <si>
    <t>Kristen Paul</t>
  </si>
  <si>
    <t>Thomas Holmes</t>
  </si>
  <si>
    <t>Mary Valenzuela</t>
  </si>
  <si>
    <t>George Leach</t>
  </si>
  <si>
    <t>Alex Lamb</t>
  </si>
  <si>
    <t>Roy King</t>
  </si>
  <si>
    <t>Sherry Hines</t>
  </si>
  <si>
    <t>Carly Jackson</t>
  </si>
  <si>
    <t>Matthew Kramer</t>
  </si>
  <si>
    <t>James Murray</t>
  </si>
  <si>
    <t>Scott Kim</t>
  </si>
  <si>
    <t>Gregory Ruiz</t>
  </si>
  <si>
    <t>Michelle Hines</t>
  </si>
  <si>
    <t>Stephanie Weiss</t>
  </si>
  <si>
    <t>Patrick Willis II</t>
  </si>
  <si>
    <t>Lisa Walton</t>
  </si>
  <si>
    <t>Jeffrey Morgan</t>
  </si>
  <si>
    <t>Amanda Mullen</t>
  </si>
  <si>
    <t>Julie Miller</t>
  </si>
  <si>
    <t>Kenneth Cruz</t>
  </si>
  <si>
    <t>Anthony Coleman</t>
  </si>
  <si>
    <t>John Rogers</t>
  </si>
  <si>
    <t>Michael Hernandez</t>
  </si>
  <si>
    <t>Monica Gibson</t>
  </si>
  <si>
    <t>Stephen Parks</t>
  </si>
  <si>
    <t>Howard Smith</t>
  </si>
  <si>
    <t>Kim Foster</t>
  </si>
  <si>
    <t>Jessica Hill</t>
  </si>
  <si>
    <t>Amanda Nguyen</t>
  </si>
  <si>
    <t>William Miller</t>
  </si>
  <si>
    <t>Natalie Miller</t>
  </si>
  <si>
    <t>Eric Palmer</t>
  </si>
  <si>
    <t>Timothy Hill</t>
  </si>
  <si>
    <t>Derek George</t>
  </si>
  <si>
    <t>Logan Chandler</t>
  </si>
  <si>
    <t>Karen Grant</t>
  </si>
  <si>
    <t>Kathryn Patel</t>
  </si>
  <si>
    <t>Tracy Welch</t>
  </si>
  <si>
    <t>Jocelyn Mcdonald</t>
  </si>
  <si>
    <t>Zachary Johnson</t>
  </si>
  <si>
    <t>Lawrence Atkinson</t>
  </si>
  <si>
    <t>Sean Wang</t>
  </si>
  <si>
    <t>Diana Townsend</t>
  </si>
  <si>
    <t>Joanna Bradshaw</t>
  </si>
  <si>
    <t>Christopher Solomon</t>
  </si>
  <si>
    <t>Allen Walker</t>
  </si>
  <si>
    <t>Carol Garrett</t>
  </si>
  <si>
    <t>Kristen Boyer</t>
  </si>
  <si>
    <t>Micheal Gonzalez</t>
  </si>
  <si>
    <t>David Morrison</t>
  </si>
  <si>
    <t>Larry Rivera</t>
  </si>
  <si>
    <t>Melanie Russell</t>
  </si>
  <si>
    <t>Kimberly Baldwin</t>
  </si>
  <si>
    <t>Sandra Hardy</t>
  </si>
  <si>
    <t>Miranda Richardson</t>
  </si>
  <si>
    <t>Martin Jones</t>
  </si>
  <si>
    <t>Jeremy Cobb</t>
  </si>
  <si>
    <t>Allison Beard</t>
  </si>
  <si>
    <t>Micheal Nunez</t>
  </si>
  <si>
    <t>James Walsh</t>
  </si>
  <si>
    <t>Jackson Romero</t>
  </si>
  <si>
    <t>Samuel Edwards</t>
  </si>
  <si>
    <t>Steven Smith</t>
  </si>
  <si>
    <t>Richard Mccormick</t>
  </si>
  <si>
    <t>Sarah Logan</t>
  </si>
  <si>
    <t>Tiffany Romero</t>
  </si>
  <si>
    <t>Keith Wright</t>
  </si>
  <si>
    <t>Cassandra Krause</t>
  </si>
  <si>
    <t>Brandi Turner</t>
  </si>
  <si>
    <t>Joshua Harrington</t>
  </si>
  <si>
    <t>John Garcia</t>
  </si>
  <si>
    <t>Taylor Cortez</t>
  </si>
  <si>
    <t>Joy Smith</t>
  </si>
  <si>
    <t>John Campbell</t>
  </si>
  <si>
    <t>Kathryn Garrett</t>
  </si>
  <si>
    <t>William Ruiz</t>
  </si>
  <si>
    <t>Scott Peterson</t>
  </si>
  <si>
    <t>Eric Miranda</t>
  </si>
  <si>
    <t>Brittney Moore</t>
  </si>
  <si>
    <t>Tyler Zavala</t>
  </si>
  <si>
    <t>Scott Torres</t>
  </si>
  <si>
    <t>Jeffery Long</t>
  </si>
  <si>
    <t>Robert Proctor</t>
  </si>
  <si>
    <t>Ronnie Johnson</t>
  </si>
  <si>
    <t>Rebecca Williamson</t>
  </si>
  <si>
    <t>Nathan David</t>
  </si>
  <si>
    <t>Susan Tucker</t>
  </si>
  <si>
    <t>Grant Medina</t>
  </si>
  <si>
    <t>Angela Rowland</t>
  </si>
  <si>
    <t>Kristina Gonzales</t>
  </si>
  <si>
    <t>Brenda Carrillo</t>
  </si>
  <si>
    <t>John Murray</t>
  </si>
  <si>
    <t>Brenda May</t>
  </si>
  <si>
    <t>William Brooks</t>
  </si>
  <si>
    <t>Diane Cook</t>
  </si>
  <si>
    <t>Christopher Palmer</t>
  </si>
  <si>
    <t>Pamela Jordan</t>
  </si>
  <si>
    <t>Gina Rose</t>
  </si>
  <si>
    <t>Ronald Smith</t>
  </si>
  <si>
    <t>Erin Ellis</t>
  </si>
  <si>
    <t>Brittany Mejia</t>
  </si>
  <si>
    <t>Amanda Anderson</t>
  </si>
  <si>
    <t>Eric Coleman</t>
  </si>
  <si>
    <t>Terry Martinez</t>
  </si>
  <si>
    <t>Jeremy Ross</t>
  </si>
  <si>
    <t>Katie Lane</t>
  </si>
  <si>
    <t>Nicole Stewart</t>
  </si>
  <si>
    <t>Jordan Duffy</t>
  </si>
  <si>
    <t>Tracy Copeland</t>
  </si>
  <si>
    <t>Mrs. Maria Price DDS</t>
  </si>
  <si>
    <t>Adam Stone</t>
  </si>
  <si>
    <t>Sharon Guerrero</t>
  </si>
  <si>
    <t>Traci Harmon</t>
  </si>
  <si>
    <t>Mr. Mario Stout III</t>
  </si>
  <si>
    <t>Shane Mcintyre</t>
  </si>
  <si>
    <t>Brett Bailey</t>
  </si>
  <si>
    <t>Jason Villanueva</t>
  </si>
  <si>
    <t>John Leach</t>
  </si>
  <si>
    <t>Karen Goodman</t>
  </si>
  <si>
    <t>Natalie Love</t>
  </si>
  <si>
    <t>Matthew Murphy</t>
  </si>
  <si>
    <t>Debra Lam MD</t>
  </si>
  <si>
    <t>Anthony Gonzalez</t>
  </si>
  <si>
    <t>Adam Castillo</t>
  </si>
  <si>
    <t>Dennis Gonzales</t>
  </si>
  <si>
    <t>Robert Freeman</t>
  </si>
  <si>
    <t>Amy Diaz</t>
  </si>
  <si>
    <t>Barbara Marquez</t>
  </si>
  <si>
    <t>Mrs. Sharon Wagner</t>
  </si>
  <si>
    <t>Courtney Smith</t>
  </si>
  <si>
    <t>Joseph Ryan</t>
  </si>
  <si>
    <t>Lisa Bridges</t>
  </si>
  <si>
    <t>Tyler Rush</t>
  </si>
  <si>
    <t>Nathan Evans</t>
  </si>
  <si>
    <t>Lisa Chung</t>
  </si>
  <si>
    <t>Renee Tapia</t>
  </si>
  <si>
    <t>Danielle Bell</t>
  </si>
  <si>
    <t>Laurie Chambers</t>
  </si>
  <si>
    <t>Kelly Warren</t>
  </si>
  <si>
    <t>Lisa Hernandez</t>
  </si>
  <si>
    <t>Jessica Jackson</t>
  </si>
  <si>
    <t>Nicholas Moyer</t>
  </si>
  <si>
    <t>Sharon Ramirez</t>
  </si>
  <si>
    <t>Victoria Miller</t>
  </si>
  <si>
    <t>Jeffrey Baker</t>
  </si>
  <si>
    <t>Tammy Reyes</t>
  </si>
  <si>
    <t>Vincent Allen</t>
  </si>
  <si>
    <t>Richard Phelps</t>
  </si>
  <si>
    <t>Maureen Johnson</t>
  </si>
  <si>
    <t>Rebecca Daniel</t>
  </si>
  <si>
    <t>Anthony Ellis</t>
  </si>
  <si>
    <t>Mariah Yang</t>
  </si>
  <si>
    <t>Joshua Trujillo</t>
  </si>
  <si>
    <t>Emily Crawford</t>
  </si>
  <si>
    <t>Robert Huang</t>
  </si>
  <si>
    <t>Susan Graves</t>
  </si>
  <si>
    <t>Christina Davis</t>
  </si>
  <si>
    <t>Jennifer Morse</t>
  </si>
  <si>
    <t>Angela Key</t>
  </si>
  <si>
    <t>Denise Simpson</t>
  </si>
  <si>
    <t>Edward Oconnell</t>
  </si>
  <si>
    <t>Mrs. Charlotte Stone MD</t>
  </si>
  <si>
    <t>Jacob Mccullough</t>
  </si>
  <si>
    <t>Ronald Park</t>
  </si>
  <si>
    <t>Erik Aguirre</t>
  </si>
  <si>
    <t>Courtney Adams</t>
  </si>
  <si>
    <t>Brittany Fleming</t>
  </si>
  <si>
    <t>Kyle Jordan</t>
  </si>
  <si>
    <t>Megan Rivera</t>
  </si>
  <si>
    <t>Adam Lynch</t>
  </si>
  <si>
    <t>Christopher Lee</t>
  </si>
  <si>
    <t>Brandon Shah</t>
  </si>
  <si>
    <t>Greg Davis</t>
  </si>
  <si>
    <t>James Perez</t>
  </si>
  <si>
    <t>Larry Hendrix</t>
  </si>
  <si>
    <t>Gabriel Torres</t>
  </si>
  <si>
    <t>Mr. William Davis DDS</t>
  </si>
  <si>
    <t>Patricia Romero</t>
  </si>
  <si>
    <t>Renee Collins</t>
  </si>
  <si>
    <t>Kathleen Munoz</t>
  </si>
  <si>
    <t>Ana Sanchez</t>
  </si>
  <si>
    <t>Ian Rangel</t>
  </si>
  <si>
    <t>Annette Meyer</t>
  </si>
  <si>
    <t>Nicole Day</t>
  </si>
  <si>
    <t>Jeffrey Miller</t>
  </si>
  <si>
    <t>Jonathan Hartman</t>
  </si>
  <si>
    <t>Elizabeth Matthews</t>
  </si>
  <si>
    <t>Eric Lopez</t>
  </si>
  <si>
    <t>Sarah Hicks</t>
  </si>
  <si>
    <t>Angel Harris</t>
  </si>
  <si>
    <t>Michael Glass</t>
  </si>
  <si>
    <t>Dr. Jacqueline Monroe</t>
  </si>
  <si>
    <t>Thomas Becker</t>
  </si>
  <si>
    <t>Jason Ramirez</t>
  </si>
  <si>
    <t>Jennifer Dominguez</t>
  </si>
  <si>
    <t>Ashley Barrera</t>
  </si>
  <si>
    <t>Dawn Becker</t>
  </si>
  <si>
    <t>Philip Foster</t>
  </si>
  <si>
    <t>Zachary Harrison</t>
  </si>
  <si>
    <t>Michael Jones</t>
  </si>
  <si>
    <t>Randy Bates</t>
  </si>
  <si>
    <t>Christian Villarreal</t>
  </si>
  <si>
    <t>James Arroyo</t>
  </si>
  <si>
    <t>Allison Alexander</t>
  </si>
  <si>
    <t>Emily Rodriguez</t>
  </si>
  <si>
    <t>Timothy Wood</t>
  </si>
  <si>
    <t>Anthony Hughes</t>
  </si>
  <si>
    <t>Alicia Holloway</t>
  </si>
  <si>
    <t>Jasmine Kent</t>
  </si>
  <si>
    <t>Thomas Hernandez</t>
  </si>
  <si>
    <t>Isabel Smith</t>
  </si>
  <si>
    <t>Victoria Martinez</t>
  </si>
  <si>
    <t>Jill Price</t>
  </si>
  <si>
    <t>Daniel Lee</t>
  </si>
  <si>
    <t>Kimberly Gallagher</t>
  </si>
  <si>
    <t>Brian Pearson</t>
  </si>
  <si>
    <t>Juan Moore</t>
  </si>
  <si>
    <t>Daniel Bradley</t>
  </si>
  <si>
    <t>James Casey</t>
  </si>
  <si>
    <t>Timothy Stewart</t>
  </si>
  <si>
    <t>Scott Brown</t>
  </si>
  <si>
    <t>Daniel Pittman</t>
  </si>
  <si>
    <t>Christopher Turner</t>
  </si>
  <si>
    <t>Lisa Moore</t>
  </si>
  <si>
    <t>Mary Thomas</t>
  </si>
  <si>
    <t>John Wang</t>
  </si>
  <si>
    <t>Tracy Potts</t>
  </si>
  <si>
    <t>Eric Long</t>
  </si>
  <si>
    <t>Erica Dawson</t>
  </si>
  <si>
    <t>Leslie Frey</t>
  </si>
  <si>
    <t>Allison Flores</t>
  </si>
  <si>
    <t>Jeffrey Williams</t>
  </si>
  <si>
    <t>William Weber</t>
  </si>
  <si>
    <t>Michael Nelson</t>
  </si>
  <si>
    <t>Michael Anderson</t>
  </si>
  <si>
    <t>Thomas Sellers</t>
  </si>
  <si>
    <t>Carl Gill</t>
  </si>
  <si>
    <t>Peggy Shields</t>
  </si>
  <si>
    <t>Amy Taylor</t>
  </si>
  <si>
    <t>Michael Clark</t>
  </si>
  <si>
    <t>Michelle Simpson</t>
  </si>
  <si>
    <t>Jordan Miller</t>
  </si>
  <si>
    <t>Michele Jones</t>
  </si>
  <si>
    <t>Russell Phillips</t>
  </si>
  <si>
    <t>Gregory Allen</t>
  </si>
  <si>
    <t>Amy Brown</t>
  </si>
  <si>
    <t>Stephanie Griffin</t>
  </si>
  <si>
    <t>Megan Jones</t>
  </si>
  <si>
    <t>Jacqueline Evans</t>
  </si>
  <si>
    <t>Amanda Gomez</t>
  </si>
  <si>
    <t>Julie Hernandez</t>
  </si>
  <si>
    <t>William Chen</t>
  </si>
  <si>
    <t>Tracy Robinson</t>
  </si>
  <si>
    <t>Travis Moore</t>
  </si>
  <si>
    <t>Dylan Young</t>
  </si>
  <si>
    <t>Lynn Morgan</t>
  </si>
  <si>
    <t>Douglas Hardy</t>
  </si>
  <si>
    <t>Jason Clark</t>
  </si>
  <si>
    <t>Riley Hale</t>
  </si>
  <si>
    <t>Lisa Li</t>
  </si>
  <si>
    <t>Anna Christensen</t>
  </si>
  <si>
    <t>Jerry Waters</t>
  </si>
  <si>
    <t>Aaron Kelly</t>
  </si>
  <si>
    <t>Mr. Stephen Gonzalez</t>
  </si>
  <si>
    <t>Nancy Lee</t>
  </si>
  <si>
    <t>Dan Phillips</t>
  </si>
  <si>
    <t>Theodore Hernandez</t>
  </si>
  <si>
    <t>Timothy Bryant</t>
  </si>
  <si>
    <t>Tyler Martinez</t>
  </si>
  <si>
    <t>Alexander Hamilton</t>
  </si>
  <si>
    <t>Keith Carroll</t>
  </si>
  <si>
    <t>Brenda Garcia</t>
  </si>
  <si>
    <t>Jason Potter</t>
  </si>
  <si>
    <t>Jennifer Moore</t>
  </si>
  <si>
    <t>Debbie Allen</t>
  </si>
  <si>
    <t>Daniel Hall</t>
  </si>
  <si>
    <t>Mark Foster</t>
  </si>
  <si>
    <t>Andrew Perez</t>
  </si>
  <si>
    <t>Katrina Calderon</t>
  </si>
  <si>
    <t>Diana Hawkins</t>
  </si>
  <si>
    <t>Gabriel Green</t>
  </si>
  <si>
    <t>Megan Carrillo</t>
  </si>
  <si>
    <t>Christine Wolf</t>
  </si>
  <si>
    <t>Matthew Hall</t>
  </si>
  <si>
    <t>Shannon Clark</t>
  </si>
  <si>
    <t>Tammie Castillo</t>
  </si>
  <si>
    <t>Sarah Harvey</t>
  </si>
  <si>
    <t>Keith Moore</t>
  </si>
  <si>
    <t>Angela Butler</t>
  </si>
  <si>
    <t>Jesus Randolph</t>
  </si>
  <si>
    <t>Denise Johnson</t>
  </si>
  <si>
    <t>Michael Johnson</t>
  </si>
  <si>
    <t>Laura Williams</t>
  </si>
  <si>
    <t>Christina Adams</t>
  </si>
  <si>
    <t>Whitney Williams</t>
  </si>
  <si>
    <t>Samuel Williams</t>
  </si>
  <si>
    <t>Matthew Watson</t>
  </si>
  <si>
    <t>Jacqueline Lucero</t>
  </si>
  <si>
    <t>Angelica King</t>
  </si>
  <si>
    <t>Shannon Martin</t>
  </si>
  <si>
    <t>Kimberly Collier</t>
  </si>
  <si>
    <t>Rodney Gilmore</t>
  </si>
  <si>
    <t>Carmen Perez</t>
  </si>
  <si>
    <t>Sabrina Robinson</t>
  </si>
  <si>
    <t>Ruben Woodard</t>
  </si>
  <si>
    <t>Charles Jones</t>
  </si>
  <si>
    <t>Tiffany Lee</t>
  </si>
  <si>
    <t>Andrea Chavez</t>
  </si>
  <si>
    <t>Elizabeth Hughes</t>
  </si>
  <si>
    <t>Amanda Henry</t>
  </si>
  <si>
    <t>Robert Mullins</t>
  </si>
  <si>
    <t>Alexander Johnson MD</t>
  </si>
  <si>
    <t>Michelle Nielsen</t>
  </si>
  <si>
    <t>Mrs. Emily Waters</t>
  </si>
  <si>
    <t>Linda Leonard</t>
  </si>
  <si>
    <t>Michael Price</t>
  </si>
  <si>
    <t>Jesse Nash</t>
  </si>
  <si>
    <t>Ryan Gonzalez</t>
  </si>
  <si>
    <t>Patricia Williams</t>
  </si>
  <si>
    <t>Jeremy Haynes</t>
  </si>
  <si>
    <t>Jessica Richardson</t>
  </si>
  <si>
    <t>Ashley Wells</t>
  </si>
  <si>
    <t>Travis Howard</t>
  </si>
  <si>
    <t>Brandon Lopez</t>
  </si>
  <si>
    <t>Austin Tyler</t>
  </si>
  <si>
    <t>Eric Francis</t>
  </si>
  <si>
    <t>Joseph Adams</t>
  </si>
  <si>
    <t>Rebecca Lopez</t>
  </si>
  <si>
    <t>Mark Weaver</t>
  </si>
  <si>
    <t>Andrea Palmer</t>
  </si>
  <si>
    <t>Darin Baker</t>
  </si>
  <si>
    <t>Corey Barber</t>
  </si>
  <si>
    <t>Travis Hicks</t>
  </si>
  <si>
    <t>Joseph Crawford</t>
  </si>
  <si>
    <t>Steven Thomas</t>
  </si>
  <si>
    <t>Sylvia Turner</t>
  </si>
  <si>
    <t>Sara Lawrence</t>
  </si>
  <si>
    <t>Lisa Brown</t>
  </si>
  <si>
    <t>Taylor Solomon</t>
  </si>
  <si>
    <t>Diana Harper</t>
  </si>
  <si>
    <t>Elizabeth Mcdaniel</t>
  </si>
  <si>
    <t>Joseph Wilson</t>
  </si>
  <si>
    <t>Matthew Crawford</t>
  </si>
  <si>
    <t>Brianna Obrien</t>
  </si>
  <si>
    <t>Robert Scott</t>
  </si>
  <si>
    <t>Jennifer Baker</t>
  </si>
  <si>
    <t>Destiny Dunn</t>
  </si>
  <si>
    <t>Lacey Smith</t>
  </si>
  <si>
    <t>Luke Duncan</t>
  </si>
  <si>
    <t>Patrick Irwin</t>
  </si>
  <si>
    <t>Joe Martin</t>
  </si>
  <si>
    <t>Jessica Valencia</t>
  </si>
  <si>
    <t>Jeremy Hernandez</t>
  </si>
  <si>
    <t>Denise Macias</t>
  </si>
  <si>
    <t>Jordan Hughes</t>
  </si>
  <si>
    <t>Russell Vega</t>
  </si>
  <si>
    <t>David Roberts</t>
  </si>
  <si>
    <t>Dana Wolfe</t>
  </si>
  <si>
    <t>James Henry</t>
  </si>
  <si>
    <t>Derrick Buck</t>
  </si>
  <si>
    <t>Kiara Gonzalez</t>
  </si>
  <si>
    <t>Caitlin Gilbert</t>
  </si>
  <si>
    <t>Charles Graham</t>
  </si>
  <si>
    <t>Brandon Williams</t>
  </si>
  <si>
    <t>Robert Gonzalez</t>
  </si>
  <si>
    <t>Joel Hodges</t>
  </si>
  <si>
    <t>Scott Miranda</t>
  </si>
  <si>
    <t>John Bradford</t>
  </si>
  <si>
    <t>David Thompson</t>
  </si>
  <si>
    <t>William Taylor</t>
  </si>
  <si>
    <t>Stacy Owens</t>
  </si>
  <si>
    <t>Carol Hodge</t>
  </si>
  <si>
    <t>Ashley Strong</t>
  </si>
  <si>
    <t>Dr. Daniel Hampton</t>
  </si>
  <si>
    <t>Elizabeth Sanchez</t>
  </si>
  <si>
    <t>Micheal Watson</t>
  </si>
  <si>
    <t>Stephanie Livingston</t>
  </si>
  <si>
    <t>Angela Carter</t>
  </si>
  <si>
    <t>Eric Hunter</t>
  </si>
  <si>
    <t>Alexander Robinson</t>
  </si>
  <si>
    <t>Gabriel Richardson</t>
  </si>
  <si>
    <t>Mary Kelley</t>
  </si>
  <si>
    <t>Jessica Sharp</t>
  </si>
  <si>
    <t>Daniel Williams</t>
  </si>
  <si>
    <t>Roger Hernandez</t>
  </si>
  <si>
    <t>Deborah Webb</t>
  </si>
  <si>
    <t>Bobby Stevens PhD</t>
  </si>
  <si>
    <t>Robin Rivera</t>
  </si>
  <si>
    <t>Paula Sanchez</t>
  </si>
  <si>
    <t>Dr. Jared Crane MD</t>
  </si>
  <si>
    <t>Tyler Marshall</t>
  </si>
  <si>
    <t>James Knight</t>
  </si>
  <si>
    <t>Erik Small</t>
  </si>
  <si>
    <t>Andre Pace</t>
  </si>
  <si>
    <t>Jennifer Atkinson</t>
  </si>
  <si>
    <t>Steven Michael</t>
  </si>
  <si>
    <t>William Richardson</t>
  </si>
  <si>
    <t>Andrew Aguilar</t>
  </si>
  <si>
    <t>James Holder</t>
  </si>
  <si>
    <t>Diane Brown</t>
  </si>
  <si>
    <t>Drew Long</t>
  </si>
  <si>
    <t>Matthew Briggs</t>
  </si>
  <si>
    <t>David Hernandez</t>
  </si>
  <si>
    <t>Jerry Hernandez</t>
  </si>
  <si>
    <t>John Ortiz</t>
  </si>
  <si>
    <t>James Reed</t>
  </si>
  <si>
    <t>Jonathan Barrett</t>
  </si>
  <si>
    <t>Nichole Zimmerman</t>
  </si>
  <si>
    <t>David Davis</t>
  </si>
  <si>
    <t>Donald Harris Jr.</t>
  </si>
  <si>
    <t>Jacqueline Smith</t>
  </si>
  <si>
    <t>Michael Hodge</t>
  </si>
  <si>
    <t>Randy Simon</t>
  </si>
  <si>
    <t>Nicole Williams</t>
  </si>
  <si>
    <t>Suzanne Lynch</t>
  </si>
  <si>
    <t>Steven Phelps</t>
  </si>
  <si>
    <t>Daryl Walker</t>
  </si>
  <si>
    <t>Rebekah Hill</t>
  </si>
  <si>
    <t>Jasmine Swanson</t>
  </si>
  <si>
    <t>Matthew Potts</t>
  </si>
  <si>
    <t>Eduardo Scott</t>
  </si>
  <si>
    <t>Timothy Collins</t>
  </si>
  <si>
    <t>Andrea Townsend</t>
  </si>
  <si>
    <t>Sandy Nichols</t>
  </si>
  <si>
    <t>Heather Hughes</t>
  </si>
  <si>
    <t>Rebecca Miller</t>
  </si>
  <si>
    <t>Karen Middleton</t>
  </si>
  <si>
    <t>Jennifer Jackson</t>
  </si>
  <si>
    <t>Natasha Davenport</t>
  </si>
  <si>
    <t>Christina Williams</t>
  </si>
  <si>
    <t>Taylor Wong MD</t>
  </si>
  <si>
    <t>Linda Hoffman</t>
  </si>
  <si>
    <t>Gina Weber</t>
  </si>
  <si>
    <t>Jessica Williams</t>
  </si>
  <si>
    <t>James Hernandez</t>
  </si>
  <si>
    <t>Dr. Jason Johnson IV</t>
  </si>
  <si>
    <t>Ariel Wilson</t>
  </si>
  <si>
    <t>Robert Hall</t>
  </si>
  <si>
    <t>Laura Vaughn</t>
  </si>
  <si>
    <t>Emily Humphrey</t>
  </si>
  <si>
    <t>Travis Chapman</t>
  </si>
  <si>
    <t>Deborah Garza</t>
  </si>
  <si>
    <t>Ashley Burnett</t>
  </si>
  <si>
    <t>Samantha Fleming</t>
  </si>
  <si>
    <t>Monica Wilkinson</t>
  </si>
  <si>
    <t>Jasmine Bryan</t>
  </si>
  <si>
    <t>David Chase</t>
  </si>
  <si>
    <t>Brian Garza</t>
  </si>
  <si>
    <t>James Sanford</t>
  </si>
  <si>
    <t>Barbara Wood</t>
  </si>
  <si>
    <t>Dakota Reid</t>
  </si>
  <si>
    <t>John Hill</t>
  </si>
  <si>
    <t>Sandra Goodman</t>
  </si>
  <si>
    <t>Jeffery Smith</t>
  </si>
  <si>
    <t>Taylor Smith</t>
  </si>
  <si>
    <t>Brianna Adams</t>
  </si>
  <si>
    <t>Nicole Smith</t>
  </si>
  <si>
    <t>Tara Foley</t>
  </si>
  <si>
    <t>Erin Norris</t>
  </si>
  <si>
    <t>Nicholas Le</t>
  </si>
  <si>
    <t>James Wilkinson</t>
  </si>
  <si>
    <t>Scott Kelly</t>
  </si>
  <si>
    <t>Billy Cunningham</t>
  </si>
  <si>
    <t>Zachary Jones</t>
  </si>
  <si>
    <t>Brent Scott</t>
  </si>
  <si>
    <t>Nicole Mays</t>
  </si>
  <si>
    <t>Melissa Smith</t>
  </si>
  <si>
    <t>Jonathan Perez</t>
  </si>
  <si>
    <t>Alyssa Davis</t>
  </si>
  <si>
    <t>Morgan Gonzalez</t>
  </si>
  <si>
    <t>Luke Johnson</t>
  </si>
  <si>
    <t>Michael Bass</t>
  </si>
  <si>
    <t>Melinda Orozco</t>
  </si>
  <si>
    <t>Jeffrey Lyons</t>
  </si>
  <si>
    <t>Stephanie Vargas</t>
  </si>
  <si>
    <t>Tiffany Coleman</t>
  </si>
  <si>
    <t>Rebecca Houston</t>
  </si>
  <si>
    <t>Shelly Wilson</t>
  </si>
  <si>
    <t>Ashley Mendoza</t>
  </si>
  <si>
    <t>Terry Romero</t>
  </si>
  <si>
    <t>Debbie Rivera</t>
  </si>
  <si>
    <t>Richard Hale</t>
  </si>
  <si>
    <t>Kimberly Rojas</t>
  </si>
  <si>
    <t>Penny Rowe</t>
  </si>
  <si>
    <t>Patrick Walsh</t>
  </si>
  <si>
    <t>Kimberly Watson</t>
  </si>
  <si>
    <t>Rebecca Gordon</t>
  </si>
  <si>
    <t>Lindsay Ray</t>
  </si>
  <si>
    <t>Phillip Mason</t>
  </si>
  <si>
    <t>Andrew Williams</t>
  </si>
  <si>
    <t>Nathaniel Hill</t>
  </si>
  <si>
    <t>Derrick Perez</t>
  </si>
  <si>
    <t>Jaime Williams</t>
  </si>
  <si>
    <t>Scott Grant</t>
  </si>
  <si>
    <t>Austin Adams</t>
  </si>
  <si>
    <t>Justin Moreno</t>
  </si>
  <si>
    <t>Kara Gilmore</t>
  </si>
  <si>
    <t>Jennifer Allen</t>
  </si>
  <si>
    <t>Kelly Brewer</t>
  </si>
  <si>
    <t>Bianca Bowen</t>
  </si>
  <si>
    <t>Andrew Price</t>
  </si>
  <si>
    <t>Shane Lopez</t>
  </si>
  <si>
    <t>Corey Grimes</t>
  </si>
  <si>
    <t>Sharon Palmer</t>
  </si>
  <si>
    <t>Kathryn White</t>
  </si>
  <si>
    <t>Phillip Kelly</t>
  </si>
  <si>
    <t>Renee Davis</t>
  </si>
  <si>
    <t>William Allen</t>
  </si>
  <si>
    <t>Frank Perez</t>
  </si>
  <si>
    <t>Lisa Wagner</t>
  </si>
  <si>
    <t>donaldgarcia@hotmail.com</t>
  </si>
  <si>
    <t>jesseguzman@hotmail.com</t>
  </si>
  <si>
    <t>zlawrence@gmail.com</t>
  </si>
  <si>
    <t>jasongallagher@gmail.com</t>
  </si>
  <si>
    <t>lindsay78@gmail.com</t>
  </si>
  <si>
    <t>barbara10@hotmail.com</t>
  </si>
  <si>
    <t>jamesshawn@yahoo.com</t>
  </si>
  <si>
    <t>lynchgeorge@hotmail.com</t>
  </si>
  <si>
    <t>gabriellecameron@gmail.com</t>
  </si>
  <si>
    <t>clarksherri@hotmail.com</t>
  </si>
  <si>
    <t>ithomas@gmail.com</t>
  </si>
  <si>
    <t>icox@hotmail.com</t>
  </si>
  <si>
    <t>laurahenderson@gmail.com</t>
  </si>
  <si>
    <t>frazierdanny@hotmail.com</t>
  </si>
  <si>
    <t>amoore@hotmail.com</t>
  </si>
  <si>
    <t>harrellkenneth@hotmail.com</t>
  </si>
  <si>
    <t>georgetracy@gmail.com</t>
  </si>
  <si>
    <t>allenashley@gmail.com</t>
  </si>
  <si>
    <t>davidalvarez@hotmail.com</t>
  </si>
  <si>
    <t>sarahcampos@hotmail.com</t>
  </si>
  <si>
    <t>samuel87@gmail.com</t>
  </si>
  <si>
    <t>briannasmith@hotmail.com</t>
  </si>
  <si>
    <t>chad34@hotmail.com</t>
  </si>
  <si>
    <t>esanchez@yahoo.com</t>
  </si>
  <si>
    <t>uowens@gmail.com</t>
  </si>
  <si>
    <t>lauren13@gmail.com</t>
  </si>
  <si>
    <t>ewright@yahoo.com</t>
  </si>
  <si>
    <t>novaksara@gmail.com</t>
  </si>
  <si>
    <t>martinaaron@yahoo.com</t>
  </si>
  <si>
    <t>smoore@gmail.com</t>
  </si>
  <si>
    <t>williamsthomas@hotmail.com</t>
  </si>
  <si>
    <t>larsonemma@gmail.com</t>
  </si>
  <si>
    <t>harveyrobert@hotmail.com</t>
  </si>
  <si>
    <t>john62@hotmail.com</t>
  </si>
  <si>
    <t>smithchristine@hotmail.com</t>
  </si>
  <si>
    <t>nicole35@yahoo.com</t>
  </si>
  <si>
    <t>contrerasangela@hotmail.com</t>
  </si>
  <si>
    <t>newtoneric@yahoo.com</t>
  </si>
  <si>
    <t>william40@gmail.com</t>
  </si>
  <si>
    <t>danagreen@hotmail.com</t>
  </si>
  <si>
    <t>landryhannah@gmail.com</t>
  </si>
  <si>
    <t>tanderson@yahoo.com</t>
  </si>
  <si>
    <t>elizabethgomez@hotmail.com</t>
  </si>
  <si>
    <t>michellecherry@gmail.com</t>
  </si>
  <si>
    <t>vpham@gmail.com</t>
  </si>
  <si>
    <t>garrisonjeffrey@yahoo.com</t>
  </si>
  <si>
    <t>kellerraymond@yahoo.com</t>
  </si>
  <si>
    <t>ifrazier@yahoo.com</t>
  </si>
  <si>
    <t>benjamin96@yahoo.com</t>
  </si>
  <si>
    <t>cruzbarbara@yahoo.com</t>
  </si>
  <si>
    <t>michaeljones@hotmail.com</t>
  </si>
  <si>
    <t>william65@yahoo.com</t>
  </si>
  <si>
    <t>lbyrd@hotmail.com</t>
  </si>
  <si>
    <t>jason99@hotmail.com</t>
  </si>
  <si>
    <t>yleon@hotmail.com</t>
  </si>
  <si>
    <t>clarence34@gmail.com</t>
  </si>
  <si>
    <t>gibsonolivia@hotmail.com</t>
  </si>
  <si>
    <t>dianasmith@gmail.com</t>
  </si>
  <si>
    <t>pwilliams@gmail.com</t>
  </si>
  <si>
    <t>stephanie79@hotmail.com</t>
  </si>
  <si>
    <t>juliawells@yahoo.com</t>
  </si>
  <si>
    <t>rsims@yahoo.com</t>
  </si>
  <si>
    <t>taylorjesse@hotmail.com</t>
  </si>
  <si>
    <t>nperry@yahoo.com</t>
  </si>
  <si>
    <t>wwoods@yahoo.com</t>
  </si>
  <si>
    <t>tracynelson@yahoo.com</t>
  </si>
  <si>
    <t>marycalhoun@hotmail.com</t>
  </si>
  <si>
    <t>millerroy@yahoo.com</t>
  </si>
  <si>
    <t>matthew64@yahoo.com</t>
  </si>
  <si>
    <t>cookemichael@hotmail.com</t>
  </si>
  <si>
    <t>jamessmith@gmail.com</t>
  </si>
  <si>
    <t>stevenscott@yahoo.com</t>
  </si>
  <si>
    <t>tamirodriguez@gmail.com</t>
  </si>
  <si>
    <t>charlesvaughn@hotmail.com</t>
  </si>
  <si>
    <t>hoganashlee@gmail.com</t>
  </si>
  <si>
    <t>alexander67@gmail.com</t>
  </si>
  <si>
    <t>ryangross@hotmail.com</t>
  </si>
  <si>
    <t>ugraham@hotmail.com</t>
  </si>
  <si>
    <t>nicole37@hotmail.com</t>
  </si>
  <si>
    <t>hunter35@yahoo.com</t>
  </si>
  <si>
    <t>blackjames@gmail.com</t>
  </si>
  <si>
    <t>fbrewer@yahoo.com</t>
  </si>
  <si>
    <t>kevinperkins@yahoo.com</t>
  </si>
  <si>
    <t>michael74@yahoo.com</t>
  </si>
  <si>
    <t>jamesrodgers@yahoo.com</t>
  </si>
  <si>
    <t>wallkenneth@yahoo.com</t>
  </si>
  <si>
    <t>mccannangela@hotmail.com</t>
  </si>
  <si>
    <t>andrewstaylor@yahoo.com</t>
  </si>
  <si>
    <t>ewilson@yahoo.com</t>
  </si>
  <si>
    <t>lisaavery@gmail.com</t>
  </si>
  <si>
    <t>kimberlyjames@yahoo.com</t>
  </si>
  <si>
    <t>lynchjody@gmail.com</t>
  </si>
  <si>
    <t>andreamoore@yahoo.com</t>
  </si>
  <si>
    <t>jasmine71@hotmail.com</t>
  </si>
  <si>
    <t>ronaldstephens@hotmail.com</t>
  </si>
  <si>
    <t>lauralarson@hotmail.com</t>
  </si>
  <si>
    <t>gbender@hotmail.com</t>
  </si>
  <si>
    <t>cassandra01@gmail.com</t>
  </si>
  <si>
    <t>barbara27@hotmail.com</t>
  </si>
  <si>
    <t>fwalters@gmail.com</t>
  </si>
  <si>
    <t>marksteele@yahoo.com</t>
  </si>
  <si>
    <t>qmiller@yahoo.com</t>
  </si>
  <si>
    <t>sandovalamy@yahoo.com</t>
  </si>
  <si>
    <t>nwolf@yahoo.com</t>
  </si>
  <si>
    <t>omartinez@hotmail.com</t>
  </si>
  <si>
    <t>hdavis@yahoo.com</t>
  </si>
  <si>
    <t>william46@yahoo.com</t>
  </si>
  <si>
    <t>michellehill@yahoo.com</t>
  </si>
  <si>
    <t>jessica99@hotmail.com</t>
  </si>
  <si>
    <t>andrea86@yahoo.com</t>
  </si>
  <si>
    <t>xhall@yahoo.com</t>
  </si>
  <si>
    <t>qhughes@hotmail.com</t>
  </si>
  <si>
    <t>sawyerscott@hotmail.com</t>
  </si>
  <si>
    <t>charlesharrington@yahoo.com</t>
  </si>
  <si>
    <t>melissa86@yahoo.com</t>
  </si>
  <si>
    <t>williamsonjimmy@hotmail.com</t>
  </si>
  <si>
    <t>wallaceheather@gmail.com</t>
  </si>
  <si>
    <t>hthomas@yahoo.com</t>
  </si>
  <si>
    <t>pharvey@yahoo.com</t>
  </si>
  <si>
    <t>elizabeth74@hotmail.com</t>
  </si>
  <si>
    <t>danielle64@yahoo.com</t>
  </si>
  <si>
    <t>patrickhoward@yahoo.com</t>
  </si>
  <si>
    <t>alan09@hotmail.com</t>
  </si>
  <si>
    <t>catherinegomez@hotmail.com</t>
  </si>
  <si>
    <t>courtneyberger@hotmail.com</t>
  </si>
  <si>
    <t>christopherphillips@hotmail.com</t>
  </si>
  <si>
    <t>alyssa42@yahoo.com</t>
  </si>
  <si>
    <t>mcdonaldcharles@gmail.com</t>
  </si>
  <si>
    <t>christopher60@yahoo.com</t>
  </si>
  <si>
    <t>brenda51@hotmail.com</t>
  </si>
  <si>
    <t>rose31@hotmail.com</t>
  </si>
  <si>
    <t>brandonjohnson@yahoo.com</t>
  </si>
  <si>
    <t>vwatson@hotmail.com</t>
  </si>
  <si>
    <t>fpena@hotmail.com</t>
  </si>
  <si>
    <t>scottsampson@yahoo.com</t>
  </si>
  <si>
    <t>sandersjames@gmail.com</t>
  </si>
  <si>
    <t>williamsmatthew@gmail.com</t>
  </si>
  <si>
    <t>brendali@gmail.com</t>
  </si>
  <si>
    <t>michele22@hotmail.com</t>
  </si>
  <si>
    <t>alexistyler@gmail.com</t>
  </si>
  <si>
    <t>vfox@gmail.com</t>
  </si>
  <si>
    <t>ngordon@gmail.com</t>
  </si>
  <si>
    <t>bschneider@gmail.com</t>
  </si>
  <si>
    <t>fjones@yahoo.com</t>
  </si>
  <si>
    <t>oscar98@yahoo.com</t>
  </si>
  <si>
    <t>farrelldebra@hotmail.com</t>
  </si>
  <si>
    <t>dmorgan@yahoo.com</t>
  </si>
  <si>
    <t>nicholas27@gmail.com</t>
  </si>
  <si>
    <t>lisa80@hotmail.com</t>
  </si>
  <si>
    <t>uparrish@gmail.com</t>
  </si>
  <si>
    <t>ericolson@gmail.com</t>
  </si>
  <si>
    <t>lindsaybruce@hotmail.com</t>
  </si>
  <si>
    <t>anthony44@yahoo.com</t>
  </si>
  <si>
    <t>vjones@hotmail.com</t>
  </si>
  <si>
    <t>xpeterson@yahoo.com</t>
  </si>
  <si>
    <t>moorekaren@gmail.com</t>
  </si>
  <si>
    <t>nperry@hotmail.com</t>
  </si>
  <si>
    <t>trose@gmail.com</t>
  </si>
  <si>
    <t>sierra24@yahoo.com</t>
  </si>
  <si>
    <t>omarpadilla@hotmail.com</t>
  </si>
  <si>
    <t>grahamsteve@gmail.com</t>
  </si>
  <si>
    <t>zroberts@gmail.com</t>
  </si>
  <si>
    <t>christopher13@yahoo.com</t>
  </si>
  <si>
    <t>jeffrey21@hotmail.com</t>
  </si>
  <si>
    <t>michael23@gmail.com</t>
  </si>
  <si>
    <t>thompsonkendra@yahoo.com</t>
  </si>
  <si>
    <t>michelle52@yahoo.com</t>
  </si>
  <si>
    <t>bellcharles@yahoo.com</t>
  </si>
  <si>
    <t>gilbertwilliam@yahoo.com</t>
  </si>
  <si>
    <t>kstout@hotmail.com</t>
  </si>
  <si>
    <t>hayeslisa@yahoo.com</t>
  </si>
  <si>
    <t>hritter@hotmail.com</t>
  </si>
  <si>
    <t>rschroeder@hotmail.com</t>
  </si>
  <si>
    <t>grantpaul@yahoo.com</t>
  </si>
  <si>
    <t>mathewaguilar@gmail.com</t>
  </si>
  <si>
    <t>brookehurley@yahoo.com</t>
  </si>
  <si>
    <t>lucasrodney@yahoo.com</t>
  </si>
  <si>
    <t>ilee@gmail.com</t>
  </si>
  <si>
    <t>stanleynancy@hotmail.com</t>
  </si>
  <si>
    <t>jenniferwilliams@yahoo.com</t>
  </si>
  <si>
    <t>pyoung@yahoo.com</t>
  </si>
  <si>
    <t>smurray@yahoo.com</t>
  </si>
  <si>
    <t>moniquewilliams@yahoo.com</t>
  </si>
  <si>
    <t>mitchellkathryn@yahoo.com</t>
  </si>
  <si>
    <t>lisawilkerson@gmail.com</t>
  </si>
  <si>
    <t>brooksanthony@gmail.com</t>
  </si>
  <si>
    <t>samantha72@hotmail.com</t>
  </si>
  <si>
    <t>jason28@hotmail.com</t>
  </si>
  <si>
    <t>david36@hotmail.com</t>
  </si>
  <si>
    <t>bcarlson@hotmail.com</t>
  </si>
  <si>
    <t>mendezjohn@yahoo.com</t>
  </si>
  <si>
    <t>ashleyamy@hotmail.com</t>
  </si>
  <si>
    <t>qzavala@hotmail.com</t>
  </si>
  <si>
    <t>ingramjill@yahoo.com</t>
  </si>
  <si>
    <t>mariacohen@hotmail.com</t>
  </si>
  <si>
    <t>mjohnson@gmail.com</t>
  </si>
  <si>
    <t>ihays@yahoo.com</t>
  </si>
  <si>
    <t>glennmartin@gmail.com</t>
  </si>
  <si>
    <t>lmorgan@yahoo.com</t>
  </si>
  <si>
    <t>mmiller@gmail.com</t>
  </si>
  <si>
    <t>kirk96@gmail.com</t>
  </si>
  <si>
    <t>christina64@hotmail.com</t>
  </si>
  <si>
    <t>william20@gmail.com</t>
  </si>
  <si>
    <t>kimberlydiaz@yahoo.com</t>
  </si>
  <si>
    <t>nathan19@gmail.com</t>
  </si>
  <si>
    <t>johnsonjacob@hotmail.com</t>
  </si>
  <si>
    <t>nlewis@yahoo.com</t>
  </si>
  <si>
    <t>hayesrachel@yahoo.com</t>
  </si>
  <si>
    <t>jenna88@yahoo.com</t>
  </si>
  <si>
    <t>laurahicks@gmail.com</t>
  </si>
  <si>
    <t>angela57@hotmail.com</t>
  </si>
  <si>
    <t>xfox@yahoo.com</t>
  </si>
  <si>
    <t>howens@yahoo.com</t>
  </si>
  <si>
    <t>katrinaanderson@hotmail.com</t>
  </si>
  <si>
    <t>marcusfletcher@yahoo.com</t>
  </si>
  <si>
    <t>david49@hotmail.com</t>
  </si>
  <si>
    <t>georgeweber@hotmail.com</t>
  </si>
  <si>
    <t>millerstacy@hotmail.com</t>
  </si>
  <si>
    <t>jimenezcourtney@yahoo.com</t>
  </si>
  <si>
    <t>eevans@hotmail.com</t>
  </si>
  <si>
    <t>catherine55@hotmail.com</t>
  </si>
  <si>
    <t>floressteven@yahoo.com</t>
  </si>
  <si>
    <t>alin@gmail.com</t>
  </si>
  <si>
    <t>kathrynjimenez@hotmail.com</t>
  </si>
  <si>
    <t>jasongomez@gmail.com</t>
  </si>
  <si>
    <t>booneryan@yahoo.com</t>
  </si>
  <si>
    <t>hudsonjames@hotmail.com</t>
  </si>
  <si>
    <t>marcia99@gmail.com</t>
  </si>
  <si>
    <t>angela52@gmail.com</t>
  </si>
  <si>
    <t>jenniferbrock@hotmail.com</t>
  </si>
  <si>
    <t>francisco94@hotmail.com</t>
  </si>
  <si>
    <t>thomas05@yahoo.com</t>
  </si>
  <si>
    <t>carlsonjoseph@hotmail.com</t>
  </si>
  <si>
    <t>silvageorge@hotmail.com</t>
  </si>
  <si>
    <t>anthonyvaughan@gmail.com</t>
  </si>
  <si>
    <t>roberthampton@yahoo.com</t>
  </si>
  <si>
    <t>whitney78@yahoo.com</t>
  </si>
  <si>
    <t>erica49@yahoo.com</t>
  </si>
  <si>
    <t>kellie37@yahoo.com</t>
  </si>
  <si>
    <t>keith98@yahoo.com</t>
  </si>
  <si>
    <t>bobby15@yahoo.com</t>
  </si>
  <si>
    <t>sarah42@gmail.com</t>
  </si>
  <si>
    <t>danawilliams@yahoo.com</t>
  </si>
  <si>
    <t>oconnelltiffany@gmail.com</t>
  </si>
  <si>
    <t>katelynmitchell@yahoo.com</t>
  </si>
  <si>
    <t>amandasharp@gmail.com</t>
  </si>
  <si>
    <t>osbornrandy@yahoo.com</t>
  </si>
  <si>
    <t>smithashley@gmail.com</t>
  </si>
  <si>
    <t>ismall@hotmail.com</t>
  </si>
  <si>
    <t>twong@gmail.com</t>
  </si>
  <si>
    <t>gregorychase@yahoo.com</t>
  </si>
  <si>
    <t>tinawoods@gmail.com</t>
  </si>
  <si>
    <t>kevin90@yahoo.com</t>
  </si>
  <si>
    <t>zparker@hotmail.com</t>
  </si>
  <si>
    <t>fowlershelia@yahoo.com</t>
  </si>
  <si>
    <t>madkins@yahoo.com</t>
  </si>
  <si>
    <t>kathleenbecker@hotmail.com</t>
  </si>
  <si>
    <t>starkdaniel@hotmail.com</t>
  </si>
  <si>
    <t>nwilson@hotmail.com</t>
  </si>
  <si>
    <t>williambryant@gmail.com</t>
  </si>
  <si>
    <t>ascott@hotmail.com</t>
  </si>
  <si>
    <t>weaverbrian@gmail.com</t>
  </si>
  <si>
    <t>ybrooks@yahoo.com</t>
  </si>
  <si>
    <t>desireebailey@gmail.com</t>
  </si>
  <si>
    <t>avilatiffany@yahoo.com</t>
  </si>
  <si>
    <t>johnreed@yahoo.com</t>
  </si>
  <si>
    <t>bmendez@gmail.com</t>
  </si>
  <si>
    <t>sanchezbradley@yahoo.com</t>
  </si>
  <si>
    <t>williamroberts@hotmail.com</t>
  </si>
  <si>
    <t>joel28@gmail.com</t>
  </si>
  <si>
    <t>conniesimmons@yahoo.com</t>
  </si>
  <si>
    <t>heather62@yahoo.com</t>
  </si>
  <si>
    <t>kevinzimmerman@yahoo.com</t>
  </si>
  <si>
    <t>paulscott@yahoo.com</t>
  </si>
  <si>
    <t>brettbennett@hotmail.com</t>
  </si>
  <si>
    <t>timothybooth@yahoo.com</t>
  </si>
  <si>
    <t>burgesskaren@gmail.com</t>
  </si>
  <si>
    <t>kimberly67@hotmail.com</t>
  </si>
  <si>
    <t>zowens@hotmail.com</t>
  </si>
  <si>
    <t>robert93@hotmail.com</t>
  </si>
  <si>
    <t>mphillips@yahoo.com</t>
  </si>
  <si>
    <t>jonathan77@yahoo.com</t>
  </si>
  <si>
    <t>iwhite@hotmail.com</t>
  </si>
  <si>
    <t>duranrobert@hotmail.com</t>
  </si>
  <si>
    <t>nbrooks@hotmail.com</t>
  </si>
  <si>
    <t>smithandrea@gmail.com</t>
  </si>
  <si>
    <t>shawheidi@yahoo.com</t>
  </si>
  <si>
    <t>christineking@yahoo.com</t>
  </si>
  <si>
    <t>scunningham@gmail.com</t>
  </si>
  <si>
    <t>davisnicholas@hotmail.com</t>
  </si>
  <si>
    <t>pbruce@yahoo.com</t>
  </si>
  <si>
    <t>hallrachel@hotmail.com</t>
  </si>
  <si>
    <t>rachel90@gmail.com</t>
  </si>
  <si>
    <t>thickman@gmail.com</t>
  </si>
  <si>
    <t>patrick21@hotmail.com</t>
  </si>
  <si>
    <t>petersonkayla@hotmail.com</t>
  </si>
  <si>
    <t>whenry@hotmail.com</t>
  </si>
  <si>
    <t>bartonkenneth@gmail.com</t>
  </si>
  <si>
    <t>jodistewart@gmail.com</t>
  </si>
  <si>
    <t>curtis12@yahoo.com</t>
  </si>
  <si>
    <t>gomezchristopher@hotmail.com</t>
  </si>
  <si>
    <t>umaxwell@hotmail.com</t>
  </si>
  <si>
    <t>josephadams@gmail.com</t>
  </si>
  <si>
    <t>wardsheryl@hotmail.com</t>
  </si>
  <si>
    <t>rushmartin@hotmail.com</t>
  </si>
  <si>
    <t>kevinmorrison@hotmail.com</t>
  </si>
  <si>
    <t>kelly79@gmail.com</t>
  </si>
  <si>
    <t>frederickjames@hotmail.com</t>
  </si>
  <si>
    <t>nhahn@yahoo.com</t>
  </si>
  <si>
    <t>ichambers@hotmail.com</t>
  </si>
  <si>
    <t>mjones@yahoo.com</t>
  </si>
  <si>
    <t>ystephens@yahoo.com</t>
  </si>
  <si>
    <t>rodriguezjohn@hotmail.com</t>
  </si>
  <si>
    <t>vrasmussen@yahoo.com</t>
  </si>
  <si>
    <t>seanmyers@hotmail.com</t>
  </si>
  <si>
    <t>agarcia@gmail.com</t>
  </si>
  <si>
    <t>stanley38@yahoo.com</t>
  </si>
  <si>
    <t>carlos01@gmail.com</t>
  </si>
  <si>
    <t>zacharyarnold@yahoo.com</t>
  </si>
  <si>
    <t>jacobsandoval@yahoo.com</t>
  </si>
  <si>
    <t>tprice@gmail.com</t>
  </si>
  <si>
    <t>lloydamanda@yahoo.com</t>
  </si>
  <si>
    <t>orose@yahoo.com</t>
  </si>
  <si>
    <t>megan92@hotmail.com</t>
  </si>
  <si>
    <t>lawrenceallen@gmail.com</t>
  </si>
  <si>
    <t>baileyhenderson@yahoo.com</t>
  </si>
  <si>
    <t>angelaburns@gmail.com</t>
  </si>
  <si>
    <t>stephanie72@gmail.com</t>
  </si>
  <si>
    <t>cperry@yahoo.com</t>
  </si>
  <si>
    <t>antonio38@yahoo.com</t>
  </si>
  <si>
    <t>hdunn@hotmail.com</t>
  </si>
  <si>
    <t>wolfscott@gmail.com</t>
  </si>
  <si>
    <t>nancy07@yahoo.com</t>
  </si>
  <si>
    <t>rowejoel@hotmail.com</t>
  </si>
  <si>
    <t>imartin@gmail.com</t>
  </si>
  <si>
    <t>mariopadilla@yahoo.com</t>
  </si>
  <si>
    <t>taylorkaren@yahoo.com</t>
  </si>
  <si>
    <t>dustinmorris@gmail.com</t>
  </si>
  <si>
    <t>courtney67@gmail.com</t>
  </si>
  <si>
    <t>heather57@yahoo.com</t>
  </si>
  <si>
    <t>simonstephen@hotmail.com</t>
  </si>
  <si>
    <t>tammysummers@yahoo.com</t>
  </si>
  <si>
    <t>ashleewashington@yahoo.com</t>
  </si>
  <si>
    <t>ksmith@yahoo.com</t>
  </si>
  <si>
    <t>nicoleturner@yahoo.com</t>
  </si>
  <si>
    <t>brettgarrett@hotmail.com</t>
  </si>
  <si>
    <t>smiththomas@gmail.com</t>
  </si>
  <si>
    <t>lisa62@yahoo.com</t>
  </si>
  <si>
    <t>edwardsnicole@gmail.com</t>
  </si>
  <si>
    <t>caseyelliott@hotmail.com</t>
  </si>
  <si>
    <t>samanthajensen@yahoo.com</t>
  </si>
  <si>
    <t>bbell@yahoo.com</t>
  </si>
  <si>
    <t>kimberly04@gmail.com</t>
  </si>
  <si>
    <t>bowerslaura@gmail.com</t>
  </si>
  <si>
    <t>ricetiffany@yahoo.com</t>
  </si>
  <si>
    <t>amy27@gmail.com</t>
  </si>
  <si>
    <t>fryraymond@yahoo.com</t>
  </si>
  <si>
    <t>imiller@hotmail.com</t>
  </si>
  <si>
    <t>terrimoore@yahoo.com</t>
  </si>
  <si>
    <t>collinssamuel@gmail.com</t>
  </si>
  <si>
    <t>parkerjudith@hotmail.com</t>
  </si>
  <si>
    <t>tylerreed@hotmail.com</t>
  </si>
  <si>
    <t>jessica10@yahoo.com</t>
  </si>
  <si>
    <t>crawfordwilliam@gmail.com</t>
  </si>
  <si>
    <t>shannonemily@gmail.com</t>
  </si>
  <si>
    <t>sanchezthomas@yahoo.com</t>
  </si>
  <si>
    <t>pwalker@yahoo.com</t>
  </si>
  <si>
    <t>shawrachel@gmail.com</t>
  </si>
  <si>
    <t>wileymichelle@yahoo.com</t>
  </si>
  <si>
    <t>anne49@gmail.com</t>
  </si>
  <si>
    <t>jessicapayne@gmail.com</t>
  </si>
  <si>
    <t>cynthia05@gmail.com</t>
  </si>
  <si>
    <t>harristonya@yahoo.com</t>
  </si>
  <si>
    <t>christopher38@yahoo.com</t>
  </si>
  <si>
    <t>wagnerdana@yahoo.com</t>
  </si>
  <si>
    <t>joelgreen@yahoo.com</t>
  </si>
  <si>
    <t>enelson@gmail.com</t>
  </si>
  <si>
    <t>shannonedwards@gmail.com</t>
  </si>
  <si>
    <t>hbaker@gmail.com</t>
  </si>
  <si>
    <t>lewismelissa@gmail.com</t>
  </si>
  <si>
    <t>byrdjorge@gmail.com</t>
  </si>
  <si>
    <t>codygarcia@gmail.com</t>
  </si>
  <si>
    <t>jamesmorales@hotmail.com</t>
  </si>
  <si>
    <t>johnsoncaleb@hotmail.com</t>
  </si>
  <si>
    <t>david70@gmail.com</t>
  </si>
  <si>
    <t>lvega@yahoo.com</t>
  </si>
  <si>
    <t>austinharvey@gmail.com</t>
  </si>
  <si>
    <t>millerpatrick@yahoo.com</t>
  </si>
  <si>
    <t>mayokimberly@yahoo.com</t>
  </si>
  <si>
    <t>paul20@yahoo.com</t>
  </si>
  <si>
    <t>stokesthomas@yahoo.com</t>
  </si>
  <si>
    <t>dianeadams@hotmail.com</t>
  </si>
  <si>
    <t>lkelly@gmail.com</t>
  </si>
  <si>
    <t>warnermichael@hotmail.com</t>
  </si>
  <si>
    <t>lweaver@yahoo.com</t>
  </si>
  <si>
    <t>nsmith@gmail.com</t>
  </si>
  <si>
    <t>brian29@hotmail.com</t>
  </si>
  <si>
    <t>brookssheri@yahoo.com</t>
  </si>
  <si>
    <t>jessicakim@hotmail.com</t>
  </si>
  <si>
    <t>jeffrey92@yahoo.com</t>
  </si>
  <si>
    <t>rushstacy@yahoo.com</t>
  </si>
  <si>
    <t>daniellegarcia@yahoo.com</t>
  </si>
  <si>
    <t>gary15@yahoo.com</t>
  </si>
  <si>
    <t>kristin00@yahoo.com</t>
  </si>
  <si>
    <t>wmacias@hotmail.com</t>
  </si>
  <si>
    <t>franciscojones@gmail.com</t>
  </si>
  <si>
    <t>george62@hotmail.com</t>
  </si>
  <si>
    <t>bbush@hotmail.com</t>
  </si>
  <si>
    <t>jamie36@hotmail.com</t>
  </si>
  <si>
    <t>kenneth10@yahoo.com</t>
  </si>
  <si>
    <t>pattersonkelly@hotmail.com</t>
  </si>
  <si>
    <t>daniellerowland@yahoo.com</t>
  </si>
  <si>
    <t>christopher86@gmail.com</t>
  </si>
  <si>
    <t>scott43@yahoo.com</t>
  </si>
  <si>
    <t>barnettlindsey@yahoo.com</t>
  </si>
  <si>
    <t>rsheppard@yahoo.com</t>
  </si>
  <si>
    <t>shawrachel@hotmail.com</t>
  </si>
  <si>
    <t>teresastokes@gmail.com</t>
  </si>
  <si>
    <t>maryscott@hotmail.com</t>
  </si>
  <si>
    <t>april09@hotmail.com</t>
  </si>
  <si>
    <t>buckleyanna@gmail.com</t>
  </si>
  <si>
    <t>pbaker@yahoo.com</t>
  </si>
  <si>
    <t>christinebecker@yahoo.com</t>
  </si>
  <si>
    <t>reesesamantha@yahoo.com</t>
  </si>
  <si>
    <t>rgarrison@gmail.com</t>
  </si>
  <si>
    <t>joseph69@hotmail.com</t>
  </si>
  <si>
    <t>xmalone@gmail.com</t>
  </si>
  <si>
    <t>htaylor@hotmail.com</t>
  </si>
  <si>
    <t>wrightstephen@yahoo.com</t>
  </si>
  <si>
    <t>hreid@hotmail.com</t>
  </si>
  <si>
    <t>wmatthews@yahoo.com</t>
  </si>
  <si>
    <t>mitchellpaul@gmail.com</t>
  </si>
  <si>
    <t>ericaadams@yahoo.com</t>
  </si>
  <si>
    <t>wellsdavid@gmail.com</t>
  </si>
  <si>
    <t>jennifer46@yahoo.com</t>
  </si>
  <si>
    <t>asilva@hotmail.com</t>
  </si>
  <si>
    <t>kenneth17@gmail.com</t>
  </si>
  <si>
    <t>jacob83@gmail.com</t>
  </si>
  <si>
    <t>jenniferrios@yahoo.com</t>
  </si>
  <si>
    <t>matthewreeves@hotmail.com</t>
  </si>
  <si>
    <t>william28@gmail.com</t>
  </si>
  <si>
    <t>staceylam@hotmail.com</t>
  </si>
  <si>
    <t>vfrench@yahoo.com</t>
  </si>
  <si>
    <t>delacruzbrandy@hotmail.com</t>
  </si>
  <si>
    <t>amoreno@gmail.com</t>
  </si>
  <si>
    <t>tthomas@gmail.com</t>
  </si>
  <si>
    <t>cynthia07@yahoo.com</t>
  </si>
  <si>
    <t>xglover@gmail.com</t>
  </si>
  <si>
    <t>creyes@hotmail.com</t>
  </si>
  <si>
    <t>andrewsmith@hotmail.com</t>
  </si>
  <si>
    <t>reyesbrianna@gmail.com</t>
  </si>
  <si>
    <t>ryan25@yahoo.com</t>
  </si>
  <si>
    <t>osmith@hotmail.com</t>
  </si>
  <si>
    <t>richardsondebra@gmail.com</t>
  </si>
  <si>
    <t>wheelerbrandon@gmail.com</t>
  </si>
  <si>
    <t>jjames@yahoo.com</t>
  </si>
  <si>
    <t>turnerdorothy@hotmail.com</t>
  </si>
  <si>
    <t>huntchristine@yahoo.com</t>
  </si>
  <si>
    <t>marie35@hotmail.com</t>
  </si>
  <si>
    <t>haleycastillo@gmail.com</t>
  </si>
  <si>
    <t>fhernandez@hotmail.com</t>
  </si>
  <si>
    <t>stephenmadden@yahoo.com</t>
  </si>
  <si>
    <t>michael56@hotmail.com</t>
  </si>
  <si>
    <t>elizabethjackson@yahoo.com</t>
  </si>
  <si>
    <t>lisa21@yahoo.com</t>
  </si>
  <si>
    <t>pmarsh@gmail.com</t>
  </si>
  <si>
    <t>dalepruitt@yahoo.com</t>
  </si>
  <si>
    <t>cheryl27@yahoo.com</t>
  </si>
  <si>
    <t>alexander89@hotmail.com</t>
  </si>
  <si>
    <t>reynoldsjessica@yahoo.com</t>
  </si>
  <si>
    <t>smithsarah@hotmail.com</t>
  </si>
  <si>
    <t>vflores@yahoo.com</t>
  </si>
  <si>
    <t>christianwallace@hotmail.com</t>
  </si>
  <si>
    <t>bmcgee@gmail.com</t>
  </si>
  <si>
    <t>connersylvia@hotmail.com</t>
  </si>
  <si>
    <t>xclements@gmail.com</t>
  </si>
  <si>
    <t>xmoran@hotmail.com</t>
  </si>
  <si>
    <t>michael48@hotmail.com</t>
  </si>
  <si>
    <t>lydianewton@yahoo.com</t>
  </si>
  <si>
    <t>ylewis@gmail.com</t>
  </si>
  <si>
    <t>bartonshannon@hotmail.com</t>
  </si>
  <si>
    <t>tranryan@hotmail.com</t>
  </si>
  <si>
    <t>jessicaanderson@yahoo.com</t>
  </si>
  <si>
    <t>mbarnes@hotmail.com</t>
  </si>
  <si>
    <t>shawn22@yahoo.com</t>
  </si>
  <si>
    <t>jennifer83@gmail.com</t>
  </si>
  <si>
    <t>tinasantos@gmail.com</t>
  </si>
  <si>
    <t>anna99@hotmail.com</t>
  </si>
  <si>
    <t>natalie60@hotmail.com</t>
  </si>
  <si>
    <t>josephfloyd@yahoo.com</t>
  </si>
  <si>
    <t>james80@yahoo.com</t>
  </si>
  <si>
    <t>juliahoffman@gmail.com</t>
  </si>
  <si>
    <t>housepaul@hotmail.com</t>
  </si>
  <si>
    <t>christinenorman@yahoo.com</t>
  </si>
  <si>
    <t>kimberlybrandt@yahoo.com</t>
  </si>
  <si>
    <t>jillwilson@gmail.com</t>
  </si>
  <si>
    <t>adam72@gmail.com</t>
  </si>
  <si>
    <t>tracy98@yahoo.com</t>
  </si>
  <si>
    <t>abigailhartman@gmail.com</t>
  </si>
  <si>
    <t>elizabethrivera@yahoo.com</t>
  </si>
  <si>
    <t>wilsonmichael@gmail.com</t>
  </si>
  <si>
    <t>patrick16@yahoo.com</t>
  </si>
  <si>
    <t>willie87@yahoo.com</t>
  </si>
  <si>
    <t>vaughangary@hotmail.com</t>
  </si>
  <si>
    <t>michellecoleman@gmail.com</t>
  </si>
  <si>
    <t>elucas@hotmail.com</t>
  </si>
  <si>
    <t>jonesgregory@yahoo.com</t>
  </si>
  <si>
    <t>ohughes@yahoo.com</t>
  </si>
  <si>
    <t>maychristine@hotmail.com</t>
  </si>
  <si>
    <t>robertsgina@hotmail.com</t>
  </si>
  <si>
    <t>wellsamanda@gmail.com</t>
  </si>
  <si>
    <t>kennetheaton@hotmail.com</t>
  </si>
  <si>
    <t>davidsmith@hotmail.com</t>
  </si>
  <si>
    <t>jason82@gmail.com</t>
  </si>
  <si>
    <t>emilybradley@gmail.com</t>
  </si>
  <si>
    <t>robertscarlos@gmail.com</t>
  </si>
  <si>
    <t>emilyyoung@yahoo.com</t>
  </si>
  <si>
    <t>christina49@gmail.com</t>
  </si>
  <si>
    <t>adamsanchez@gmail.com</t>
  </si>
  <si>
    <t>erinrivera@yahoo.com</t>
  </si>
  <si>
    <t>thompsoncatherine@yahoo.com</t>
  </si>
  <si>
    <t>lunapatricia@hotmail.com</t>
  </si>
  <si>
    <t>rebeccaarnold@hotmail.com</t>
  </si>
  <si>
    <t>patricialawrence@yahoo.com</t>
  </si>
  <si>
    <t>batesmelanie@hotmail.com</t>
  </si>
  <si>
    <t>ashleyknight@gmail.com</t>
  </si>
  <si>
    <t>qhall@yahoo.com</t>
  </si>
  <si>
    <t>paul70@gmail.com</t>
  </si>
  <si>
    <t>mary49@hotmail.com</t>
  </si>
  <si>
    <t>blacknicholas@gmail.com</t>
  </si>
  <si>
    <t>aeaton@hotmail.com</t>
  </si>
  <si>
    <t>jason22@yahoo.com</t>
  </si>
  <si>
    <t>jennifer77@yahoo.com</t>
  </si>
  <si>
    <t>bradleyberry@gmail.com</t>
  </si>
  <si>
    <t>jacksonsandra@hotmail.com</t>
  </si>
  <si>
    <t>stacey37@hotmail.com</t>
  </si>
  <si>
    <t>laurahoover@gmail.com</t>
  </si>
  <si>
    <t>sandra99@gmail.com</t>
  </si>
  <si>
    <t>mserrano@gmail.com</t>
  </si>
  <si>
    <t>davisdonna@hotmail.com</t>
  </si>
  <si>
    <t>xboyd@gmail.com</t>
  </si>
  <si>
    <t>zbell@hotmail.com</t>
  </si>
  <si>
    <t>thomas31@yahoo.com</t>
  </si>
  <si>
    <t>lanedavid@gmail.com</t>
  </si>
  <si>
    <t>daniel69@yahoo.com</t>
  </si>
  <si>
    <t>victoria63@yahoo.com</t>
  </si>
  <si>
    <t>tking@hotmail.com</t>
  </si>
  <si>
    <t>adkinssean@hotmail.com</t>
  </si>
  <si>
    <t>martintamara@gmail.com</t>
  </si>
  <si>
    <t>brownjeffrey@gmail.com</t>
  </si>
  <si>
    <t>jennifer90@gmail.com</t>
  </si>
  <si>
    <t>james98@hotmail.com</t>
  </si>
  <si>
    <t>dianacantrell@gmail.com</t>
  </si>
  <si>
    <t>aprilmclaughlin@gmail.com</t>
  </si>
  <si>
    <t>michael43@hotmail.com</t>
  </si>
  <si>
    <t>richardrodriguez@gmail.com</t>
  </si>
  <si>
    <t>nancy94@hotmail.com</t>
  </si>
  <si>
    <t>susan77@hotmail.com</t>
  </si>
  <si>
    <t>ericahall@yahoo.com</t>
  </si>
  <si>
    <t>john16@hotmail.com</t>
  </si>
  <si>
    <t>nedwards@hotmail.com</t>
  </si>
  <si>
    <t>victorgonzalez@hotmail.com</t>
  </si>
  <si>
    <t>marykelly@gmail.com</t>
  </si>
  <si>
    <t>duranamber@gmail.com</t>
  </si>
  <si>
    <t>travis84@yahoo.com</t>
  </si>
  <si>
    <t>imendoza@gmail.com</t>
  </si>
  <si>
    <t>sbray@hotmail.com</t>
  </si>
  <si>
    <t>ucarpenter@yahoo.com</t>
  </si>
  <si>
    <t>thomas95@yahoo.com</t>
  </si>
  <si>
    <t>shannon92@hotmail.com</t>
  </si>
  <si>
    <t>angelachase@gmail.com</t>
  </si>
  <si>
    <t>thompsonvictor@hotmail.com</t>
  </si>
  <si>
    <t>anna90@yahoo.com</t>
  </si>
  <si>
    <t>gcombs@yahoo.com</t>
  </si>
  <si>
    <t>maurice61@yahoo.com</t>
  </si>
  <si>
    <t>tiffanymitchell@yahoo.com</t>
  </si>
  <si>
    <t>jamesjustin@hotmail.com</t>
  </si>
  <si>
    <t>kwelch@yahoo.com</t>
  </si>
  <si>
    <t>jennifer96@yahoo.com</t>
  </si>
  <si>
    <t>lgutierrez@gmail.com</t>
  </si>
  <si>
    <t>clarkrandy@gmail.com</t>
  </si>
  <si>
    <t>fwarren@gmail.com</t>
  </si>
  <si>
    <t>pparker@hotmail.com</t>
  </si>
  <si>
    <t>anthonyalvarado@yahoo.com</t>
  </si>
  <si>
    <t>staylor@hotmail.com</t>
  </si>
  <si>
    <t>omills@hotmail.com</t>
  </si>
  <si>
    <t>ramosmichael@yahoo.com</t>
  </si>
  <si>
    <t>mauriceharrison@gmail.com</t>
  </si>
  <si>
    <t>cannonlauren@hotmail.com</t>
  </si>
  <si>
    <t>kfoster@hotmail.com</t>
  </si>
  <si>
    <t>hendersonjohn@hotmail.com</t>
  </si>
  <si>
    <t>robert12@gmail.com</t>
  </si>
  <si>
    <t>blopez@gmail.com</t>
  </si>
  <si>
    <t>joseph70@gmail.com</t>
  </si>
  <si>
    <t>kristi75@yahoo.com</t>
  </si>
  <si>
    <t>brianrowe@gmail.com</t>
  </si>
  <si>
    <t>hclayton@hotmail.com</t>
  </si>
  <si>
    <t>gonzalezjill@gmail.com</t>
  </si>
  <si>
    <t>sharon20@hotmail.com</t>
  </si>
  <si>
    <t>michaelwilliams@hotmail.com</t>
  </si>
  <si>
    <t>jacksonjoshua@gmail.com</t>
  </si>
  <si>
    <t>jbarker@yahoo.com</t>
  </si>
  <si>
    <t>sarah00@yahoo.com</t>
  </si>
  <si>
    <t>jhall@hotmail.com</t>
  </si>
  <si>
    <t>norrismichael@gmail.com</t>
  </si>
  <si>
    <t>amy73@hotmail.com</t>
  </si>
  <si>
    <t>caseymoore@yahoo.com</t>
  </si>
  <si>
    <t>bgross@hotmail.com</t>
  </si>
  <si>
    <t>rlee@yahoo.com</t>
  </si>
  <si>
    <t>daniel81@gmail.com</t>
  </si>
  <si>
    <t>coreyduncan@yahoo.com</t>
  </si>
  <si>
    <t>catherinejones@gmail.com</t>
  </si>
  <si>
    <t>wardjulia@yahoo.com</t>
  </si>
  <si>
    <t>navarromary@gmail.com</t>
  </si>
  <si>
    <t>hlopez@hotmail.com</t>
  </si>
  <si>
    <t>xreese@hotmail.com</t>
  </si>
  <si>
    <t>jacksonhenry@yahoo.com</t>
  </si>
  <si>
    <t>umahoney@hotmail.com</t>
  </si>
  <si>
    <t>charlene98@gmail.com</t>
  </si>
  <si>
    <t>zwest@gmail.com</t>
  </si>
  <si>
    <t>victoriaturner@yahoo.com</t>
  </si>
  <si>
    <t>samantha88@hotmail.com</t>
  </si>
  <si>
    <t>josephpreston@gmail.com</t>
  </si>
  <si>
    <t>jessicacummings@yahoo.com</t>
  </si>
  <si>
    <t>larsonkevin@hotmail.com</t>
  </si>
  <si>
    <t>michael66@gmail.com</t>
  </si>
  <si>
    <t>walterscrystal@gmail.com</t>
  </si>
  <si>
    <t>wayne32@gmail.com</t>
  </si>
  <si>
    <t>walkerkeith@yahoo.com</t>
  </si>
  <si>
    <t>kelleyjose@yahoo.com</t>
  </si>
  <si>
    <t>fhansen@yahoo.com</t>
  </si>
  <si>
    <t>johnadams@yahoo.com</t>
  </si>
  <si>
    <t>whenderson@gmail.com</t>
  </si>
  <si>
    <t>vanessajensen@yahoo.com</t>
  </si>
  <si>
    <t>ginamoore@hotmail.com</t>
  </si>
  <si>
    <t>mistywilkins@gmail.com</t>
  </si>
  <si>
    <t>riverajody@gmail.com</t>
  </si>
  <si>
    <t>heatherbarnett@yahoo.com</t>
  </si>
  <si>
    <t>campbellkristina@hotmail.com</t>
  </si>
  <si>
    <t>qguerrero@hotmail.com</t>
  </si>
  <si>
    <t>yhall@hotmail.com</t>
  </si>
  <si>
    <t>lopezvincent@yahoo.com</t>
  </si>
  <si>
    <t>matthew62@gmail.com</t>
  </si>
  <si>
    <t>lisa46@gmail.com</t>
  </si>
  <si>
    <t>fsandoval@hotmail.com</t>
  </si>
  <si>
    <t>robertberry@yahoo.com</t>
  </si>
  <si>
    <t>denisecarpenter@hotmail.com</t>
  </si>
  <si>
    <t>russellstout@gmail.com</t>
  </si>
  <si>
    <t>whitemary@gmail.com</t>
  </si>
  <si>
    <t>vturner@hotmail.com</t>
  </si>
  <si>
    <t>anthonyodom@hotmail.com</t>
  </si>
  <si>
    <t>gracehoward@hotmail.com</t>
  </si>
  <si>
    <t>jack67@yahoo.com</t>
  </si>
  <si>
    <t>schaeferstephanie@gmail.com</t>
  </si>
  <si>
    <t>saraduke@hotmail.com</t>
  </si>
  <si>
    <t>csullivan@hotmail.com</t>
  </si>
  <si>
    <t>meyershannon@gmail.com</t>
  </si>
  <si>
    <t>oblack@gmail.com</t>
  </si>
  <si>
    <t>steven64@hotmail.com</t>
  </si>
  <si>
    <t>gdavis@gmail.com</t>
  </si>
  <si>
    <t>phillipmorris@gmail.com</t>
  </si>
  <si>
    <t>udavis@hotmail.com</t>
  </si>
  <si>
    <t>davisjasmin@hotmail.com</t>
  </si>
  <si>
    <t>nicholasjames@gmail.com</t>
  </si>
  <si>
    <t>haroldjoseph@yahoo.com</t>
  </si>
  <si>
    <t>davidanderson@gmail.com</t>
  </si>
  <si>
    <t>astephens@hotmail.com</t>
  </si>
  <si>
    <t>mramos@hotmail.com</t>
  </si>
  <si>
    <t>brandonhernandez@hotmail.com</t>
  </si>
  <si>
    <t>mark10@gmail.com</t>
  </si>
  <si>
    <t>tammycurry@yahoo.com</t>
  </si>
  <si>
    <t>wwilkins@yahoo.com</t>
  </si>
  <si>
    <t>mark68@gmail.com</t>
  </si>
  <si>
    <t>webbhaley@hotmail.com</t>
  </si>
  <si>
    <t>sara99@yahoo.com</t>
  </si>
  <si>
    <t>jeanettekrause@gmail.com</t>
  </si>
  <si>
    <t>laurenduarte@yahoo.com</t>
  </si>
  <si>
    <t>davidsonhannah@yahoo.com</t>
  </si>
  <si>
    <t>wilsonmathew@yahoo.com</t>
  </si>
  <si>
    <t>markmorgan@hotmail.com</t>
  </si>
  <si>
    <t>dmoore@hotmail.com</t>
  </si>
  <si>
    <t>conleykevin@hotmail.com</t>
  </si>
  <si>
    <t>lauren51@gmail.com</t>
  </si>
  <si>
    <t>ashleyprice@hotmail.com</t>
  </si>
  <si>
    <t>jennifer46@gmail.com</t>
  </si>
  <si>
    <t>javier42@gmail.com</t>
  </si>
  <si>
    <t>zhunter@yahoo.com</t>
  </si>
  <si>
    <t>kimberly21@hotmail.com</t>
  </si>
  <si>
    <t>meyerdonna@yahoo.com</t>
  </si>
  <si>
    <t>james44@hotmail.com</t>
  </si>
  <si>
    <t>joshuasmith@hotmail.com</t>
  </si>
  <si>
    <t>joseph49@gmail.com</t>
  </si>
  <si>
    <t>bwilliams@yahoo.com</t>
  </si>
  <si>
    <t>mwhite@hotmail.com</t>
  </si>
  <si>
    <t>martin38@gmail.com</t>
  </si>
  <si>
    <t>tdavis@hotmail.com</t>
  </si>
  <si>
    <t>douglashuang@yahoo.com</t>
  </si>
  <si>
    <t>shawn01@yahoo.com</t>
  </si>
  <si>
    <t>cassandra28@gmail.com</t>
  </si>
  <si>
    <t>sparksamanda@yahoo.com</t>
  </si>
  <si>
    <t>vreyes@gmail.com</t>
  </si>
  <si>
    <t>amy32@hotmail.com</t>
  </si>
  <si>
    <t>mwilson@yahoo.com</t>
  </si>
  <si>
    <t>gjones@hotmail.com</t>
  </si>
  <si>
    <t>davislisa@hotmail.com</t>
  </si>
  <si>
    <t>shawncarter@hotmail.com</t>
  </si>
  <si>
    <t>ashley46@hotmail.com</t>
  </si>
  <si>
    <t>melissabrown@hotmail.com</t>
  </si>
  <si>
    <t>callahanmichelle@gmail.com</t>
  </si>
  <si>
    <t>bsullivan@hotmail.com</t>
  </si>
  <si>
    <t>xbridges@yahoo.com</t>
  </si>
  <si>
    <t>jonesalfred@hotmail.com</t>
  </si>
  <si>
    <t>dawnperry@yahoo.com</t>
  </si>
  <si>
    <t>jhicks@yahoo.com</t>
  </si>
  <si>
    <t>pbradford@hotmail.com</t>
  </si>
  <si>
    <t>goodashley@hotmail.com</t>
  </si>
  <si>
    <t>jessicafox@yahoo.com</t>
  </si>
  <si>
    <t>thomasharmon@hotmail.com</t>
  </si>
  <si>
    <t>bergeramanda@gmail.com</t>
  </si>
  <si>
    <t>robert44@gmail.com</t>
  </si>
  <si>
    <t>bryan79@gmail.com</t>
  </si>
  <si>
    <t>mitchellchristopher@hotmail.com</t>
  </si>
  <si>
    <t>joshua40@hotmail.com</t>
  </si>
  <si>
    <t>lwood@yahoo.com</t>
  </si>
  <si>
    <t>cooperchristopher@gmail.com</t>
  </si>
  <si>
    <t>ptownsend@hotmail.com</t>
  </si>
  <si>
    <t>brian41@gmail.com</t>
  </si>
  <si>
    <t>noahthornton@yahoo.com</t>
  </si>
  <si>
    <t>ureyes@hotmail.com</t>
  </si>
  <si>
    <t>stephanie69@hotmail.com</t>
  </si>
  <si>
    <t>rmurray@hotmail.com</t>
  </si>
  <si>
    <t>erica25@hotmail.com</t>
  </si>
  <si>
    <t>foxgina@yahoo.com</t>
  </si>
  <si>
    <t>brownbrooke@gmail.com</t>
  </si>
  <si>
    <t>nicholasgallagher@hotmail.com</t>
  </si>
  <si>
    <t>jonowens@gmail.com</t>
  </si>
  <si>
    <t>jonathan14@gmail.com</t>
  </si>
  <si>
    <t>gregory17@gmail.com</t>
  </si>
  <si>
    <t>probinson@gmail.com</t>
  </si>
  <si>
    <t>kimberly07@gmail.com</t>
  </si>
  <si>
    <t>edward56@hotmail.com</t>
  </si>
  <si>
    <t>upowell@gmail.com</t>
  </si>
  <si>
    <t>imartinez@yahoo.com</t>
  </si>
  <si>
    <t>diazmelissa@yahoo.com</t>
  </si>
  <si>
    <t>gregorywilliams@yahoo.com</t>
  </si>
  <si>
    <t>tom73@gmail.com</t>
  </si>
  <si>
    <t>yprice@hotmail.com</t>
  </si>
  <si>
    <t>blevy@gmail.com</t>
  </si>
  <si>
    <t>lewisdesiree@hotmail.com</t>
  </si>
  <si>
    <t>sandyjohnson@gmail.com</t>
  </si>
  <si>
    <t>sanchezdeborah@gmail.com</t>
  </si>
  <si>
    <t>bryantgeorge@hotmail.com</t>
  </si>
  <si>
    <t>bryanharris@yahoo.com</t>
  </si>
  <si>
    <t>marcoconnell@gmail.com</t>
  </si>
  <si>
    <t>donald62@hotmail.com</t>
  </si>
  <si>
    <t>andersonkylie@hotmail.com</t>
  </si>
  <si>
    <t>smithharry@gmail.com</t>
  </si>
  <si>
    <t>nschwartz@gmail.com</t>
  </si>
  <si>
    <t>cheryljohnson@gmail.com</t>
  </si>
  <si>
    <t>grantjames@hotmail.com</t>
  </si>
  <si>
    <t>stevensims@gmail.com</t>
  </si>
  <si>
    <t>kjimenez@hotmail.com</t>
  </si>
  <si>
    <t>matthew70@gmail.com</t>
  </si>
  <si>
    <t>washingtondarren@gmail.com</t>
  </si>
  <si>
    <t>jerry15@gmail.com</t>
  </si>
  <si>
    <t>charlesrichards@gmail.com</t>
  </si>
  <si>
    <t>dbrooks@hotmail.com</t>
  </si>
  <si>
    <t>antoniocarroll@yahoo.com</t>
  </si>
  <si>
    <t>jeffrey49@gmail.com</t>
  </si>
  <si>
    <t>christophervincent@yahoo.com</t>
  </si>
  <si>
    <t>pfitzgerald@gmail.com</t>
  </si>
  <si>
    <t>robinvillanueva@yahoo.com</t>
  </si>
  <si>
    <t>simmonsphillip@hotmail.com</t>
  </si>
  <si>
    <t>steelerichard@gmail.com</t>
  </si>
  <si>
    <t>castillokevin@hotmail.com</t>
  </si>
  <si>
    <t>iford@hotmail.com</t>
  </si>
  <si>
    <t>daltonchad@hotmail.com</t>
  </si>
  <si>
    <t>kristinmiller@yahoo.com</t>
  </si>
  <si>
    <t>pamela16@yahoo.com</t>
  </si>
  <si>
    <t>castrokim@gmail.com</t>
  </si>
  <si>
    <t>karenhodges@yahoo.com</t>
  </si>
  <si>
    <t>brownmichael@yahoo.com</t>
  </si>
  <si>
    <t>shannon51@gmail.com</t>
  </si>
  <si>
    <t>rodriguezjoshua@hotmail.com</t>
  </si>
  <si>
    <t>robert82@yahoo.com</t>
  </si>
  <si>
    <t>bryanwiggins@gmail.com</t>
  </si>
  <si>
    <t>todd88@yahoo.com</t>
  </si>
  <si>
    <t>kristinaperez@yahoo.com</t>
  </si>
  <si>
    <t>nhuber@gmail.com</t>
  </si>
  <si>
    <t>evanwilson@yahoo.com</t>
  </si>
  <si>
    <t>wadetiffany@gmail.com</t>
  </si>
  <si>
    <t>knapprichard@yahoo.com</t>
  </si>
  <si>
    <t>cordovaamy@hotmail.com</t>
  </si>
  <si>
    <t>laurenchandler@yahoo.com</t>
  </si>
  <si>
    <t>ericawilson@gmail.com</t>
  </si>
  <si>
    <t>brian39@hotmail.com</t>
  </si>
  <si>
    <t>ryansean@hotmail.com</t>
  </si>
  <si>
    <t>kerrmichael@gmail.com</t>
  </si>
  <si>
    <t>michael47@hotmail.com</t>
  </si>
  <si>
    <t>slara@gmail.com</t>
  </si>
  <si>
    <t>maryharper@gmail.com</t>
  </si>
  <si>
    <t>carl96@gmail.com</t>
  </si>
  <si>
    <t>wpage@gmail.com</t>
  </si>
  <si>
    <t>carsonkevin@hotmail.com</t>
  </si>
  <si>
    <t>joseblanchard@hotmail.com</t>
  </si>
  <si>
    <t>traviswatts@gmail.com</t>
  </si>
  <si>
    <t>georgemichael@yahoo.com</t>
  </si>
  <si>
    <t>brooksjessica@gmail.com</t>
  </si>
  <si>
    <t>michaelbrown@yahoo.com</t>
  </si>
  <si>
    <t>alyssa18@gmail.com</t>
  </si>
  <si>
    <t>amybrennan@hotmail.com</t>
  </si>
  <si>
    <t>fergusonmichael@gmail.com</t>
  </si>
  <si>
    <t>kpeterson@gmail.com</t>
  </si>
  <si>
    <t>butlersabrina@gmail.com</t>
  </si>
  <si>
    <t>don79@hotmail.com</t>
  </si>
  <si>
    <t>walkermelissa@gmail.com</t>
  </si>
  <si>
    <t>colemankathryn@gmail.com</t>
  </si>
  <si>
    <t>danielmcguire@hotmail.com</t>
  </si>
  <si>
    <t>turneralex@gmail.com</t>
  </si>
  <si>
    <t>jackbell@gmail.com</t>
  </si>
  <si>
    <t>michael89@gmail.com</t>
  </si>
  <si>
    <t>ricejennifer@yahoo.com</t>
  </si>
  <si>
    <t>glasssamantha@hotmail.com</t>
  </si>
  <si>
    <t>whitemichael@yahoo.com</t>
  </si>
  <si>
    <t>david18@gmail.com</t>
  </si>
  <si>
    <t>millertristan@yahoo.com</t>
  </si>
  <si>
    <t>aperez@yahoo.com</t>
  </si>
  <si>
    <t>xcrosby@gmail.com</t>
  </si>
  <si>
    <t>wilsonralph@hotmail.com</t>
  </si>
  <si>
    <t>calvinhester@yahoo.com</t>
  </si>
  <si>
    <t>rhardy@hotmail.com</t>
  </si>
  <si>
    <t>qkelly@hotmail.com</t>
  </si>
  <si>
    <t>kingtyler@hotmail.com</t>
  </si>
  <si>
    <t>lgregory@yahoo.com</t>
  </si>
  <si>
    <t>wolfdonna@hotmail.com</t>
  </si>
  <si>
    <t>amy88@gmail.com</t>
  </si>
  <si>
    <t>ycole@yahoo.com</t>
  </si>
  <si>
    <t>nicole27@yahoo.com</t>
  </si>
  <si>
    <t>rkeller@hotmail.com</t>
  </si>
  <si>
    <t>myerstroy@yahoo.com</t>
  </si>
  <si>
    <t>johnsonbrandon@yahoo.com</t>
  </si>
  <si>
    <t>oscar65@yahoo.com</t>
  </si>
  <si>
    <t>brittany14@gmail.com</t>
  </si>
  <si>
    <t>abradley@yahoo.com</t>
  </si>
  <si>
    <t>uhudson@hotmail.com</t>
  </si>
  <si>
    <t>tyler52@hotmail.com</t>
  </si>
  <si>
    <t>pittmanamanda@yahoo.com</t>
  </si>
  <si>
    <t>claudiarubio@hotmail.com</t>
  </si>
  <si>
    <t>wsimmons@gmail.com</t>
  </si>
  <si>
    <t>james64@hotmail.com</t>
  </si>
  <si>
    <t>burtonzachary@gmail.com</t>
  </si>
  <si>
    <t>umichael@hotmail.com</t>
  </si>
  <si>
    <t>juliecannon@yahoo.com</t>
  </si>
  <si>
    <t>meghanadams@yahoo.com</t>
  </si>
  <si>
    <t>daniellee@gmail.com</t>
  </si>
  <si>
    <t>chenderson@gmail.com</t>
  </si>
  <si>
    <t>donna20@hotmail.com</t>
  </si>
  <si>
    <t>carolyn16@yahoo.com</t>
  </si>
  <si>
    <t>joelduncan@hotmail.com</t>
  </si>
  <si>
    <t>tyler13@hotmail.com</t>
  </si>
  <si>
    <t>vshaffer@gmail.com</t>
  </si>
  <si>
    <t>scott49@gmail.com</t>
  </si>
  <si>
    <t>pwells@yahoo.com</t>
  </si>
  <si>
    <t>andrew90@hotmail.com</t>
  </si>
  <si>
    <t>johnnycruz@hotmail.com</t>
  </si>
  <si>
    <t>miaprice@yahoo.com</t>
  </si>
  <si>
    <t>jason27@hotmail.com</t>
  </si>
  <si>
    <t>hillchristopher@yahoo.com</t>
  </si>
  <si>
    <t>gmcdowell@gmail.com</t>
  </si>
  <si>
    <t>shawn00@hotmail.com</t>
  </si>
  <si>
    <t>moralescourtney@yahoo.com</t>
  </si>
  <si>
    <t>melaniejennings@yahoo.com</t>
  </si>
  <si>
    <t>lauren31@yahoo.com</t>
  </si>
  <si>
    <t>andrewjohnson@hotmail.com</t>
  </si>
  <si>
    <t>sgonzalez@gmail.com</t>
  </si>
  <si>
    <t>rubiogeorge@hotmail.com</t>
  </si>
  <si>
    <t>fwilcox@gmail.com</t>
  </si>
  <si>
    <t>keith76@gmail.com</t>
  </si>
  <si>
    <t>jessica36@gmail.com</t>
  </si>
  <si>
    <t>christinesolomon@yahoo.com</t>
  </si>
  <si>
    <t>monicamccann@yahoo.com</t>
  </si>
  <si>
    <t>charles80@gmail.com</t>
  </si>
  <si>
    <t>smithwilliam@yahoo.com</t>
  </si>
  <si>
    <t>carpenterjorge@hotmail.com</t>
  </si>
  <si>
    <t>jennifer62@yahoo.com</t>
  </si>
  <si>
    <t>julie64@yahoo.com</t>
  </si>
  <si>
    <t>ustafford@hotmail.com</t>
  </si>
  <si>
    <t>jbrown@gmail.com</t>
  </si>
  <si>
    <t>fgraham@gmail.com</t>
  </si>
  <si>
    <t>urodriguez@gmail.com</t>
  </si>
  <si>
    <t>karencarson@hotmail.com</t>
  </si>
  <si>
    <t>robertjones@yahoo.com</t>
  </si>
  <si>
    <t>longbrittany@gmail.com</t>
  </si>
  <si>
    <t>rgibson@hotmail.com</t>
  </si>
  <si>
    <t>unguyen@hotmail.com</t>
  </si>
  <si>
    <t>marcus01@hotmail.com</t>
  </si>
  <si>
    <t>ndavis@gmail.com</t>
  </si>
  <si>
    <t>davidhenry@yahoo.com</t>
  </si>
  <si>
    <t>michaeldavis@yahoo.com</t>
  </si>
  <si>
    <t>anna61@yahoo.com</t>
  </si>
  <si>
    <t>palmerteresa@hotmail.com</t>
  </si>
  <si>
    <t>robertssamuel@yahoo.com</t>
  </si>
  <si>
    <t>alexandraphillips@gmail.com</t>
  </si>
  <si>
    <t>dgutierrez@hotmail.com</t>
  </si>
  <si>
    <t>mackallen@hotmail.com</t>
  </si>
  <si>
    <t>millernancy@yahoo.com</t>
  </si>
  <si>
    <t>matthew23@gmail.com</t>
  </si>
  <si>
    <t>hamiltonandrew@yahoo.com</t>
  </si>
  <si>
    <t>vmelton@hotmail.com</t>
  </si>
  <si>
    <t>fballard@gmail.com</t>
  </si>
  <si>
    <t>micheleclark@hotmail.com</t>
  </si>
  <si>
    <t>christophercarrillo@gmail.com</t>
  </si>
  <si>
    <t>emaynard@gmail.com</t>
  </si>
  <si>
    <t>awilliams@gmail.com</t>
  </si>
  <si>
    <t>mmclaughlin@hotmail.com</t>
  </si>
  <si>
    <t>dhall@hotmail.com</t>
  </si>
  <si>
    <t>hsmall@yahoo.com</t>
  </si>
  <si>
    <t>martinjessica@yahoo.com</t>
  </si>
  <si>
    <t>sandra72@yahoo.com</t>
  </si>
  <si>
    <t>laura29@gmail.com</t>
  </si>
  <si>
    <t>jamesobrien@gmail.com</t>
  </si>
  <si>
    <t>angelakidd@yahoo.com</t>
  </si>
  <si>
    <t>romanmatthew@gmail.com</t>
  </si>
  <si>
    <t>kristen08@yahoo.com</t>
  </si>
  <si>
    <t>mccarthysara@yahoo.com</t>
  </si>
  <si>
    <t>harringtonchelsea@gmail.com</t>
  </si>
  <si>
    <t>rhondamoore@yahoo.com</t>
  </si>
  <si>
    <t>mooremichael@gmail.com</t>
  </si>
  <si>
    <t>sanchezlisa@yahoo.com</t>
  </si>
  <si>
    <t>qward@gmail.com</t>
  </si>
  <si>
    <t>lauriegutierrez@yahoo.com</t>
  </si>
  <si>
    <t>ramoskayla@hotmail.com</t>
  </si>
  <si>
    <t>ryanlong@gmail.com</t>
  </si>
  <si>
    <t>robert84@hotmail.com</t>
  </si>
  <si>
    <t>isabellagriffin@gmail.com</t>
  </si>
  <si>
    <t>pam63@yahoo.com</t>
  </si>
  <si>
    <t>abigailfernandez@gmail.com</t>
  </si>
  <si>
    <t>andrewzamora@hotmail.com</t>
  </si>
  <si>
    <t>hbenitez@hotmail.com</t>
  </si>
  <si>
    <t>williamsdebra@gmail.com</t>
  </si>
  <si>
    <t>lindazhang@hotmail.com</t>
  </si>
  <si>
    <t>michaelmitchell@hotmail.com</t>
  </si>
  <si>
    <t>danielblack@gmail.com</t>
  </si>
  <si>
    <t>dmiller@yahoo.com</t>
  </si>
  <si>
    <t>hchapman@yahoo.com</t>
  </si>
  <si>
    <t>adennis@gmail.com</t>
  </si>
  <si>
    <t>bensonstanley@gmail.com</t>
  </si>
  <si>
    <t>guzmanricky@gmail.com</t>
  </si>
  <si>
    <t>kevin54@yahoo.com</t>
  </si>
  <si>
    <t>twilliams@yahoo.com</t>
  </si>
  <si>
    <t>carlos06@yahoo.com</t>
  </si>
  <si>
    <t>ualvarez@hotmail.com</t>
  </si>
  <si>
    <t>jcontreras@hotmail.com</t>
  </si>
  <si>
    <t>zhall@yahoo.com</t>
  </si>
  <si>
    <t>debbie20@hotmail.com</t>
  </si>
  <si>
    <t>schneiderchristopher@hotmail.com</t>
  </si>
  <si>
    <t>karenshaw@gmail.com</t>
  </si>
  <si>
    <t>kristin39@yahoo.com</t>
  </si>
  <si>
    <t>henrysarah@yahoo.com</t>
  </si>
  <si>
    <t>hscott@gmail.com</t>
  </si>
  <si>
    <t>moorestephanie@hotmail.com</t>
  </si>
  <si>
    <t>evanscorey@gmail.com</t>
  </si>
  <si>
    <t>williamsjohn@hotmail.com</t>
  </si>
  <si>
    <t>adamslucas@hotmail.com</t>
  </si>
  <si>
    <t>adamstabitha@hotmail.com</t>
  </si>
  <si>
    <t>ashley71@hotmail.com</t>
  </si>
  <si>
    <t>kimberlymedina@yahoo.com</t>
  </si>
  <si>
    <t>denise20@gmail.com</t>
  </si>
  <si>
    <t>megan39@hotmail.com</t>
  </si>
  <si>
    <t>christopher12@hotmail.com</t>
  </si>
  <si>
    <t>cynthia74@gmail.com</t>
  </si>
  <si>
    <t>sloandennis@gmail.com</t>
  </si>
  <si>
    <t>speters@hotmail.com</t>
  </si>
  <si>
    <t>ryanpatricia@hotmail.com</t>
  </si>
  <si>
    <t>paul01@yahoo.com</t>
  </si>
  <si>
    <t>changerin@hotmail.com</t>
  </si>
  <si>
    <t>jimsnyder@yahoo.com</t>
  </si>
  <si>
    <t>adrianjoyce@hotmail.com</t>
  </si>
  <si>
    <t>andreakeller@hotmail.com</t>
  </si>
  <si>
    <t>julieanderson@hotmail.com</t>
  </si>
  <si>
    <t>braunheather@hotmail.com</t>
  </si>
  <si>
    <t>pdavidson@gmail.com</t>
  </si>
  <si>
    <t>hsimpson@gmail.com</t>
  </si>
  <si>
    <t>zstewart@gmail.com</t>
  </si>
  <si>
    <t>tiffanycoleman@gmail.com</t>
  </si>
  <si>
    <t>johnsonryan@gmail.com</t>
  </si>
  <si>
    <t>danielallen@yahoo.com</t>
  </si>
  <si>
    <t>parsonschristine@gmail.com</t>
  </si>
  <si>
    <t>bennettpamela@hotmail.com</t>
  </si>
  <si>
    <t>turnerconnie@gmail.com</t>
  </si>
  <si>
    <t>nmorales@yahoo.com</t>
  </si>
  <si>
    <t>yreyes@yahoo.com</t>
  </si>
  <si>
    <t>gibsonmark@gmail.com</t>
  </si>
  <si>
    <t>rebeccamartinez@hotmail.com</t>
  </si>
  <si>
    <t>johnrobles@gmail.com</t>
  </si>
  <si>
    <t>larry82@gmail.com</t>
  </si>
  <si>
    <t>holmesdiane@gmail.com</t>
  </si>
  <si>
    <t>hendersonjames@gmail.com</t>
  </si>
  <si>
    <t>dneal@hotmail.com</t>
  </si>
  <si>
    <t>robert21@yahoo.com</t>
  </si>
  <si>
    <t>heatherowens@gmail.com</t>
  </si>
  <si>
    <t>lharris@gmail.com</t>
  </si>
  <si>
    <t>kellylee@hotmail.com</t>
  </si>
  <si>
    <t>grant42@yahoo.com</t>
  </si>
  <si>
    <t>renee02@yahoo.com</t>
  </si>
  <si>
    <t>stephen55@hotmail.com</t>
  </si>
  <si>
    <t>ejohns@gmail.com</t>
  </si>
  <si>
    <t>ubenson@hotmail.com</t>
  </si>
  <si>
    <t>melissaphillips@gmail.com</t>
  </si>
  <si>
    <t>melissaschmitt@yahoo.com</t>
  </si>
  <si>
    <t>jacksonpaul@hotmail.com</t>
  </si>
  <si>
    <t>jennifer87@hotmail.com</t>
  </si>
  <si>
    <t>clarkpatricia@yahoo.com</t>
  </si>
  <si>
    <t>selenabrooks@hotmail.com</t>
  </si>
  <si>
    <t>jerry07@hotmail.com</t>
  </si>
  <si>
    <t>linda54@yahoo.com</t>
  </si>
  <si>
    <t>rachel48@hotmail.com</t>
  </si>
  <si>
    <t>wilsonmichael@hotmail.com</t>
  </si>
  <si>
    <t>james92@hotmail.com</t>
  </si>
  <si>
    <t>lynn66@hotmail.com</t>
  </si>
  <si>
    <t>michelleperez@hotmail.com</t>
  </si>
  <si>
    <t>dsharp@yahoo.com</t>
  </si>
  <si>
    <t>cclark@hotmail.com</t>
  </si>
  <si>
    <t>porterdonna@yahoo.com</t>
  </si>
  <si>
    <t>mark09@gmail.com</t>
  </si>
  <si>
    <t>nbaird@yahoo.com</t>
  </si>
  <si>
    <t>tfowler@gmail.com</t>
  </si>
  <si>
    <t>gibsonmiguel@gmail.com</t>
  </si>
  <si>
    <t>andersonrobert@hotmail.com</t>
  </si>
  <si>
    <t>kylemeyers@hotmail.com</t>
  </si>
  <si>
    <t>waynecohen@yahoo.com</t>
  </si>
  <si>
    <t>pjacobs@hotmail.com</t>
  </si>
  <si>
    <t>mclaughlinkeith@yahoo.com</t>
  </si>
  <si>
    <t>robertwhite@hotmail.com</t>
  </si>
  <si>
    <t>longsonya@gmail.com</t>
  </si>
  <si>
    <t>wolfejennifer@gmail.com</t>
  </si>
  <si>
    <t>charles18@yahoo.com</t>
  </si>
  <si>
    <t>ojohnson@hotmail.com</t>
  </si>
  <si>
    <t>randysmith@gmail.com</t>
  </si>
  <si>
    <t>fmurray@hotmail.com</t>
  </si>
  <si>
    <t>mckenzie20@hotmail.com</t>
  </si>
  <si>
    <t>chrisgallagher@hotmail.com</t>
  </si>
  <si>
    <t>staffordamanda@yahoo.com</t>
  </si>
  <si>
    <t>myerskyle@gmail.com</t>
  </si>
  <si>
    <t>nicholasallen@gmail.com</t>
  </si>
  <si>
    <t>erinbrown@gmail.com</t>
  </si>
  <si>
    <t>perrydaniel@yahoo.com</t>
  </si>
  <si>
    <t>hmcmillan@gmail.com</t>
  </si>
  <si>
    <t>alexander37@gmail.com</t>
  </si>
  <si>
    <t>jonesjeffery@yahoo.com</t>
  </si>
  <si>
    <t>johnathandavis@yahoo.com</t>
  </si>
  <si>
    <t>martinreid@hotmail.com</t>
  </si>
  <si>
    <t>franklinbrenda@yahoo.com</t>
  </si>
  <si>
    <t>hallchristina@gmail.com</t>
  </si>
  <si>
    <t>brownnicholas@yahoo.com</t>
  </si>
  <si>
    <t>vstevenson@gmail.com</t>
  </si>
  <si>
    <t>swong@gmail.com</t>
  </si>
  <si>
    <t>knoxelizabeth@gmail.com</t>
  </si>
  <si>
    <t>lboyd@yahoo.com</t>
  </si>
  <si>
    <t>brettbraun@gmail.com</t>
  </si>
  <si>
    <t>joelmiller@hotmail.com</t>
  </si>
  <si>
    <t>catherineturner@hotmail.com</t>
  </si>
  <si>
    <t>xmiller@yahoo.com</t>
  </si>
  <si>
    <t>ywolf@yahoo.com</t>
  </si>
  <si>
    <t>brooke28@hotmail.com</t>
  </si>
  <si>
    <t>ehart@gmail.com</t>
  </si>
  <si>
    <t>adamhensley@hotmail.com</t>
  </si>
  <si>
    <t>xwaller@yahoo.com</t>
  </si>
  <si>
    <t>riddledavid@hotmail.com</t>
  </si>
  <si>
    <t>william75@hotmail.com</t>
  </si>
  <si>
    <t>timdorsey@yahoo.com</t>
  </si>
  <si>
    <t>josegibson@hotmail.com</t>
  </si>
  <si>
    <t>alexanderwise@hotmail.com</t>
  </si>
  <si>
    <t>stonejacob@yahoo.com</t>
  </si>
  <si>
    <t>uwillis@yahoo.com</t>
  </si>
  <si>
    <t>lisa43@hotmail.com</t>
  </si>
  <si>
    <t>esmith@hotmail.com</t>
  </si>
  <si>
    <t>gregorylopez@gmail.com</t>
  </si>
  <si>
    <t>jacobbrown@gmail.com</t>
  </si>
  <si>
    <t>nsims@gmail.com</t>
  </si>
  <si>
    <t>caleb09@gmail.com</t>
  </si>
  <si>
    <t>ortegakristina@gmail.com</t>
  </si>
  <si>
    <t>sarah75@hotmail.com</t>
  </si>
  <si>
    <t>lisa56@yahoo.com</t>
  </si>
  <si>
    <t>smithmonica@yahoo.com</t>
  </si>
  <si>
    <t>meltonjoshua@hotmail.com</t>
  </si>
  <si>
    <t>qrobertson@gmail.com</t>
  </si>
  <si>
    <t>morgan57@gmail.com</t>
  </si>
  <si>
    <t>shatfield@gmail.com</t>
  </si>
  <si>
    <t>andersonlaura@yahoo.com</t>
  </si>
  <si>
    <t>olsonamber@gmail.com</t>
  </si>
  <si>
    <t>grahamjennifer@gmail.com</t>
  </si>
  <si>
    <t>elizabeth12@hotmail.com</t>
  </si>
  <si>
    <t>sarahmiranda@hotmail.com</t>
  </si>
  <si>
    <t>yvaldez@hotmail.com</t>
  </si>
  <si>
    <t>rodriguezmatthew@hotmail.com</t>
  </si>
  <si>
    <t>stephanie90@yahoo.com</t>
  </si>
  <si>
    <t>xflores@hotmail.com</t>
  </si>
  <si>
    <t>fosteramanda@yahoo.com</t>
  </si>
  <si>
    <t>jfrazier@hotmail.com</t>
  </si>
  <si>
    <t>georgekyle@hotmail.com</t>
  </si>
  <si>
    <t>troypadilla@yahoo.com</t>
  </si>
  <si>
    <t>isabellawilliams@gmail.com</t>
  </si>
  <si>
    <t>vickiekelley@yahoo.com</t>
  </si>
  <si>
    <t>ujones@yahoo.com</t>
  </si>
  <si>
    <t>barbararamos@yahoo.com</t>
  </si>
  <si>
    <t>jillsmith@hotmail.com</t>
  </si>
  <si>
    <t>bclements@hotmail.com</t>
  </si>
  <si>
    <t>sierrawilson@hotmail.com</t>
  </si>
  <si>
    <t>hsanchez@gmail.com</t>
  </si>
  <si>
    <t>yparsons@hotmail.com</t>
  </si>
  <si>
    <t>phill@yahoo.com</t>
  </si>
  <si>
    <t>andrewberry@hotmail.com</t>
  </si>
  <si>
    <t>patrickcooke@hotmail.com</t>
  </si>
  <si>
    <t>richardhaynes@yahoo.com</t>
  </si>
  <si>
    <t>stonebrenda@hotmail.com</t>
  </si>
  <si>
    <t>whitecarol@gmail.com</t>
  </si>
  <si>
    <t>baileydelgado@gmail.com</t>
  </si>
  <si>
    <t>huntermichael@hotmail.com</t>
  </si>
  <si>
    <t>brandon84@hotmail.com</t>
  </si>
  <si>
    <t>catherine83@hotmail.com</t>
  </si>
  <si>
    <t>kevinwall@gmail.com</t>
  </si>
  <si>
    <t>qjones@yahoo.com</t>
  </si>
  <si>
    <t>erica28@gmail.com</t>
  </si>
  <si>
    <t>jenniferelliott@hotmail.com</t>
  </si>
  <si>
    <t>mgray@gmail.com</t>
  </si>
  <si>
    <t>ojones@gmail.com</t>
  </si>
  <si>
    <t>joshuagarcia@gmail.com</t>
  </si>
  <si>
    <t>brianna71@hotmail.com</t>
  </si>
  <si>
    <t>mosleygeorge@yahoo.com</t>
  </si>
  <si>
    <t>iwoods@yahoo.com</t>
  </si>
  <si>
    <t>nicholasmoss@gmail.com</t>
  </si>
  <si>
    <t>lmann@yahoo.com</t>
  </si>
  <si>
    <t>tmeyer@gmail.com</t>
  </si>
  <si>
    <t>megan11@hotmail.com</t>
  </si>
  <si>
    <t>angela70@yahoo.com</t>
  </si>
  <si>
    <t>sullivanchristina@hotmail.com</t>
  </si>
  <si>
    <t>virginiaguerrero@hotmail.com</t>
  </si>
  <si>
    <t>gregoryrichardson@gmail.com</t>
  </si>
  <si>
    <t>nathanielwilson@hotmail.com</t>
  </si>
  <si>
    <t>kevin44@gmail.com</t>
  </si>
  <si>
    <t>sarah80@yahoo.com</t>
  </si>
  <si>
    <t>wmurphy@gmail.com</t>
  </si>
  <si>
    <t>garciatravis@gmail.com</t>
  </si>
  <si>
    <t>xsmith@hotmail.com</t>
  </si>
  <si>
    <t>imcclain@yahoo.com</t>
  </si>
  <si>
    <t>tsmith@gmail.com</t>
  </si>
  <si>
    <t>rachel23@yahoo.com</t>
  </si>
  <si>
    <t>markduran@yahoo.com</t>
  </si>
  <si>
    <t>danielrodriguez@gmail.com</t>
  </si>
  <si>
    <t>brettgallegos@yahoo.com</t>
  </si>
  <si>
    <t>bmiller@gmail.com</t>
  </si>
  <si>
    <t>linvirginia@gmail.com</t>
  </si>
  <si>
    <t>hayneswayne@gmail.com</t>
  </si>
  <si>
    <t>richardhill@gmail.com</t>
  </si>
  <si>
    <t>jamesalicia@hotmail.com</t>
  </si>
  <si>
    <t>hicksdawn@yahoo.com</t>
  </si>
  <si>
    <t>dwright@gmail.com</t>
  </si>
  <si>
    <t>thomas91@yahoo.com</t>
  </si>
  <si>
    <t>davisalexander@hotmail.com</t>
  </si>
  <si>
    <t>julia98@hotmail.com</t>
  </si>
  <si>
    <t>eatondavid@hotmail.com</t>
  </si>
  <si>
    <t>jamesgriffin@gmail.com</t>
  </si>
  <si>
    <t>mmayo@hotmail.com</t>
  </si>
  <si>
    <t>patricia85@yahoo.com</t>
  </si>
  <si>
    <t>gbarnes@gmail.com</t>
  </si>
  <si>
    <t>sosabruce@hotmail.com</t>
  </si>
  <si>
    <t>martinkaren@yahoo.com</t>
  </si>
  <si>
    <t>adamarmstrong@hotmail.com</t>
  </si>
  <si>
    <t>kevin34@hotmail.com</t>
  </si>
  <si>
    <t>kellybowman@yahoo.com</t>
  </si>
  <si>
    <t>veronicaclark@gmail.com</t>
  </si>
  <si>
    <t>christopher84@hotmail.com</t>
  </si>
  <si>
    <t>garrettalex@yahoo.com</t>
  </si>
  <si>
    <t>medinatiffany@hotmail.com</t>
  </si>
  <si>
    <t>molly98@gmail.com</t>
  </si>
  <si>
    <t>omoore@hotmail.com</t>
  </si>
  <si>
    <t>lwhite@gmail.com</t>
  </si>
  <si>
    <t>andrew22@yahoo.com</t>
  </si>
  <si>
    <t>spencerbrewer@yahoo.com</t>
  </si>
  <si>
    <t>morrisonnicholas@gmail.com</t>
  </si>
  <si>
    <t>andersonkayla@yahoo.com</t>
  </si>
  <si>
    <t>rosariodaniel@hotmail.com</t>
  </si>
  <si>
    <t>tochoa@yahoo.com</t>
  </si>
  <si>
    <t>smithbradley@hotmail.com</t>
  </si>
  <si>
    <t>barrandrew@yahoo.com</t>
  </si>
  <si>
    <t>tmcdaniel@gmail.com</t>
  </si>
  <si>
    <t>michael95@gmail.com</t>
  </si>
  <si>
    <t>gregorymoreno@hotmail.com</t>
  </si>
  <si>
    <t>colleen45@gmail.com</t>
  </si>
  <si>
    <t>mccormickmichelle@gmail.com</t>
  </si>
  <si>
    <t>hbriggs@hotmail.com</t>
  </si>
  <si>
    <t>huntercruz@yahoo.com</t>
  </si>
  <si>
    <t>devon36@yahoo.com</t>
  </si>
  <si>
    <t>tmiller@yahoo.com</t>
  </si>
  <si>
    <t>youngaaron@gmail.com</t>
  </si>
  <si>
    <t>pruittmichael@gmail.com</t>
  </si>
  <si>
    <t>osanchez@gmail.com</t>
  </si>
  <si>
    <t>squinn@yahoo.com</t>
  </si>
  <si>
    <t>kmonroe@gmail.com</t>
  </si>
  <si>
    <t>lhernandez@yahoo.com</t>
  </si>
  <si>
    <t>vjenkins@yahoo.com</t>
  </si>
  <si>
    <t>ibarraantonio@gmail.com</t>
  </si>
  <si>
    <t>qspencer@hotmail.com</t>
  </si>
  <si>
    <t>teresa86@gmail.com</t>
  </si>
  <si>
    <t>lynndaugherty@hotmail.com</t>
  </si>
  <si>
    <t>kwilcox@gmail.com</t>
  </si>
  <si>
    <t>coxkimberly@yahoo.com</t>
  </si>
  <si>
    <t>carlaavila@yahoo.com</t>
  </si>
  <si>
    <t>christopher99@gmail.com</t>
  </si>
  <si>
    <t>alan54@yahoo.com</t>
  </si>
  <si>
    <t>jacquelinedavis@yahoo.com</t>
  </si>
  <si>
    <t>matthewspatrick@hotmail.com</t>
  </si>
  <si>
    <t>cisnerosjesse@gmail.com</t>
  </si>
  <si>
    <t>seth25@yahoo.com</t>
  </si>
  <si>
    <t>nallen@hotmail.com</t>
  </si>
  <si>
    <t>ballarddouglas@yahoo.com</t>
  </si>
  <si>
    <t>udavis@gmail.com</t>
  </si>
  <si>
    <t>jonesjennifer@yahoo.com</t>
  </si>
  <si>
    <t>shelbybonilla@yahoo.com</t>
  </si>
  <si>
    <t>scotthunt@hotmail.com</t>
  </si>
  <si>
    <t>natalie09@hotmail.com</t>
  </si>
  <si>
    <t>mooredaniel@yahoo.com</t>
  </si>
  <si>
    <t>wcaldwell@yahoo.com</t>
  </si>
  <si>
    <t>whitedaniel@yahoo.com</t>
  </si>
  <si>
    <t>wendy73@hotmail.com</t>
  </si>
  <si>
    <t>stacythomas@gmail.com</t>
  </si>
  <si>
    <t>mayermichael@yahoo.com</t>
  </si>
  <si>
    <t>onelson@gmail.com</t>
  </si>
  <si>
    <t>hsavage@gmail.com</t>
  </si>
  <si>
    <t>wpeterson@yahoo.com</t>
  </si>
  <si>
    <t>tammykim@hotmail.com</t>
  </si>
  <si>
    <t>christiancontreras@hotmail.com</t>
  </si>
  <si>
    <t>alexis72@yahoo.com</t>
  </si>
  <si>
    <t>mcneilsherry@gmail.com</t>
  </si>
  <si>
    <t>julielopez@hotmail.com</t>
  </si>
  <si>
    <t>stephaniebonilla@hotmail.com</t>
  </si>
  <si>
    <t>wayne17@hotmail.com</t>
  </si>
  <si>
    <t>wmills@yahoo.com</t>
  </si>
  <si>
    <t>amyjames@hotmail.com</t>
  </si>
  <si>
    <t>cowanlinda@gmail.com</t>
  </si>
  <si>
    <t>nbrady@hotmail.com</t>
  </si>
  <si>
    <t>melissa33@yahoo.com</t>
  </si>
  <si>
    <t>belllaura@yahoo.com</t>
  </si>
  <si>
    <t>xsmith@gmail.com</t>
  </si>
  <si>
    <t>anunez@yahoo.com</t>
  </si>
  <si>
    <t>matthew96@gmail.com</t>
  </si>
  <si>
    <t>solisbecky@gmail.com</t>
  </si>
  <si>
    <t>zachary63@gmail.com</t>
  </si>
  <si>
    <t>ocameron@yahoo.com</t>
  </si>
  <si>
    <t>kimcristina@hotmail.com</t>
  </si>
  <si>
    <t>armstronganthony@hotmail.com</t>
  </si>
  <si>
    <t>kennethnichols@gmail.com</t>
  </si>
  <si>
    <t>hillsavannah@hotmail.com</t>
  </si>
  <si>
    <t>hho@gmail.com</t>
  </si>
  <si>
    <t>nkirk@yahoo.com</t>
  </si>
  <si>
    <t>clarkrobert@yahoo.com</t>
  </si>
  <si>
    <t>bergerdonna@hotmail.com</t>
  </si>
  <si>
    <t>timothy99@hotmail.com</t>
  </si>
  <si>
    <t>catherineherrera@hotmail.com</t>
  </si>
  <si>
    <t>anthonytaylor@gmail.com</t>
  </si>
  <si>
    <t>stephaniebailey@hotmail.com</t>
  </si>
  <si>
    <t>qnielsen@gmail.com</t>
  </si>
  <si>
    <t>ygarcia@hotmail.com</t>
  </si>
  <si>
    <t>bandrade@hotmail.com</t>
  </si>
  <si>
    <t>kpatterson@yahoo.com</t>
  </si>
  <si>
    <t>rubiojohnny@yahoo.com</t>
  </si>
  <si>
    <t>raymond12@yahoo.com</t>
  </si>
  <si>
    <t>nathan51@gmail.com</t>
  </si>
  <si>
    <t>rachel81@yahoo.com</t>
  </si>
  <si>
    <t>jennifer19@hotmail.com</t>
  </si>
  <si>
    <t>jameslang@yahoo.com</t>
  </si>
  <si>
    <t>brittany39@gmail.com</t>
  </si>
  <si>
    <t>buckjustin@yahoo.com</t>
  </si>
  <si>
    <t>jonescody@yahoo.com</t>
  </si>
  <si>
    <t>hawkinslawrence@hotmail.com</t>
  </si>
  <si>
    <t>cameronsharon@gmail.com</t>
  </si>
  <si>
    <t>michelle63@gmail.com</t>
  </si>
  <si>
    <t>villamiranda@yahoo.com</t>
  </si>
  <si>
    <t>mark96@yahoo.com</t>
  </si>
  <si>
    <t>luishernandez@hotmail.com</t>
  </si>
  <si>
    <t>beckystanley@yahoo.com</t>
  </si>
  <si>
    <t>jennifer58@gmail.com</t>
  </si>
  <si>
    <t>bonillabrian@gmail.com</t>
  </si>
  <si>
    <t>petersonlisa@hotmail.com</t>
  </si>
  <si>
    <t>grios@gmail.com</t>
  </si>
  <si>
    <t>kimberlylopez@yahoo.com</t>
  </si>
  <si>
    <t>thomasnancy@hotmail.com</t>
  </si>
  <si>
    <t>alvarezalyssa@yahoo.com</t>
  </si>
  <si>
    <t>edwardshaw@hotmail.com</t>
  </si>
  <si>
    <t>bdennis@gmail.com</t>
  </si>
  <si>
    <t>gstone@hotmail.com</t>
  </si>
  <si>
    <t>jacobsonbarbara@gmail.com</t>
  </si>
  <si>
    <t>gmyers@gmail.com</t>
  </si>
  <si>
    <t>kristibailey@yahoo.com</t>
  </si>
  <si>
    <t>sstevenson@gmail.com</t>
  </si>
  <si>
    <t>athomas@hotmail.com</t>
  </si>
  <si>
    <t>jacksonkathleen@gmail.com</t>
  </si>
  <si>
    <t>thomaswilliams@gmail.com</t>
  </si>
  <si>
    <t>karirowe@gmail.com</t>
  </si>
  <si>
    <t>veronica47@yahoo.com</t>
  </si>
  <si>
    <t>patricia97@gmail.com</t>
  </si>
  <si>
    <t>qchase@gmail.com</t>
  </si>
  <si>
    <t>leestephanie@hotmail.com</t>
  </si>
  <si>
    <t>harcher@gmail.com</t>
  </si>
  <si>
    <t>rlandry@yahoo.com</t>
  </si>
  <si>
    <t>hamiltonspencer@yahoo.com</t>
  </si>
  <si>
    <t>stevenhernandez@yahoo.com</t>
  </si>
  <si>
    <t>marshalexis@gmail.com</t>
  </si>
  <si>
    <t>adam50@gmail.com</t>
  </si>
  <si>
    <t>stephaniereeves@gmail.com</t>
  </si>
  <si>
    <t>antoniofitzpatrick@gmail.com</t>
  </si>
  <si>
    <t>orozcosamantha@hotmail.com</t>
  </si>
  <si>
    <t>feliciagonzalez@gmail.com</t>
  </si>
  <si>
    <t>ygardner@yahoo.com</t>
  </si>
  <si>
    <t>taylor67@yahoo.com</t>
  </si>
  <si>
    <t>idavis@hotmail.com</t>
  </si>
  <si>
    <t>brian62@yahoo.com</t>
  </si>
  <si>
    <t>fcombs@gmail.com</t>
  </si>
  <si>
    <t>shortariana@hotmail.com</t>
  </si>
  <si>
    <t>mileszachary@hotmail.com</t>
  </si>
  <si>
    <t>kevincollins@gmail.com</t>
  </si>
  <si>
    <t>cassandramartinez@gmail.com</t>
  </si>
  <si>
    <t>hmyers@yahoo.com</t>
  </si>
  <si>
    <t>lorraine79@gmail.com</t>
  </si>
  <si>
    <t>georgeharmon@hotmail.com</t>
  </si>
  <si>
    <t>rrichardson@yahoo.com</t>
  </si>
  <si>
    <t>shernandez@yahoo.com</t>
  </si>
  <si>
    <t>wwilliams@gmail.com</t>
  </si>
  <si>
    <t>michaelfoley@hotmail.com</t>
  </si>
  <si>
    <t>thompsonedward@hotmail.com</t>
  </si>
  <si>
    <t>joshuafarmer@yahoo.com</t>
  </si>
  <si>
    <t>lobrien@hotmail.com</t>
  </si>
  <si>
    <t>heidichapman@hotmail.com</t>
  </si>
  <si>
    <t>christianerik@gmail.com</t>
  </si>
  <si>
    <t>tinastokes@hotmail.com</t>
  </si>
  <si>
    <t>acampos@gmail.com</t>
  </si>
  <si>
    <t>alexandernicholas@hotmail.com</t>
  </si>
  <si>
    <t>oanderson@hotmail.com</t>
  </si>
  <si>
    <t>jeremiah26@hotmail.com</t>
  </si>
  <si>
    <t>harrislisa@gmail.com</t>
  </si>
  <si>
    <t>jacob87@gmail.com</t>
  </si>
  <si>
    <t>lauriegonzales@hotmail.com</t>
  </si>
  <si>
    <t>craig73@gmail.com</t>
  </si>
  <si>
    <t>sandra46@hotmail.com</t>
  </si>
  <si>
    <t>fergusonjohn@hotmail.com</t>
  </si>
  <si>
    <t>aguilarsharon@yahoo.com</t>
  </si>
  <si>
    <t>pamela02@gmail.com</t>
  </si>
  <si>
    <t>youngcharles@hotmail.com</t>
  </si>
  <si>
    <t>dodsoncarly@hotmail.com</t>
  </si>
  <si>
    <t>garciatyler@gmail.com</t>
  </si>
  <si>
    <t>andrewbrown@gmail.com</t>
  </si>
  <si>
    <t>tranbrett@yahoo.com</t>
  </si>
  <si>
    <t>kimpenny@yahoo.com</t>
  </si>
  <si>
    <t>christophersmith@yahoo.com</t>
  </si>
  <si>
    <t>ritteralexis@hotmail.com</t>
  </si>
  <si>
    <t>justinedwards@hotmail.com</t>
  </si>
  <si>
    <t>hmendoza@hotmail.com</t>
  </si>
  <si>
    <t>priscilla37@hotmail.com</t>
  </si>
  <si>
    <t>alisonadams@hotmail.com</t>
  </si>
  <si>
    <t>nramirez@gmail.com</t>
  </si>
  <si>
    <t>jenny20@gmail.com</t>
  </si>
  <si>
    <t>porterarthur@yahoo.com</t>
  </si>
  <si>
    <t>melissa67@gmail.com</t>
  </si>
  <si>
    <t>donnapatel@hotmail.com</t>
  </si>
  <si>
    <t>sandra49@gmail.com</t>
  </si>
  <si>
    <t>vpatton@gmail.com</t>
  </si>
  <si>
    <t>michele87@yahoo.com</t>
  </si>
  <si>
    <t>pmcdonald@gmail.com</t>
  </si>
  <si>
    <t>kelseyphillips@hotmail.com</t>
  </si>
  <si>
    <t>kimberly90@gmail.com</t>
  </si>
  <si>
    <t>scottsmith@gmail.com</t>
  </si>
  <si>
    <t>rickyriley@gmail.com</t>
  </si>
  <si>
    <t>xwhite@yahoo.com</t>
  </si>
  <si>
    <t>monicadouglas@gmail.com</t>
  </si>
  <si>
    <t>criley@hotmail.com</t>
  </si>
  <si>
    <t>allen58@hotmail.com</t>
  </si>
  <si>
    <t>ewilson@gmail.com</t>
  </si>
  <si>
    <t>bjones@yahoo.com</t>
  </si>
  <si>
    <t>xmerritt@yahoo.com</t>
  </si>
  <si>
    <t>rhondajohnson@hotmail.com</t>
  </si>
  <si>
    <t>shelby69@gmail.com</t>
  </si>
  <si>
    <t>friedmansusan@gmail.com</t>
  </si>
  <si>
    <t>hryan@hotmail.com</t>
  </si>
  <si>
    <t>mstewart@hotmail.com</t>
  </si>
  <si>
    <t>jerry51@hotmail.com</t>
  </si>
  <si>
    <t>bellwilliam@yahoo.com</t>
  </si>
  <si>
    <t>sarasanchez@yahoo.com</t>
  </si>
  <si>
    <t>matthew11@yahoo.com</t>
  </si>
  <si>
    <t>rachelwalter@gmail.com</t>
  </si>
  <si>
    <t>inewton@gmail.com</t>
  </si>
  <si>
    <t>wstrong@gmail.com</t>
  </si>
  <si>
    <t>phyllis59@hotmail.com</t>
  </si>
  <si>
    <t>stephanie67@hotmail.com</t>
  </si>
  <si>
    <t>jenniferlawrence@hotmail.com</t>
  </si>
  <si>
    <t>cgray@gmail.com</t>
  </si>
  <si>
    <t>kennethpeterson@hotmail.com</t>
  </si>
  <si>
    <t>ymitchell@yahoo.com</t>
  </si>
  <si>
    <t>russellramirez@hotmail.com</t>
  </si>
  <si>
    <t>tommy32@yahoo.com</t>
  </si>
  <si>
    <t>codyarnold@hotmail.com</t>
  </si>
  <si>
    <t>adamwall@gmail.com</t>
  </si>
  <si>
    <t>dmeyer@yahoo.com</t>
  </si>
  <si>
    <t>fsnyder@gmail.com</t>
  </si>
  <si>
    <t>garnerjeffrey@gmail.com</t>
  </si>
  <si>
    <t>mannleroy@gmail.com</t>
  </si>
  <si>
    <t>mckenzieguerrero@hotmail.com</t>
  </si>
  <si>
    <t>owiggins@hotmail.com</t>
  </si>
  <si>
    <t>mcampbell@hotmail.com</t>
  </si>
  <si>
    <t>hamiltontravis@hotmail.com</t>
  </si>
  <si>
    <t>pwelch@hotmail.com</t>
  </si>
  <si>
    <t>nancycontreras@yahoo.com</t>
  </si>
  <si>
    <t>colin14@yahoo.com</t>
  </si>
  <si>
    <t>qhuber@gmail.com</t>
  </si>
  <si>
    <t>flarsen@hotmail.com</t>
  </si>
  <si>
    <t>pamelapatton@gmail.com</t>
  </si>
  <si>
    <t>blamb@yahoo.com</t>
  </si>
  <si>
    <t>daisy04@yahoo.com</t>
  </si>
  <si>
    <t>gouldchristina@yahoo.com</t>
  </si>
  <si>
    <t>tdavis@yahoo.com</t>
  </si>
  <si>
    <t>michaelgonzalez@gmail.com</t>
  </si>
  <si>
    <t>reneerivera@gmail.com</t>
  </si>
  <si>
    <t>fischeralisha@hotmail.com</t>
  </si>
  <si>
    <t>hallkelsey@gmail.com</t>
  </si>
  <si>
    <t>vanderson@yahoo.com</t>
  </si>
  <si>
    <t>vsmith@hotmail.com</t>
  </si>
  <si>
    <t>mlee@yahoo.com</t>
  </si>
  <si>
    <t>stephen14@hotmail.com</t>
  </si>
  <si>
    <t>ehoffman@yahoo.com</t>
  </si>
  <si>
    <t>xluna@hotmail.com</t>
  </si>
  <si>
    <t>cwise@yahoo.com</t>
  </si>
  <si>
    <t>davisgary@yahoo.com</t>
  </si>
  <si>
    <t>kmills@gmail.com</t>
  </si>
  <si>
    <t>mary05@hotmail.com</t>
  </si>
  <si>
    <t>karinorton@hotmail.com</t>
  </si>
  <si>
    <t>vrobertson@hotmail.com</t>
  </si>
  <si>
    <t>katherinemartin@hotmail.com</t>
  </si>
  <si>
    <t>mccluretyler@hotmail.com</t>
  </si>
  <si>
    <t>david44@hotmail.com</t>
  </si>
  <si>
    <t>kellycohen@hotmail.com</t>
  </si>
  <si>
    <t>sharonho@hotmail.com</t>
  </si>
  <si>
    <t>robert27@gmail.com</t>
  </si>
  <si>
    <t>drivera@hotmail.com</t>
  </si>
  <si>
    <t>michaelsmith@gmail.com</t>
  </si>
  <si>
    <t>michael64@hotmail.com</t>
  </si>
  <si>
    <t>crossjoshua@yahoo.com</t>
  </si>
  <si>
    <t>xrivera@hotmail.com</t>
  </si>
  <si>
    <t>aclark@gmail.com</t>
  </si>
  <si>
    <t>thomassmith@gmail.com</t>
  </si>
  <si>
    <t>gmurphy@gmail.com</t>
  </si>
  <si>
    <t>hkelly@yahoo.com</t>
  </si>
  <si>
    <t>soniabass@hotmail.com</t>
  </si>
  <si>
    <t>gina86@hotmail.com</t>
  </si>
  <si>
    <t>jessica39@hotmail.com</t>
  </si>
  <si>
    <t>gonzalezmichael@gmail.com</t>
  </si>
  <si>
    <t>wesley09@yahoo.com</t>
  </si>
  <si>
    <t>joshua09@gmail.com</t>
  </si>
  <si>
    <t>vthompson@hotmail.com</t>
  </si>
  <si>
    <t>janicethompson@gmail.com</t>
  </si>
  <si>
    <t>edwardsmichaela@yahoo.com</t>
  </si>
  <si>
    <t>rachael29@hotmail.com</t>
  </si>
  <si>
    <t>brownmandy@hotmail.com</t>
  </si>
  <si>
    <t>charlotte86@gmail.com</t>
  </si>
  <si>
    <t>ann15@yahoo.com</t>
  </si>
  <si>
    <t>wilsonchristopher@hotmail.com</t>
  </si>
  <si>
    <t>kristinarobinson@yahoo.com</t>
  </si>
  <si>
    <t>julierojas@yahoo.com</t>
  </si>
  <si>
    <t>robert34@gmail.com</t>
  </si>
  <si>
    <t>burnsbeth@yahoo.com</t>
  </si>
  <si>
    <t>benjamindavenport@yahoo.com</t>
  </si>
  <si>
    <t>debbie43@yahoo.com</t>
  </si>
  <si>
    <t>christopher34@gmail.com</t>
  </si>
  <si>
    <t>thomasmcdonald@yahoo.com</t>
  </si>
  <si>
    <t>jacqueline50@gmail.com</t>
  </si>
  <si>
    <t>robintorres@yahoo.com</t>
  </si>
  <si>
    <t>swatkins@yahoo.com</t>
  </si>
  <si>
    <t>carolyn76@yahoo.com</t>
  </si>
  <si>
    <t>fisherkim@hotmail.com</t>
  </si>
  <si>
    <t>olivia83@hotmail.com</t>
  </si>
  <si>
    <t>wallerkyle@gmail.com</t>
  </si>
  <si>
    <t>jamesjackson@yahoo.com</t>
  </si>
  <si>
    <t>ericpeters@yahoo.com</t>
  </si>
  <si>
    <t>ehale@hotmail.com</t>
  </si>
  <si>
    <t>hugheslucas@gmail.com</t>
  </si>
  <si>
    <t>icarlson@gmail.com</t>
  </si>
  <si>
    <t>katrinawood@yahoo.com</t>
  </si>
  <si>
    <t>brewerdevin@gmail.com</t>
  </si>
  <si>
    <t>ronaldmitchell@yahoo.com</t>
  </si>
  <si>
    <t>zwhite@hotmail.com</t>
  </si>
  <si>
    <t>riosrichard@gmail.com</t>
  </si>
  <si>
    <t>psmith@hotmail.com</t>
  </si>
  <si>
    <t>munozleah@yahoo.com</t>
  </si>
  <si>
    <t>daniel26@hotmail.com</t>
  </si>
  <si>
    <t>stacy94@gmail.com</t>
  </si>
  <si>
    <t>marshallbill@yahoo.com</t>
  </si>
  <si>
    <t>ronald40@hotmail.com</t>
  </si>
  <si>
    <t>kenneth09@gmail.com</t>
  </si>
  <si>
    <t>christopherdavis@hotmail.com</t>
  </si>
  <si>
    <t>pbarker@hotmail.com</t>
  </si>
  <si>
    <t>thomastiffany@hotmail.com</t>
  </si>
  <si>
    <t>roberto02@hotmail.com</t>
  </si>
  <si>
    <t>ysanford@gmail.com</t>
  </si>
  <si>
    <t>heatherwilliams@hotmail.com</t>
  </si>
  <si>
    <t>joshuapowers@hotmail.com</t>
  </si>
  <si>
    <t>yclark@yahoo.com</t>
  </si>
  <si>
    <t>colton30@hotmail.com</t>
  </si>
  <si>
    <t>omatthews@hotmail.com</t>
  </si>
  <si>
    <t>matthew57@gmail.com</t>
  </si>
  <si>
    <t>emilyscott@gmail.com</t>
  </si>
  <si>
    <t>christopher85@yahoo.com</t>
  </si>
  <si>
    <t>colleenjackson@yahoo.com</t>
  </si>
  <si>
    <t>angela73@yahoo.com</t>
  </si>
  <si>
    <t>fosterjason@gmail.com</t>
  </si>
  <si>
    <t>wpierce@gmail.com</t>
  </si>
  <si>
    <t>beckgloria@hotmail.com</t>
  </si>
  <si>
    <t>michelesimpson@yahoo.com</t>
  </si>
  <si>
    <t>ricardosmith@yahoo.com</t>
  </si>
  <si>
    <t>acarpenter@yahoo.com</t>
  </si>
  <si>
    <t>greenejessica@gmail.com</t>
  </si>
  <si>
    <t>craneandrew@hotmail.com</t>
  </si>
  <si>
    <t>stephensharp@gmail.com</t>
  </si>
  <si>
    <t>kellykline@gmail.com</t>
  </si>
  <si>
    <t>laurakaufman@hotmail.com</t>
  </si>
  <si>
    <t>johnbowen@gmail.com</t>
  </si>
  <si>
    <t>eatkins@yahoo.com</t>
  </si>
  <si>
    <t>gonzalesmaria@gmail.com</t>
  </si>
  <si>
    <t>coxjennifer@hotmail.com</t>
  </si>
  <si>
    <t>melaniechang@hotmail.com</t>
  </si>
  <si>
    <t>donald37@gmail.com</t>
  </si>
  <si>
    <t>wgoodwin@yahoo.com</t>
  </si>
  <si>
    <t>ashley90@gmail.com</t>
  </si>
  <si>
    <t>jennifer42@hotmail.com</t>
  </si>
  <si>
    <t>julianeal@gmail.com</t>
  </si>
  <si>
    <t>rosalesbrandy@gmail.com</t>
  </si>
  <si>
    <t>kwoods@yahoo.com</t>
  </si>
  <si>
    <t>nicholas72@hotmail.com</t>
  </si>
  <si>
    <t>petersonkyle@gmail.com</t>
  </si>
  <si>
    <t>michaelstevens@hotmail.com</t>
  </si>
  <si>
    <t>judithcox@gmail.com</t>
  </si>
  <si>
    <t>angela88@gmail.com</t>
  </si>
  <si>
    <t>laura23@gmail.com</t>
  </si>
  <si>
    <t>andrea13@hotmail.com</t>
  </si>
  <si>
    <t>jeremywillis@hotmail.com</t>
  </si>
  <si>
    <t>kristy13@yahoo.com</t>
  </si>
  <si>
    <t>carmenevans@gmail.com</t>
  </si>
  <si>
    <t>mwaters@hotmail.com</t>
  </si>
  <si>
    <t>fguzman@hotmail.com</t>
  </si>
  <si>
    <t>joseph83@yahoo.com</t>
  </si>
  <si>
    <t>rowlandsonya@yahoo.com</t>
  </si>
  <si>
    <t>haroldhodges@hotmail.com</t>
  </si>
  <si>
    <t>jamesrodriguez@gmail.com</t>
  </si>
  <si>
    <t>tgarcia@hotmail.com</t>
  </si>
  <si>
    <t>kfloyd@hotmail.com</t>
  </si>
  <si>
    <t>rchan@gmail.com</t>
  </si>
  <si>
    <t>kevinacosta@hotmail.com</t>
  </si>
  <si>
    <t>zsmith@gmail.com</t>
  </si>
  <si>
    <t>andrew33@hotmail.com</t>
  </si>
  <si>
    <t>ugibbs@hotmail.com</t>
  </si>
  <si>
    <t>ggates@gmail.com</t>
  </si>
  <si>
    <t>ccrane@hotmail.com</t>
  </si>
  <si>
    <t>valerie96@gmail.com</t>
  </si>
  <si>
    <t>hmclean@yahoo.com</t>
  </si>
  <si>
    <t>jholloway@hotmail.com</t>
  </si>
  <si>
    <t>ashley48@hotmail.com</t>
  </si>
  <si>
    <t>susan57@hotmail.com</t>
  </si>
  <si>
    <t>ffoster@gmail.com</t>
  </si>
  <si>
    <t>gforbes@yahoo.com</t>
  </si>
  <si>
    <t>navarroannette@hotmail.com</t>
  </si>
  <si>
    <t>berrytaylor@hotmail.com</t>
  </si>
  <si>
    <t>steven25@gmail.com</t>
  </si>
  <si>
    <t>zpreston@hotmail.com</t>
  </si>
  <si>
    <t>marcushernandez@gmail.com</t>
  </si>
  <si>
    <t>kaylaandrews@yahoo.com</t>
  </si>
  <si>
    <t>kylegarcia@hotmail.com</t>
  </si>
  <si>
    <t>stephanie55@gmail.com</t>
  </si>
  <si>
    <t>jesse35@gmail.com</t>
  </si>
  <si>
    <t>vjohnson@hotmail.com</t>
  </si>
  <si>
    <t>kellilawrence@gmail.com</t>
  </si>
  <si>
    <t>martinjason@yahoo.com</t>
  </si>
  <si>
    <t>jasondavis@hotmail.com</t>
  </si>
  <si>
    <t>smithlinda@yahoo.com</t>
  </si>
  <si>
    <t>pbautista@yahoo.com</t>
  </si>
  <si>
    <t>jessica50@gmail.com</t>
  </si>
  <si>
    <t>heatherfarmer@gmail.com</t>
  </si>
  <si>
    <t>christina26@gmail.com</t>
  </si>
  <si>
    <t>michaelbuckley@gmail.com</t>
  </si>
  <si>
    <t>anthony05@gmail.com</t>
  </si>
  <si>
    <t>ryankathryn@hotmail.com</t>
  </si>
  <si>
    <t>christophermcneil@gmail.com</t>
  </si>
  <si>
    <t>mtaylor@hotmail.com</t>
  </si>
  <si>
    <t>marcusfernandez@hotmail.com</t>
  </si>
  <si>
    <t>davidrobertson@gmail.com</t>
  </si>
  <si>
    <t>olivia13@gmail.com</t>
  </si>
  <si>
    <t>hbarnett@hotmail.com</t>
  </si>
  <si>
    <t>donna90@hotmail.com</t>
  </si>
  <si>
    <t>alexiswalters@gmail.com</t>
  </si>
  <si>
    <t>jacob96@yahoo.com</t>
  </si>
  <si>
    <t>diana85@yahoo.com</t>
  </si>
  <si>
    <t>qalvarado@yahoo.com</t>
  </si>
  <si>
    <t>oconnelldavid@gmail.com</t>
  </si>
  <si>
    <t>morganparker@yahoo.com</t>
  </si>
  <si>
    <t>gwilkins@gmail.com</t>
  </si>
  <si>
    <t>alicia29@hotmail.com</t>
  </si>
  <si>
    <t>nicholasgarcia@gmail.com</t>
  </si>
  <si>
    <t>amberfriedman@yahoo.com</t>
  </si>
  <si>
    <t>peter86@yahoo.com</t>
  </si>
  <si>
    <t>kingangela@yahoo.com</t>
  </si>
  <si>
    <t>fischerdonald@yahoo.com</t>
  </si>
  <si>
    <t>petermoore@yahoo.com</t>
  </si>
  <si>
    <t>tabithahill@yahoo.com</t>
  </si>
  <si>
    <t>scottchambers@yahoo.com</t>
  </si>
  <si>
    <t>chall@yahoo.com</t>
  </si>
  <si>
    <t>nancy06@yahoo.com</t>
  </si>
  <si>
    <t>oblake@hotmail.com</t>
  </si>
  <si>
    <t>john76@yahoo.com</t>
  </si>
  <si>
    <t>rebecca85@yahoo.com</t>
  </si>
  <si>
    <t>marqueztodd@hotmail.com</t>
  </si>
  <si>
    <t>kcastro@yahoo.com</t>
  </si>
  <si>
    <t>garzalaura@gmail.com</t>
  </si>
  <si>
    <t>tochoa@hotmail.com</t>
  </si>
  <si>
    <t>bentleylisa@hotmail.com</t>
  </si>
  <si>
    <t>andrewbautista@gmail.com</t>
  </si>
  <si>
    <t>michael55@gmail.com</t>
  </si>
  <si>
    <t>kayla23@hotmail.com</t>
  </si>
  <si>
    <t>kimberly27@gmail.com</t>
  </si>
  <si>
    <t>leslietorres@hotmail.com</t>
  </si>
  <si>
    <t>katherineharris@hotmail.com</t>
  </si>
  <si>
    <t>susanmorris@gmail.com</t>
  </si>
  <si>
    <t>katherine82@yahoo.com</t>
  </si>
  <si>
    <t>jphelps@hotmail.com</t>
  </si>
  <si>
    <t>kirkjill@yahoo.com</t>
  </si>
  <si>
    <t>pmckenzie@hotmail.com</t>
  </si>
  <si>
    <t>johnperez@hotmail.com</t>
  </si>
  <si>
    <t>amassey@hotmail.com</t>
  </si>
  <si>
    <t>tfrancis@yahoo.com</t>
  </si>
  <si>
    <t>lukekelly@hotmail.com</t>
  </si>
  <si>
    <t>colinlowery@hotmail.com</t>
  </si>
  <si>
    <t>jenniferrobbins@hotmail.com</t>
  </si>
  <si>
    <t>stevenssamuel@hotmail.com</t>
  </si>
  <si>
    <t>dhansen@yahoo.com</t>
  </si>
  <si>
    <t>blevinsjoshua@yahoo.com</t>
  </si>
  <si>
    <t>valerielewis@yahoo.com</t>
  </si>
  <si>
    <t>ithomas@hotmail.com</t>
  </si>
  <si>
    <t>briana19@gmail.com</t>
  </si>
  <si>
    <t>maryjohnson@yahoo.com</t>
  </si>
  <si>
    <t>yballard@hotmail.com</t>
  </si>
  <si>
    <t>gregory64@yahoo.com</t>
  </si>
  <si>
    <t>morgankaren@hotmail.com</t>
  </si>
  <si>
    <t>flemingcody@gmail.com</t>
  </si>
  <si>
    <t>michele23@hotmail.com</t>
  </si>
  <si>
    <t>carolberry@yahoo.com</t>
  </si>
  <si>
    <t>cjohnson@hotmail.com</t>
  </si>
  <si>
    <t>daniel29@hotmail.com</t>
  </si>
  <si>
    <t>sharon86@yahoo.com</t>
  </si>
  <si>
    <t>johnroth@gmail.com</t>
  </si>
  <si>
    <t>qcochran@hotmail.com</t>
  </si>
  <si>
    <t>rhonda99@hotmail.com</t>
  </si>
  <si>
    <t>luke73@yahoo.com</t>
  </si>
  <si>
    <t>henrymarc@yahoo.com</t>
  </si>
  <si>
    <t>kelli08@gmail.com</t>
  </si>
  <si>
    <t>daniellestevenson@hotmail.com</t>
  </si>
  <si>
    <t>colongabrielle@yahoo.com</t>
  </si>
  <si>
    <t>lozanocorey@gmail.com</t>
  </si>
  <si>
    <t>ashleyaustin@gmail.com</t>
  </si>
  <si>
    <t>strongdonna@yahoo.com</t>
  </si>
  <si>
    <t>moorecarol@hotmail.com</t>
  </si>
  <si>
    <t>jamie46@hotmail.com</t>
  </si>
  <si>
    <t>lisafreeman@hotmail.com</t>
  </si>
  <si>
    <t>sanderson@gmail.com</t>
  </si>
  <si>
    <t>ijones@yahoo.com</t>
  </si>
  <si>
    <t>smitchell@yahoo.com</t>
  </si>
  <si>
    <t>stephaniepeters@yahoo.com</t>
  </si>
  <si>
    <t>rodriguezbenjamin@yahoo.com</t>
  </si>
  <si>
    <t>cgilbert@hotmail.com</t>
  </si>
  <si>
    <t>kaylahardy@gmail.com</t>
  </si>
  <si>
    <t>sandra57@gmail.com</t>
  </si>
  <si>
    <t>perezcourtney@yahoo.com</t>
  </si>
  <si>
    <t>carolynroberts@gmail.com</t>
  </si>
  <si>
    <t>ortizamanda@hotmail.com</t>
  </si>
  <si>
    <t>rachelsutton@gmail.com</t>
  </si>
  <si>
    <t>vincentkathleen@gmail.com</t>
  </si>
  <si>
    <t>ppineda@yahoo.com</t>
  </si>
  <si>
    <t>feliciasalazar@yahoo.com</t>
  </si>
  <si>
    <t>jeffrey42@yahoo.com</t>
  </si>
  <si>
    <t>douglas76@hotmail.com</t>
  </si>
  <si>
    <t>jared66@yahoo.com</t>
  </si>
  <si>
    <t>matthew62@hotmail.com</t>
  </si>
  <si>
    <t>stacydaniel@hotmail.com</t>
  </si>
  <si>
    <t>tbrooks@gmail.com</t>
  </si>
  <si>
    <t>rebecca96@gmail.com</t>
  </si>
  <si>
    <t>bgiles@gmail.com</t>
  </si>
  <si>
    <t>joshuareese@hotmail.com</t>
  </si>
  <si>
    <t>edwardstewart@gmail.com</t>
  </si>
  <si>
    <t>lowekristin@gmail.com</t>
  </si>
  <si>
    <t>edwardsrachel@gmail.com</t>
  </si>
  <si>
    <t>cindy59@yahoo.com</t>
  </si>
  <si>
    <t>rachelhernandez@yahoo.com</t>
  </si>
  <si>
    <t>rgraves@hotmail.com</t>
  </si>
  <si>
    <t>cdavis@gmail.com</t>
  </si>
  <si>
    <t>sarah99@gmail.com</t>
  </si>
  <si>
    <t>nicole15@gmail.com</t>
  </si>
  <si>
    <t>danieldonovan@hotmail.com</t>
  </si>
  <si>
    <t>gomeztonya@yahoo.com</t>
  </si>
  <si>
    <t>melissa38@yahoo.com</t>
  </si>
  <si>
    <t>brettallen@yahoo.com</t>
  </si>
  <si>
    <t>vhopkins@hotmail.com</t>
  </si>
  <si>
    <t>turnerjames@yahoo.com</t>
  </si>
  <si>
    <t>zrogers@hotmail.com</t>
  </si>
  <si>
    <t>jennifer83@yahoo.com</t>
  </si>
  <si>
    <t>trujillorobin@hotmail.com</t>
  </si>
  <si>
    <t>charlesbrooks@gmail.com</t>
  </si>
  <si>
    <t>sharpjill@yahoo.com</t>
  </si>
  <si>
    <t>vwelch@hotmail.com</t>
  </si>
  <si>
    <t>lopezjennifer@gmail.com</t>
  </si>
  <si>
    <t>hughescolleen@gmail.com</t>
  </si>
  <si>
    <t>taylordennis@hotmail.com</t>
  </si>
  <si>
    <t>josehumphrey@hotmail.com</t>
  </si>
  <si>
    <t>melindaavila@gmail.com</t>
  </si>
  <si>
    <t>shunter@gmail.com</t>
  </si>
  <si>
    <t>penatammy@yahoo.com</t>
  </si>
  <si>
    <t>raven09@yahoo.com</t>
  </si>
  <si>
    <t>floreskelsey@yahoo.com</t>
  </si>
  <si>
    <t>jessica57@yahoo.com</t>
  </si>
  <si>
    <t>vedwards@gmail.com</t>
  </si>
  <si>
    <t>uhobbs@yahoo.com</t>
  </si>
  <si>
    <t>bbarnes@gmail.com</t>
  </si>
  <si>
    <t>bdiaz@hotmail.com</t>
  </si>
  <si>
    <t>myersedward@yahoo.com</t>
  </si>
  <si>
    <t>jeremy79@hotmail.com</t>
  </si>
  <si>
    <t>gomezdaniel@yahoo.com</t>
  </si>
  <si>
    <t>alara@yahoo.com</t>
  </si>
  <si>
    <t>gabriella69@gmail.com</t>
  </si>
  <si>
    <t>mikewaller@gmail.com</t>
  </si>
  <si>
    <t>haley57@yahoo.com</t>
  </si>
  <si>
    <t>tammyharrington@hotmail.com</t>
  </si>
  <si>
    <t>tracyharrison@gmail.com</t>
  </si>
  <si>
    <t>christopher77@hotmail.com</t>
  </si>
  <si>
    <t>jennifer50@yahoo.com</t>
  </si>
  <si>
    <t>yhoffman@yahoo.com</t>
  </si>
  <si>
    <t>susanharper@gmail.com</t>
  </si>
  <si>
    <t>john66@hotmail.com</t>
  </si>
  <si>
    <t>pearsonkathryn@gmail.com</t>
  </si>
  <si>
    <t>mpeters@yahoo.com</t>
  </si>
  <si>
    <t>jasminechavez@gmail.com</t>
  </si>
  <si>
    <t>angela52@yahoo.com</t>
  </si>
  <si>
    <t>randall59@gmail.com</t>
  </si>
  <si>
    <t>sharpjennifer@yahoo.com</t>
  </si>
  <si>
    <t>shelbyyoung@yahoo.com</t>
  </si>
  <si>
    <t>dmorales@hotmail.com</t>
  </si>
  <si>
    <t>olsenshane@gmail.com</t>
  </si>
  <si>
    <t>williamsmegan@gmail.com</t>
  </si>
  <si>
    <t>stephanietaylor@yahoo.com</t>
  </si>
  <si>
    <t>travis68@gmail.com</t>
  </si>
  <si>
    <t>ssmith@gmail.com</t>
  </si>
  <si>
    <t>ilewis@gmail.com</t>
  </si>
  <si>
    <t>mmoore@hotmail.com</t>
  </si>
  <si>
    <t>santosshannon@yahoo.com</t>
  </si>
  <si>
    <t>jackwilliams@gmail.com</t>
  </si>
  <si>
    <t>marissa39@yahoo.com</t>
  </si>
  <si>
    <t>jay04@gmail.com</t>
  </si>
  <si>
    <t>dcortez@yahoo.com</t>
  </si>
  <si>
    <t>laura31@hotmail.com</t>
  </si>
  <si>
    <t>arroyosarah@yahoo.com</t>
  </si>
  <si>
    <t>richardsondebbie@yahoo.com</t>
  </si>
  <si>
    <t>evansaustin@gmail.com</t>
  </si>
  <si>
    <t>davidfields@hotmail.com</t>
  </si>
  <si>
    <t>rodriguezjenny@yahoo.com</t>
  </si>
  <si>
    <t>sbrown@gmail.com</t>
  </si>
  <si>
    <t>dreynolds@yahoo.com</t>
  </si>
  <si>
    <t>chungnancy@hotmail.com</t>
  </si>
  <si>
    <t>sylvia33@hotmail.com</t>
  </si>
  <si>
    <t>shansen@yahoo.com</t>
  </si>
  <si>
    <t>christopher57@yahoo.com</t>
  </si>
  <si>
    <t>malikfowler@yahoo.com</t>
  </si>
  <si>
    <t>dylan78@yahoo.com</t>
  </si>
  <si>
    <t>marvinhoward@yahoo.com</t>
  </si>
  <si>
    <t>coopersamantha@hotmail.com</t>
  </si>
  <si>
    <t>melissaberry@gmail.com</t>
  </si>
  <si>
    <t>stonebarbara@yahoo.com</t>
  </si>
  <si>
    <t>tracy55@hotmail.com</t>
  </si>
  <si>
    <t>kara13@hotmail.com</t>
  </si>
  <si>
    <t>jenniferbarry@hotmail.com</t>
  </si>
  <si>
    <t>john64@gmail.com</t>
  </si>
  <si>
    <t>johnsondavid@gmail.com</t>
  </si>
  <si>
    <t>hendersonmichael@yahoo.com</t>
  </si>
  <si>
    <t>kevinharvey@yahoo.com</t>
  </si>
  <si>
    <t>portermichael@yahoo.com</t>
  </si>
  <si>
    <t>hendersonbrenda@yahoo.com</t>
  </si>
  <si>
    <t>wellsamy@gmail.com</t>
  </si>
  <si>
    <t>vjames@gmail.com</t>
  </si>
  <si>
    <t>arobinson@gmail.com</t>
  </si>
  <si>
    <t>wallssean@hotmail.com</t>
  </si>
  <si>
    <t>kingdavid@hotmail.com</t>
  </si>
  <si>
    <t>robertsmark@gmail.com</t>
  </si>
  <si>
    <t>ywright@hotmail.com</t>
  </si>
  <si>
    <t>jeffreyglenn@hotmail.com</t>
  </si>
  <si>
    <t>garciadonald@hotmail.com</t>
  </si>
  <si>
    <t>hsmith@hotmail.com</t>
  </si>
  <si>
    <t>samuel61@gmail.com</t>
  </si>
  <si>
    <t>phunter@gmail.com</t>
  </si>
  <si>
    <t>seanbarajas@yahoo.com</t>
  </si>
  <si>
    <t>brandiwilson@gmail.com</t>
  </si>
  <si>
    <t>dsmith@hotmail.com</t>
  </si>
  <si>
    <t>turnerlisa@yahoo.com</t>
  </si>
  <si>
    <t>nmendoza@gmail.com</t>
  </si>
  <si>
    <t>thomasdavid@hotmail.com</t>
  </si>
  <si>
    <t>knightjohn@yahoo.com</t>
  </si>
  <si>
    <t>goodwinbrad@yahoo.com</t>
  </si>
  <si>
    <t>peter93@hotmail.com</t>
  </si>
  <si>
    <t>wlucas@hotmail.com</t>
  </si>
  <si>
    <t>reynoldsanthony@gmail.com</t>
  </si>
  <si>
    <t>woodphillip@yahoo.com</t>
  </si>
  <si>
    <t>samantha78@yahoo.com</t>
  </si>
  <si>
    <t>taylordavis@yahoo.com</t>
  </si>
  <si>
    <t>sarah49@hotmail.com</t>
  </si>
  <si>
    <t>michaeltorres@yahoo.com</t>
  </si>
  <si>
    <t>kaylazamora@gmail.com</t>
  </si>
  <si>
    <t>jennifer85@gmail.com</t>
  </si>
  <si>
    <t>danielle39@hotmail.com</t>
  </si>
  <si>
    <t>peterlove@hotmail.com</t>
  </si>
  <si>
    <t>david68@yahoo.com</t>
  </si>
  <si>
    <t>jgibson@hotmail.com</t>
  </si>
  <si>
    <t>ffuller@hotmail.com</t>
  </si>
  <si>
    <t>davidwolf@gmail.com</t>
  </si>
  <si>
    <t>david16@gmail.com</t>
  </si>
  <si>
    <t>tiffany44@yahoo.com</t>
  </si>
  <si>
    <t>sarah53@gmail.com</t>
  </si>
  <si>
    <t>nharris@gmail.com</t>
  </si>
  <si>
    <t>lisa11@gmail.com</t>
  </si>
  <si>
    <t>samantharamirez@gmail.com</t>
  </si>
  <si>
    <t>ogriffin@gmail.com</t>
  </si>
  <si>
    <t>wjefferson@yahoo.com</t>
  </si>
  <si>
    <t>hkim@yahoo.com</t>
  </si>
  <si>
    <t>xobrien@gmail.com</t>
  </si>
  <si>
    <t>kristinclark@yahoo.com</t>
  </si>
  <si>
    <t>nicolasrich@gmail.com</t>
  </si>
  <si>
    <t>bmarquez@yahoo.com</t>
  </si>
  <si>
    <t>fblankenship@yahoo.com</t>
  </si>
  <si>
    <t>timothy23@hotmail.com</t>
  </si>
  <si>
    <t>wernermichael@gmail.com</t>
  </si>
  <si>
    <t>wrightalicia@yahoo.com</t>
  </si>
  <si>
    <t>jeremycollins@hotmail.com</t>
  </si>
  <si>
    <t>keithharrison@yahoo.com</t>
  </si>
  <si>
    <t>jonescraig@gmail.com</t>
  </si>
  <si>
    <t>ericfrederick@gmail.com</t>
  </si>
  <si>
    <t>masonpatricia@yahoo.com</t>
  </si>
  <si>
    <t>michelleflowers@hotmail.com</t>
  </si>
  <si>
    <t>reevesfernando@hotmail.com</t>
  </si>
  <si>
    <t>steven76@hotmail.com</t>
  </si>
  <si>
    <t>kristin96@yahoo.com</t>
  </si>
  <si>
    <t>lindaclark@hotmail.com</t>
  </si>
  <si>
    <t>xbennett@gmail.com</t>
  </si>
  <si>
    <t>shannongarza@hotmail.com</t>
  </si>
  <si>
    <t>lesterrebecca@yahoo.com</t>
  </si>
  <si>
    <t>stevenperry@gmail.com</t>
  </si>
  <si>
    <t>nathaniel57@yahoo.com</t>
  </si>
  <si>
    <t>ewilliams@gmail.com</t>
  </si>
  <si>
    <t>gaydustin@hotmail.com</t>
  </si>
  <si>
    <t>andrew65@hotmail.com</t>
  </si>
  <si>
    <t>stephensonkatherine@yahoo.com</t>
  </si>
  <si>
    <t>lutzeric@yahoo.com</t>
  </si>
  <si>
    <t>douglas31@hotmail.com</t>
  </si>
  <si>
    <t>mckayjames@hotmail.com</t>
  </si>
  <si>
    <t>veronica30@gmail.com</t>
  </si>
  <si>
    <t>robinsonrose@gmail.com</t>
  </si>
  <si>
    <t>melissa49@hotmail.com</t>
  </si>
  <si>
    <t>alison98@hotmail.com</t>
  </si>
  <si>
    <t>hamiltonjoseph@hotmail.com</t>
  </si>
  <si>
    <t>daniel28@gmail.com</t>
  </si>
  <si>
    <t>saraterry@hotmail.com</t>
  </si>
  <si>
    <t>christopher29@yahoo.com</t>
  </si>
  <si>
    <t>bsullivan@gmail.com</t>
  </si>
  <si>
    <t>parkertommy@yahoo.com</t>
  </si>
  <si>
    <t>john25@gmail.com</t>
  </si>
  <si>
    <t>millerjoan@gmail.com</t>
  </si>
  <si>
    <t>victoriasmith@gmail.com</t>
  </si>
  <si>
    <t>elizabeth10@gmail.com</t>
  </si>
  <si>
    <t>mendezlori@gmail.com</t>
  </si>
  <si>
    <t>adamskelly@hotmail.com</t>
  </si>
  <si>
    <t>eric81@yahoo.com</t>
  </si>
  <si>
    <t>elizabeth77@yahoo.com</t>
  </si>
  <si>
    <t>proman@yahoo.com</t>
  </si>
  <si>
    <t>benjaminbrown@gmail.com</t>
  </si>
  <si>
    <t>campbellmarvin@yahoo.com</t>
  </si>
  <si>
    <t>sharon37@hotmail.com</t>
  </si>
  <si>
    <t>johnsonmelissa@yahoo.com</t>
  </si>
  <si>
    <t>ubowers@yahoo.com</t>
  </si>
  <si>
    <t>susan92@gmail.com</t>
  </si>
  <si>
    <t>eddie23@hotmail.com</t>
  </si>
  <si>
    <t>townsendcrystal@hotmail.com</t>
  </si>
  <si>
    <t>gingram@gmail.com</t>
  </si>
  <si>
    <t>alyssa89@hotmail.com</t>
  </si>
  <si>
    <t>gibsonjennifer@hotmail.com</t>
  </si>
  <si>
    <t>andrew91@yahoo.com</t>
  </si>
  <si>
    <t>sandradavenport@gmail.com</t>
  </si>
  <si>
    <t>elizabethriley@yahoo.com</t>
  </si>
  <si>
    <t>aallen@yahoo.com</t>
  </si>
  <si>
    <t>usmith@hotmail.com</t>
  </si>
  <si>
    <t>amandatran@gmail.com</t>
  </si>
  <si>
    <t>amygonzalez@hotmail.com</t>
  </si>
  <si>
    <t>garciasarah@hotmail.com</t>
  </si>
  <si>
    <t>rebeccaharris@gmail.com</t>
  </si>
  <si>
    <t>joneseric@gmail.com</t>
  </si>
  <si>
    <t>tammy17@yahoo.com</t>
  </si>
  <si>
    <t>olsonchristina@gmail.com</t>
  </si>
  <si>
    <t>amywright@gmail.com</t>
  </si>
  <si>
    <t>martinmatthew@hotmail.com</t>
  </si>
  <si>
    <t>anthony66@gmail.com</t>
  </si>
  <si>
    <t>vayala@hotmail.com</t>
  </si>
  <si>
    <t>dgrant@yahoo.com</t>
  </si>
  <si>
    <t>klopez@yahoo.com</t>
  </si>
  <si>
    <t>montesmichelle@gmail.com</t>
  </si>
  <si>
    <t>watkinsthomas@hotmail.com</t>
  </si>
  <si>
    <t>hartmandanielle@gmail.com</t>
  </si>
  <si>
    <t>brownkevin@gmail.com</t>
  </si>
  <si>
    <t>melissa18@yahoo.com</t>
  </si>
  <si>
    <t>jenniferkane@hotmail.com</t>
  </si>
  <si>
    <t>katrina51@gmail.com</t>
  </si>
  <si>
    <t>larry88@gmail.com</t>
  </si>
  <si>
    <t>rebecca41@yahoo.com</t>
  </si>
  <si>
    <t>barrettjoseph@gmail.com</t>
  </si>
  <si>
    <t>vancebrad@yahoo.com</t>
  </si>
  <si>
    <t>christopherjackson@hotmail.com</t>
  </si>
  <si>
    <t>trobinson@gmail.com</t>
  </si>
  <si>
    <t>veronicasmith@hotmail.com</t>
  </si>
  <si>
    <t>dkelley@yahoo.com</t>
  </si>
  <si>
    <t>max69@yahoo.com</t>
  </si>
  <si>
    <t>mannjonathan@hotmail.com</t>
  </si>
  <si>
    <t>hayley92@hotmail.com</t>
  </si>
  <si>
    <t>halljohn@gmail.com</t>
  </si>
  <si>
    <t>susan90@hotmail.com</t>
  </si>
  <si>
    <t>petersonsergio@gmail.com</t>
  </si>
  <si>
    <t>hgray@hotmail.com</t>
  </si>
  <si>
    <t>paullopez@hotmail.com</t>
  </si>
  <si>
    <t>kingryan@gmail.com</t>
  </si>
  <si>
    <t>james14@gmail.com</t>
  </si>
  <si>
    <t>willismichael@hotmail.com</t>
  </si>
  <si>
    <t>rstuart@gmail.com</t>
  </si>
  <si>
    <t>deannacruz@hotmail.com</t>
  </si>
  <si>
    <t>alexa14@hotmail.com</t>
  </si>
  <si>
    <t>allenjustin@gmail.com</t>
  </si>
  <si>
    <t>courtneymadden@gmail.com</t>
  </si>
  <si>
    <t>zking@yahoo.com</t>
  </si>
  <si>
    <t>cody79@gmail.com</t>
  </si>
  <si>
    <t>amandasnyder@yahoo.com</t>
  </si>
  <si>
    <t>jessedelacruz@gmail.com</t>
  </si>
  <si>
    <t>ohiggins@hotmail.com</t>
  </si>
  <si>
    <t>rmartinez@hotmail.com</t>
  </si>
  <si>
    <t>cheryldavis@yahoo.com</t>
  </si>
  <si>
    <t>bradleybarker@hotmail.com</t>
  </si>
  <si>
    <t>nmontoya@yahoo.com</t>
  </si>
  <si>
    <t>aaron55@yahoo.com</t>
  </si>
  <si>
    <t>contrerasjames@gmail.com</t>
  </si>
  <si>
    <t>jamesphillips@gmail.com</t>
  </si>
  <si>
    <t>michaelsherman@yahoo.com</t>
  </si>
  <si>
    <t>thomassmith@yahoo.com</t>
  </si>
  <si>
    <t>millereric@gmail.com</t>
  </si>
  <si>
    <t>josephmeyer@hotmail.com</t>
  </si>
  <si>
    <t>olivia29@hotmail.com</t>
  </si>
  <si>
    <t>qramirez@hotmail.com</t>
  </si>
  <si>
    <t>richardbennett@hotmail.com</t>
  </si>
  <si>
    <t>rachelhall@hotmail.com</t>
  </si>
  <si>
    <t>brianwhite@gmail.com</t>
  </si>
  <si>
    <t>allenandrea@yahoo.com</t>
  </si>
  <si>
    <t>mariawilliams@yahoo.com</t>
  </si>
  <si>
    <t>holmescolleen@gmail.com</t>
  </si>
  <si>
    <t>steven45@gmail.com</t>
  </si>
  <si>
    <t>royjennifer@gmail.com</t>
  </si>
  <si>
    <t>millerjames@gmail.com</t>
  </si>
  <si>
    <t>ballvanessa@yahoo.com</t>
  </si>
  <si>
    <t>karen42@gmail.com</t>
  </si>
  <si>
    <t>hmitchell@gmail.com</t>
  </si>
  <si>
    <t>edwardstaylor@hotmail.com</t>
  </si>
  <si>
    <t>nina65@hotmail.com</t>
  </si>
  <si>
    <t>richardhart@gmail.com</t>
  </si>
  <si>
    <t>mike05@yahoo.com</t>
  </si>
  <si>
    <t>weberbrian@gmail.com</t>
  </si>
  <si>
    <t>kristin09@hotmail.com</t>
  </si>
  <si>
    <t>hebertmichelle@yahoo.com</t>
  </si>
  <si>
    <t>greenjessica@hotmail.com</t>
  </si>
  <si>
    <t>zacharygray@gmail.com</t>
  </si>
  <si>
    <t>thomasricardo@hotmail.com</t>
  </si>
  <si>
    <t>rickey20@gmail.com</t>
  </si>
  <si>
    <t>tlewis@yahoo.com</t>
  </si>
  <si>
    <t>wmoore@yahoo.com</t>
  </si>
  <si>
    <t>jenniferwood@hotmail.com</t>
  </si>
  <si>
    <t>barnettterry@yahoo.com</t>
  </si>
  <si>
    <t>ingramjessica@yahoo.com</t>
  </si>
  <si>
    <t>martin27@hotmail.com</t>
  </si>
  <si>
    <t>kaiserkelly@gmail.com</t>
  </si>
  <si>
    <t>brenda16@hotmail.com</t>
  </si>
  <si>
    <t>ufox@gmail.com</t>
  </si>
  <si>
    <t>mccoyjames@gmail.com</t>
  </si>
  <si>
    <t>ubond@gmail.com</t>
  </si>
  <si>
    <t>victoria17@hotmail.com</t>
  </si>
  <si>
    <t>Microsoft Office</t>
  </si>
  <si>
    <t>Samsung Galaxy</t>
  </si>
  <si>
    <t>Sony PlayStation</t>
  </si>
  <si>
    <t>Microsoft Surface</t>
  </si>
  <si>
    <t>Xbox Controller</t>
  </si>
  <si>
    <t>Amazon Kindle</t>
  </si>
  <si>
    <t>Autodesk AutoCAD</t>
  </si>
  <si>
    <t>Nintendo Switch</t>
  </si>
  <si>
    <t>GoPro Hero</t>
  </si>
  <si>
    <t>Dell XPS</t>
  </si>
  <si>
    <t>Philips Hue Lights</t>
  </si>
  <si>
    <t>Dyson Vacuum Cleaner</t>
  </si>
  <si>
    <t>Apple iPhone</t>
  </si>
  <si>
    <t>Lenovo ThinkPad</t>
  </si>
  <si>
    <t>Fitbit Versa</t>
  </si>
  <si>
    <t>LG Smart TV</t>
  </si>
  <si>
    <t>HP Pavilion</t>
  </si>
  <si>
    <t>Canon EOS</t>
  </si>
  <si>
    <t>Adobe Photoshop</t>
  </si>
  <si>
    <t>Cancellation request</t>
  </si>
  <si>
    <t>Product inquiry</t>
  </si>
  <si>
    <t>Refund request</t>
  </si>
  <si>
    <t>Technical issue</t>
  </si>
  <si>
    <t>Billing inquiry</t>
  </si>
  <si>
    <t>Peripheral compatibility</t>
  </si>
  <si>
    <t>Installation support</t>
  </si>
  <si>
    <t>Account access</t>
  </si>
  <si>
    <t>Warranty claim</t>
  </si>
  <si>
    <t>Payment issue</t>
  </si>
  <si>
    <t>Product recommendation</t>
  </si>
  <si>
    <t>Software bug</t>
  </si>
  <si>
    <t>Product setup</t>
  </si>
  <si>
    <t>Battery life</t>
  </si>
  <si>
    <t>Data loss</t>
  </si>
  <si>
    <t>Hardware issue</t>
  </si>
  <si>
    <t>Network problem</t>
  </si>
  <si>
    <t>Display issue</t>
  </si>
  <si>
    <t>Delivery problem</t>
  </si>
  <si>
    <t>Open</t>
  </si>
  <si>
    <t>Closed</t>
  </si>
  <si>
    <t>Resolved</t>
  </si>
  <si>
    <t>Pending Customer Response</t>
  </si>
  <si>
    <t>High</t>
  </si>
  <si>
    <t>Critical</t>
  </si>
  <si>
    <t>Medium</t>
  </si>
  <si>
    <t>Low</t>
  </si>
  <si>
    <t>Email</t>
  </si>
  <si>
    <t>Chat</t>
  </si>
  <si>
    <t>Social media</t>
  </si>
  <si>
    <t>Phone</t>
  </si>
  <si>
    <t>SLA_Target_Hours</t>
  </si>
  <si>
    <t>SLA_Met</t>
  </si>
  <si>
    <t>Row Labels</t>
  </si>
  <si>
    <t>Grand Total</t>
  </si>
  <si>
    <t>Jan</t>
  </si>
  <si>
    <t>Feb</t>
  </si>
  <si>
    <t>Mar</t>
  </si>
  <si>
    <t>Apr</t>
  </si>
  <si>
    <t>May</t>
  </si>
  <si>
    <t>Jun</t>
  </si>
  <si>
    <t>Jul</t>
  </si>
  <si>
    <t>Aug</t>
  </si>
  <si>
    <t>Sep</t>
  </si>
  <si>
    <t>Oct</t>
  </si>
  <si>
    <t>Nov</t>
  </si>
  <si>
    <t>Dec</t>
  </si>
  <si>
    <t>Count of Ticket ID</t>
  </si>
  <si>
    <t>No</t>
  </si>
  <si>
    <t>Yes</t>
  </si>
  <si>
    <t>Average of Resolution Duration Hours</t>
  </si>
  <si>
    <t>sla ticket dashbaord</t>
  </si>
  <si>
    <t>Ticket Trend (by Month)</t>
  </si>
  <si>
    <t>SLA PERFOTMANCE TRACKER</t>
  </si>
  <si>
    <t>Count of Ticket Status</t>
  </si>
  <si>
    <t>kpis</t>
  </si>
  <si>
    <t>Count of SLA_Met</t>
  </si>
  <si>
    <t>SLA</t>
  </si>
  <si>
    <t>total_ticktes]</t>
  </si>
  <si>
    <t xml:space="preserve">SlA BREACH 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</si>
</sst>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font>
      <sz val="11"/>
      <color theme="1"/>
      <name val="Calibri"/>
      <family val="2"/>
      <scheme val="minor"/>
    </font>
    <font>
      <sz val="10"/>
      <color theme="1"/>
      <name val="Arial Unicode MS"/>
    </font>
    <font>
      <b/>
      <sz val="11"/>
      <color theme="1"/>
      <name val="Calibri"/>
      <family val="2"/>
      <scheme val="minor"/>
    </font>
    <font>
      <b/>
      <sz val="22"/>
      <color theme="0"/>
      <name val="Calibri"/>
      <family val="2"/>
      <scheme val="minor"/>
    </font>
    <font>
      <sz val="20"/>
      <color theme="0"/>
      <name val="Calibri"/>
      <family val="2"/>
      <scheme val="minor"/>
    </font>
    <font>
      <b/>
      <sz val="20"/>
      <color theme="0"/>
      <name val="Calibri"/>
      <family val="2"/>
      <scheme val="minor"/>
    </font>
  </fonts>
  <fills count="5">
    <fill>
      <patternFill patternType="none"/>
    </fill>
    <fill>
      <patternFill patternType="gray125"/>
    </fill>
    <fill>
      <patternFill patternType="solid">
        <fgColor theme="4" tint="-0.249977111117893"/>
        <bgColor indexed="64"/>
      </patternFill>
    </fill>
    <fill>
      <patternFill patternType="solid">
        <fgColor theme="4" tint="-0.499984740745262"/>
        <bgColor indexed="64"/>
      </patternFill>
    </fill>
    <fill>
      <patternFill patternType="solid">
        <fgColor theme="4" tint="0.5999938962981048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indexed="64"/>
      </left>
      <right/>
      <top/>
      <bottom/>
      <diagonal/>
    </border>
    <border>
      <left/>
      <right style="thin">
        <color indexed="64"/>
      </right>
      <top/>
      <bottom/>
      <diagonal/>
    </border>
    <border>
      <left/>
      <right/>
      <top/>
      <bottom style="thin">
        <color indexed="64"/>
      </bottom>
      <diagonal/>
    </border>
  </borders>
  <cellStyleXfs count="1">
    <xf numFmtId="0" fontId="0" fillId="0" borderId="0"/>
  </cellStyleXfs>
  <cellXfs count="24">
    <xf numFmtId="0" fontId="0" fillId="0" borderId="0" xfId="0"/>
    <xf numFmtId="14" fontId="0" fillId="0" borderId="0" xfId="0" applyNumberFormat="1"/>
    <xf numFmtId="22" fontId="0" fillId="0" borderId="0" xfId="0" applyNumberFormat="1"/>
    <xf numFmtId="0" fontId="1" fillId="0" borderId="0" xfId="0" applyFont="1"/>
    <xf numFmtId="0" fontId="0" fillId="0" borderId="0" xfId="0" pivotButton="1"/>
    <xf numFmtId="0" fontId="0" fillId="0" borderId="0" xfId="0" applyAlignment="1">
      <alignment horizontal="left"/>
    </xf>
    <xf numFmtId="0" fontId="0" fillId="0" borderId="1" xfId="0" pivotButton="1" applyBorder="1"/>
    <xf numFmtId="0" fontId="0" fillId="0" borderId="1" xfId="0" applyBorder="1"/>
    <xf numFmtId="2" fontId="0" fillId="0" borderId="1" xfId="0" applyNumberFormat="1" applyBorder="1"/>
    <xf numFmtId="0" fontId="0" fillId="0" borderId="0" xfId="0" applyAlignment="1">
      <alignment horizontal="center"/>
    </xf>
    <xf numFmtId="0" fontId="0" fillId="0" borderId="4" xfId="0" applyBorder="1" applyAlignment="1">
      <alignment horizontal="center"/>
    </xf>
    <xf numFmtId="0" fontId="0" fillId="3" borderId="0" xfId="0" applyFill="1"/>
    <xf numFmtId="0" fontId="0" fillId="3" borderId="3" xfId="0" applyFill="1" applyBorder="1" applyAlignment="1">
      <alignment horizontal="center"/>
    </xf>
    <xf numFmtId="0" fontId="0" fillId="0" borderId="0" xfId="0" applyNumberFormat="1"/>
    <xf numFmtId="0" fontId="0" fillId="0" borderId="1" xfId="0" applyNumberFormat="1" applyBorder="1"/>
    <xf numFmtId="0" fontId="0" fillId="0" borderId="1" xfId="0" applyBorder="1" applyAlignment="1">
      <alignment horizontal="left"/>
    </xf>
    <xf numFmtId="0" fontId="3" fillId="2" borderId="2" xfId="0" applyFont="1" applyFill="1" applyBorder="1" applyAlignment="1">
      <alignment horizontal="center" vertical="center"/>
    </xf>
    <xf numFmtId="0" fontId="3" fillId="2" borderId="0" xfId="0" applyFont="1" applyFill="1" applyBorder="1" applyAlignment="1">
      <alignment horizontal="center" vertical="center"/>
    </xf>
    <xf numFmtId="0" fontId="0" fillId="3" borderId="0" xfId="0" applyFill="1" applyBorder="1" applyAlignment="1"/>
    <xf numFmtId="0" fontId="0" fillId="3" borderId="0" xfId="0" applyFill="1" applyBorder="1"/>
    <xf numFmtId="0" fontId="4" fillId="2" borderId="0" xfId="0" applyFont="1" applyFill="1" applyBorder="1" applyAlignment="1">
      <alignment horizontal="center"/>
    </xf>
    <xf numFmtId="0" fontId="0" fillId="0" borderId="1" xfId="0" applyFill="1" applyBorder="1" applyAlignment="1">
      <alignment horizontal="left"/>
    </xf>
    <xf numFmtId="0" fontId="5" fillId="2" borderId="0" xfId="0" applyFont="1" applyFill="1" applyBorder="1" applyAlignment="1">
      <alignment horizontal="center"/>
    </xf>
    <xf numFmtId="0" fontId="2" fillId="4" borderId="0" xfId="0" applyFont="1" applyFill="1"/>
  </cellXfs>
  <cellStyles count="1">
    <cellStyle name="Normal" xfId="0" builtinId="0"/>
  </cellStyles>
  <dxfs count="170">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font>
        <color theme="4" tint="-0.24994659260841701"/>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numFmt numFmtId="0" formatCode="General"/>
    </dxf>
    <dxf>
      <numFmt numFmtId="0" formatCode="General"/>
    </dxf>
    <dxf>
      <numFmt numFmtId="27" formatCode="dd/mm/yyyy\ hh:mm"/>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s>
  <tableStyles count="1" defaultTableStyle="TableStyleMedium9" defaultPivotStyle="PivotStyleLight16">
    <tableStyle name="Slicer Style 1" pivot="0" table="0" count="1" xr9:uid="{D86E2573-E1F1-4CCD-A994-E6DDAC8E8098}">
      <tableStyleElement type="wholeTable" dxfId="1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[support_tickets_working.xlsm]Pivot_tables!PivotTable1</c:name>
    <c:fmtId val="4"/>
  </c:pivotSource>
  <c:chart>
    <c:title>
      <c:tx>
        <c:rich>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r>
              <a:rPr lang="en-IN" sz="1400" b="1" i="0" u="none" strike="noStrike" baseline="0">
                <a:solidFill>
                  <a:schemeClr val="bg1">
                    <a:lumMod val="95000"/>
                  </a:schemeClr>
                </a:solidFill>
              </a:rPr>
              <a:t>Tickets Over Time</a:t>
            </a:r>
            <a:endParaRPr lang="en-US" sz="1400" b="1">
              <a:solidFill>
                <a:schemeClr val="bg1">
                  <a:lumMod val="9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Pivot_tables!$B$3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Pivot_tables!$B$4:$B$16</c:f>
              <c:numCache>
                <c:formatCode>General</c:formatCode>
                <c:ptCount val="12"/>
                <c:pt idx="0">
                  <c:v>163</c:v>
                </c:pt>
                <c:pt idx="1">
                  <c:v>137</c:v>
                </c:pt>
                <c:pt idx="2">
                  <c:v>169</c:v>
                </c:pt>
                <c:pt idx="3">
                  <c:v>144</c:v>
                </c:pt>
                <c:pt idx="4">
                  <c:v>177</c:v>
                </c:pt>
                <c:pt idx="5">
                  <c:v>183</c:v>
                </c:pt>
                <c:pt idx="6">
                  <c:v>198</c:v>
                </c:pt>
                <c:pt idx="7">
                  <c:v>158</c:v>
                </c:pt>
                <c:pt idx="8">
                  <c:v>174</c:v>
                </c:pt>
                <c:pt idx="9">
                  <c:v>171</c:v>
                </c:pt>
                <c:pt idx="10">
                  <c:v>149</c:v>
                </c:pt>
                <c:pt idx="11">
                  <c:v>177</c:v>
                </c:pt>
              </c:numCache>
            </c:numRef>
          </c:val>
          <c:smooth val="0"/>
          <c:extLst>
            <c:ext xmlns:c16="http://schemas.microsoft.com/office/drawing/2014/chart" uri="{C3380CC4-5D6E-409C-BE32-E72D297353CC}">
              <c16:uniqueId val="{00000000-D6DC-4F9C-8676-043D8780F7A2}"/>
            </c:ext>
          </c:extLst>
        </c:ser>
        <c:dLbls>
          <c:dLblPos val="t"/>
          <c:showLegendKey val="0"/>
          <c:showVal val="1"/>
          <c:showCatName val="0"/>
          <c:showSerName val="0"/>
          <c:showPercent val="0"/>
          <c:showBubbleSize val="0"/>
        </c:dLbls>
        <c:marker val="1"/>
        <c:smooth val="0"/>
        <c:axId val="941959663"/>
        <c:axId val="941978383"/>
      </c:lineChart>
      <c:catAx>
        <c:axId val="941959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41978383"/>
        <c:crosses val="autoZero"/>
        <c:auto val="1"/>
        <c:lblAlgn val="ctr"/>
        <c:lblOffset val="100"/>
        <c:noMultiLvlLbl val="0"/>
      </c:catAx>
      <c:valAx>
        <c:axId val="941978383"/>
        <c:scaling>
          <c:orientation val="minMax"/>
        </c:scaling>
        <c:delete val="0"/>
        <c:axPos val="l"/>
        <c:majorGridlines>
          <c:spPr>
            <a:ln w="9525" cap="flat" cmpd="sng" algn="ctr">
              <a:solidFill>
                <a:schemeClr val="accent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419596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7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[support_tickets_working.xlsm]Pivot_tables!PivotTable5</c:name>
    <c:fmtId val="11"/>
  </c:pivotSource>
  <c:chart>
    <c:title>
      <c:tx>
        <c:rich>
          <a:bodyPr rot="0" spcFirstLastPara="1" vertOverflow="ellipsis" vert="horz" wrap="square" anchor="ctr" anchorCtr="1"/>
          <a:lstStyle/>
          <a:p>
            <a:pPr>
              <a:defRPr lang="en-US" sz="1200" b="1" i="0" u="none" strike="noStrike" kern="1200" cap="all" spc="50" baseline="0">
                <a:solidFill>
                  <a:schemeClr val="bg1"/>
                </a:solidFill>
                <a:latin typeface="+mn-lt"/>
                <a:ea typeface="+mn-ea"/>
                <a:cs typeface="+mn-cs"/>
              </a:defRPr>
            </a:pPr>
            <a:r>
              <a:rPr lang="en-US" b="1">
                <a:solidFill>
                  <a:schemeClr val="bg1"/>
                </a:solidFill>
              </a:rPr>
              <a:t>CHANNEL </a:t>
            </a:r>
          </a:p>
          <a:p>
            <a:pPr>
              <a:defRPr b="1">
                <a:solidFill>
                  <a:schemeClr val="bg1"/>
                </a:solidFill>
              </a:defRPr>
            </a:pPr>
            <a:r>
              <a:rPr lang="en-US" b="1">
                <a:solidFill>
                  <a:schemeClr val="bg1"/>
                </a:solidFill>
              </a:rPr>
              <a:t>DISTRIBUTION</a:t>
            </a:r>
          </a:p>
        </c:rich>
      </c:tx>
      <c:layout>
        <c:manualLayout>
          <c:xMode val="edge"/>
          <c:yMode val="edge"/>
          <c:x val="0.30466118519514002"/>
          <c:y val="0.15812787697515543"/>
        </c:manualLayout>
      </c:layout>
      <c:overlay val="0"/>
      <c:spPr>
        <a:noFill/>
        <a:ln>
          <a:noFill/>
        </a:ln>
        <a:effectLst/>
      </c:spPr>
      <c:txPr>
        <a:bodyPr rot="0" spcFirstLastPara="1" vertOverflow="ellipsis" vert="horz" wrap="square" anchor="ctr" anchorCtr="1"/>
        <a:lstStyle/>
        <a:p>
          <a:pPr>
            <a:defRPr lang="en-US" sz="1200" b="1" i="0" u="none" strike="noStrike" kern="1200" cap="all" spc="5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anchor="ctr" anchorCtr="1"/>
            <a:lstStyle/>
            <a:p>
              <a:pPr>
                <a:defRPr lang="en-US" sz="105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Pivot_tables!$B$19</c:f>
              <c:strCache>
                <c:ptCount val="1"/>
                <c:pt idx="0">
                  <c:v>Total</c:v>
                </c:pt>
              </c:strCache>
            </c:strRef>
          </c:tx>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anchor="ctr" anchorCtr="1"/>
              <a:lstStyle/>
              <a:p>
                <a:pPr>
                  <a:defRPr lang="en-US" sz="105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Pivot_tables!$A$20:$A$24</c:f>
              <c:strCache>
                <c:ptCount val="4"/>
                <c:pt idx="0">
                  <c:v>Chat</c:v>
                </c:pt>
                <c:pt idx="1">
                  <c:v>Email</c:v>
                </c:pt>
                <c:pt idx="2">
                  <c:v>Phone</c:v>
                </c:pt>
                <c:pt idx="3">
                  <c:v>Social media</c:v>
                </c:pt>
              </c:strCache>
            </c:strRef>
          </c:cat>
          <c:val>
            <c:numRef>
              <c:f>Pivot_tables!$B$20:$B$24</c:f>
              <c:numCache>
                <c:formatCode>General</c:formatCode>
                <c:ptCount val="4"/>
                <c:pt idx="0">
                  <c:v>887</c:v>
                </c:pt>
                <c:pt idx="1">
                  <c:v>304</c:v>
                </c:pt>
                <c:pt idx="2">
                  <c:v>512</c:v>
                </c:pt>
                <c:pt idx="3">
                  <c:v>297</c:v>
                </c:pt>
              </c:numCache>
            </c:numRef>
          </c:val>
          <c:extLst>
            <c:ext xmlns:c16="http://schemas.microsoft.com/office/drawing/2014/chart" uri="{C3380CC4-5D6E-409C-BE32-E72D297353CC}">
              <c16:uniqueId val="{00000009-0B02-4B68-BA43-AA7EA5C9DC2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0791341636988936"/>
          <c:y val="0.40551588804029726"/>
          <c:w val="0.26881272792801597"/>
          <c:h val="0.27882247607732252"/>
        </c:manualLayout>
      </c:layout>
      <c:overlay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75000"/>
      </a:schemeClr>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[support_tickets_working.xlsm]Pivot_tables!PivotTable7</c:name>
    <c:fmtId val="18"/>
  </c:pivotSource>
  <c:chart>
    <c:title>
      <c:tx>
        <c:rich>
          <a:bodyPr rot="0" spcFirstLastPara="1" vertOverflow="ellipsis" vert="horz" wrap="square" anchor="ctr" anchorCtr="1"/>
          <a:lstStyle/>
          <a:p>
            <a:pPr>
              <a:defRPr lang="en-US" sz="1400" b="1" i="0" u="none" strike="noStrike" kern="1200" spc="0" baseline="0">
                <a:solidFill>
                  <a:schemeClr val="bg1"/>
                </a:solidFill>
                <a:latin typeface="+mn-lt"/>
                <a:ea typeface="+mn-ea"/>
                <a:cs typeface="+mn-cs"/>
              </a:defRPr>
            </a:pPr>
            <a:r>
              <a:rPr lang="en-IN" sz="1400" b="1">
                <a:solidFill>
                  <a:schemeClr val="bg1"/>
                </a:solidFill>
              </a:rPr>
              <a:t>Products with Most Tickets </a:t>
            </a:r>
            <a:endParaRPr lang="en-US" sz="1400" b="1">
              <a:solidFill>
                <a:schemeClr val="bg1"/>
              </a:solidFill>
            </a:endParaRPr>
          </a:p>
        </c:rich>
      </c:tx>
      <c:layout>
        <c:manualLayout>
          <c:xMode val="edge"/>
          <c:yMode val="edge"/>
          <c:x val="0.15433837522886959"/>
          <c:y val="3.4906933168732814E-2"/>
        </c:manualLayout>
      </c:layout>
      <c:overlay val="0"/>
      <c:spPr>
        <a:noFill/>
        <a:ln>
          <a:noFill/>
        </a:ln>
        <a:effectLst/>
      </c:spPr>
      <c:txPr>
        <a:bodyPr rot="0" spcFirstLastPara="1" vertOverflow="ellipsis" vert="horz" wrap="square" anchor="ctr" anchorCtr="1"/>
        <a:lstStyle/>
        <a:p>
          <a:pPr>
            <a:defRPr lang="en-US"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lang="en-US"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Pivot_tables!$F$23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lang="en-US"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Pivot_tables!$E$24:$E$35</c:f>
              <c:strCache>
                <c:ptCount val="11"/>
                <c:pt idx="0">
                  <c:v>Amazon Kindle</c:v>
                </c:pt>
                <c:pt idx="1">
                  <c:v>Apple iPhone</c:v>
                </c:pt>
                <c:pt idx="2">
                  <c:v>Autodesk AutoCAD</c:v>
                </c:pt>
                <c:pt idx="3">
                  <c:v>Canon EOS</c:v>
                </c:pt>
                <c:pt idx="4">
                  <c:v>Dell XPS</c:v>
                </c:pt>
                <c:pt idx="5">
                  <c:v>HP Pavilion</c:v>
                </c:pt>
                <c:pt idx="6">
                  <c:v>Lenovo ThinkPad</c:v>
                </c:pt>
                <c:pt idx="7">
                  <c:v>Microsoft Surface</c:v>
                </c:pt>
                <c:pt idx="8">
                  <c:v>Nintendo Switch</c:v>
                </c:pt>
                <c:pt idx="9">
                  <c:v>Samsung Galaxy</c:v>
                </c:pt>
                <c:pt idx="10">
                  <c:v>Xbox Controller</c:v>
                </c:pt>
              </c:strCache>
            </c:strRef>
          </c:cat>
          <c:val>
            <c:numRef>
              <c:f>Pivot_tables!$F$24:$F$35</c:f>
              <c:numCache>
                <c:formatCode>General</c:formatCode>
                <c:ptCount val="11"/>
                <c:pt idx="0">
                  <c:v>107</c:v>
                </c:pt>
                <c:pt idx="1">
                  <c:v>108</c:v>
                </c:pt>
                <c:pt idx="2">
                  <c:v>116</c:v>
                </c:pt>
                <c:pt idx="3">
                  <c:v>120</c:v>
                </c:pt>
                <c:pt idx="4">
                  <c:v>114</c:v>
                </c:pt>
                <c:pt idx="5">
                  <c:v>107</c:v>
                </c:pt>
                <c:pt idx="6">
                  <c:v>117</c:v>
                </c:pt>
                <c:pt idx="7">
                  <c:v>127</c:v>
                </c:pt>
                <c:pt idx="8">
                  <c:v>117</c:v>
                </c:pt>
                <c:pt idx="9">
                  <c:v>111</c:v>
                </c:pt>
                <c:pt idx="10">
                  <c:v>109</c:v>
                </c:pt>
              </c:numCache>
            </c:numRef>
          </c:val>
          <c:extLst>
            <c:ext xmlns:c16="http://schemas.microsoft.com/office/drawing/2014/chart" uri="{C3380CC4-5D6E-409C-BE32-E72D297353CC}">
              <c16:uniqueId val="{00000001-5A6E-436C-93C6-8A0E14B695ED}"/>
            </c:ext>
          </c:extLst>
        </c:ser>
        <c:dLbls>
          <c:dLblPos val="outEnd"/>
          <c:showLegendKey val="0"/>
          <c:showVal val="1"/>
          <c:showCatName val="0"/>
          <c:showSerName val="0"/>
          <c:showPercent val="0"/>
          <c:showBubbleSize val="0"/>
        </c:dLbls>
        <c:gapWidth val="182"/>
        <c:axId val="404693359"/>
        <c:axId val="404693839"/>
      </c:barChart>
      <c:catAx>
        <c:axId val="40469335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crossAx val="404693839"/>
        <c:crosses val="autoZero"/>
        <c:auto val="1"/>
        <c:lblAlgn val="ctr"/>
        <c:lblOffset val="100"/>
        <c:noMultiLvlLbl val="0"/>
      </c:catAx>
      <c:valAx>
        <c:axId val="40469383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050" b="1" i="0" u="none" strike="noStrike" kern="1200" baseline="0">
                <a:solidFill>
                  <a:schemeClr val="bg1"/>
                </a:solidFill>
                <a:latin typeface="+mn-lt"/>
                <a:ea typeface="+mn-ea"/>
                <a:cs typeface="+mn-cs"/>
              </a:defRPr>
            </a:pPr>
            <a:endParaRPr lang="en-US"/>
          </a:p>
        </c:txPr>
        <c:crossAx val="404693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75000"/>
      </a:schemeClr>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[support_tickets_working.xlsm]Pivot_tables!PivotTable10</c:name>
    <c:fmtId val="12"/>
  </c:pivotSource>
  <c:chart>
    <c:title>
      <c:tx>
        <c:rich>
          <a:bodyPr rot="0" spcFirstLastPara="1" vertOverflow="ellipsis" vert="horz" wrap="square" anchor="ctr" anchorCtr="1"/>
          <a:lstStyle/>
          <a:p>
            <a:pPr>
              <a:defRPr lang="en-US" sz="1200" b="1" i="0" u="none" strike="noStrike" kern="1200" spc="0" baseline="0">
                <a:solidFill>
                  <a:schemeClr val="bg1"/>
                </a:solidFill>
                <a:latin typeface="+mn-lt"/>
                <a:ea typeface="+mn-ea"/>
                <a:cs typeface="+mn-cs"/>
              </a:defRPr>
            </a:pPr>
            <a:r>
              <a:rPr lang="en-IN" b="1">
                <a:solidFill>
                  <a:schemeClr val="bg1"/>
                </a:solidFill>
              </a:rPr>
              <a:t>Avg Resolution Time by Priority</a:t>
            </a:r>
            <a:endParaRPr lang="en-US" b="1">
              <a:solidFill>
                <a:schemeClr val="bg1"/>
              </a:solidFill>
            </a:endParaRPr>
          </a:p>
        </c:rich>
      </c:tx>
      <c:layout>
        <c:manualLayout>
          <c:xMode val="edge"/>
          <c:yMode val="edge"/>
          <c:x val="0.23488054880801096"/>
          <c:y val="5.7252251534594088E-2"/>
        </c:manualLayout>
      </c:layout>
      <c:overlay val="0"/>
      <c:spPr>
        <a:noFill/>
        <a:ln>
          <a:noFill/>
        </a:ln>
        <a:effectLst/>
      </c:spPr>
      <c:txPr>
        <a:bodyPr rot="0" spcFirstLastPara="1" vertOverflow="ellipsis" vert="horz" wrap="square" anchor="ctr" anchorCtr="1"/>
        <a:lstStyle/>
        <a:p>
          <a:pPr>
            <a:defRPr lang="en-US" sz="12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Pivot_tables!$F$4</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Pivot_tables!$E$5:$E$9</c:f>
              <c:strCache>
                <c:ptCount val="4"/>
                <c:pt idx="0">
                  <c:v>Critical</c:v>
                </c:pt>
                <c:pt idx="1">
                  <c:v>High</c:v>
                </c:pt>
                <c:pt idx="2">
                  <c:v>Low</c:v>
                </c:pt>
                <c:pt idx="3">
                  <c:v>Medium</c:v>
                </c:pt>
              </c:strCache>
            </c:strRef>
          </c:cat>
          <c:val>
            <c:numRef>
              <c:f>Pivot_tables!$F$5:$F$9</c:f>
              <c:numCache>
                <c:formatCode>0.00</c:formatCode>
                <c:ptCount val="4"/>
                <c:pt idx="0">
                  <c:v>15.936</c:v>
                </c:pt>
                <c:pt idx="1">
                  <c:v>39.540983606557376</c:v>
                </c:pt>
                <c:pt idx="2">
                  <c:v>168.06575342465754</c:v>
                </c:pt>
                <c:pt idx="3">
                  <c:v>89.283697047496787</c:v>
                </c:pt>
              </c:numCache>
            </c:numRef>
          </c:val>
          <c:extLst>
            <c:ext xmlns:c16="http://schemas.microsoft.com/office/drawing/2014/chart" uri="{C3380CC4-5D6E-409C-BE32-E72D297353CC}">
              <c16:uniqueId val="{00000000-E893-4CFB-8A81-51036E6C0E83}"/>
            </c:ext>
          </c:extLst>
        </c:ser>
        <c:dLbls>
          <c:dLblPos val="outEnd"/>
          <c:showLegendKey val="0"/>
          <c:showVal val="1"/>
          <c:showCatName val="0"/>
          <c:showSerName val="0"/>
          <c:showPercent val="0"/>
          <c:showBubbleSize val="0"/>
        </c:dLbls>
        <c:gapWidth val="182"/>
        <c:axId val="415502975"/>
        <c:axId val="415519775"/>
      </c:barChart>
      <c:catAx>
        <c:axId val="41550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crossAx val="415519775"/>
        <c:crosses val="autoZero"/>
        <c:auto val="1"/>
        <c:lblAlgn val="ctr"/>
        <c:lblOffset val="100"/>
        <c:noMultiLvlLbl val="0"/>
      </c:catAx>
      <c:valAx>
        <c:axId val="4155197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crossAx val="41550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75000"/>
      </a:schemeClr>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[support_tickets_working.xlsm]Pivot_tables!PivotTable12</c:name>
    <c:fmtId val="16"/>
  </c:pivotSource>
  <c:chart>
    <c:title>
      <c:tx>
        <c:rich>
          <a:bodyPr rot="0" spcFirstLastPara="1" vertOverflow="ellipsis" vert="horz" wrap="square" anchor="ctr" anchorCtr="1"/>
          <a:lstStyle/>
          <a:p>
            <a:pPr>
              <a:defRPr lang="en-IN" sz="1100" b="1" i="0" u="none" strike="noStrike" kern="1200" spc="0" baseline="0">
                <a:solidFill>
                  <a:schemeClr val="bg1"/>
                </a:solidFill>
                <a:latin typeface="+mn-lt"/>
                <a:ea typeface="+mn-ea"/>
                <a:cs typeface="+mn-cs"/>
              </a:defRPr>
            </a:pPr>
            <a:r>
              <a:rPr lang="en-IN" sz="1100" b="1" i="0" u="none" strike="noStrike" kern="1200" baseline="0">
                <a:solidFill>
                  <a:schemeClr val="bg1"/>
                </a:solidFill>
                <a:latin typeface="+mn-lt"/>
                <a:ea typeface="+mn-ea"/>
                <a:cs typeface="+mn-cs"/>
              </a:rPr>
              <a:t>Ticket Status Breakdown</a:t>
            </a:r>
          </a:p>
        </c:rich>
      </c:tx>
      <c:layout>
        <c:manualLayout>
          <c:xMode val="edge"/>
          <c:yMode val="edge"/>
          <c:x val="0.12830219180665758"/>
          <c:y val="5.5214710590138015E-2"/>
        </c:manualLayout>
      </c:layout>
      <c:overlay val="0"/>
      <c:spPr>
        <a:noFill/>
        <a:ln>
          <a:noFill/>
        </a:ln>
        <a:effectLst/>
      </c:spPr>
      <c:txPr>
        <a:bodyPr rot="0" spcFirstLastPara="1" vertOverflow="ellipsis" vert="horz" wrap="square" anchor="ctr" anchorCtr="1"/>
        <a:lstStyle/>
        <a:p>
          <a:pPr>
            <a:defRPr lang="en-IN" sz="11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tx2">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solidFill>
          <a:ln w="19050">
            <a:solidFill>
              <a:schemeClr val="tx2">
                <a:lumMod val="60000"/>
                <a:lumOff val="40000"/>
              </a:schemeClr>
            </a:solidFill>
          </a:ln>
          <a:effectLst/>
        </c:spPr>
      </c:pivotFmt>
      <c:pivotFmt>
        <c:idx val="8"/>
        <c:spPr>
          <a:solidFill>
            <a:schemeClr val="accent2"/>
          </a:solidFill>
          <a:ln w="19050">
            <a:solidFill>
              <a:schemeClr val="tx2">
                <a:lumMod val="60000"/>
                <a:lumOff val="40000"/>
              </a:schemeClr>
            </a:solidFill>
          </a:ln>
          <a:effectLst/>
        </c:spPr>
      </c:pivotFmt>
      <c:pivotFmt>
        <c:idx val="9"/>
        <c:spPr>
          <a:solidFill>
            <a:schemeClr val="accent2"/>
          </a:solidFill>
          <a:ln w="19050">
            <a:solidFill>
              <a:schemeClr val="tx2">
                <a:lumMod val="60000"/>
                <a:lumOff val="40000"/>
              </a:schemeClr>
            </a:solidFill>
          </a:ln>
          <a:effectLst/>
        </c:spPr>
      </c:pivotFmt>
      <c:pivotFmt>
        <c:idx val="10"/>
        <c:spPr>
          <a:solidFill>
            <a:schemeClr val="accent2"/>
          </a:solidFill>
          <a:ln w="19050">
            <a:solidFill>
              <a:schemeClr val="tx2">
                <a:lumMod val="60000"/>
                <a:lumOff val="40000"/>
              </a:schemeClr>
            </a:solidFill>
          </a:ln>
          <a:effectLst/>
        </c:spPr>
      </c:pivotFmt>
    </c:pivotFmts>
    <c:plotArea>
      <c:layout/>
      <c:pieChart>
        <c:varyColors val="1"/>
        <c:ser>
          <c:idx val="0"/>
          <c:order val="0"/>
          <c:tx>
            <c:strRef>
              <c:f>Pivot_tables!$C$38</c:f>
              <c:strCache>
                <c:ptCount val="1"/>
                <c:pt idx="0">
                  <c:v>Total</c:v>
                </c:pt>
              </c:strCache>
            </c:strRef>
          </c:tx>
          <c:spPr>
            <a:ln>
              <a:solidFill>
                <a:schemeClr val="tx2">
                  <a:lumMod val="60000"/>
                  <a:lumOff val="40000"/>
                </a:schemeClr>
              </a:solidFill>
            </a:ln>
          </c:spPr>
          <c:dPt>
            <c:idx val="0"/>
            <c:bubble3D val="0"/>
            <c:spPr>
              <a:solidFill>
                <a:schemeClr val="accent2"/>
              </a:solidFill>
              <a:ln w="19050">
                <a:solidFill>
                  <a:schemeClr val="tx2">
                    <a:lumMod val="60000"/>
                    <a:lumOff val="40000"/>
                  </a:schemeClr>
                </a:solidFill>
              </a:ln>
              <a:effectLst/>
            </c:spPr>
            <c:extLst>
              <c:ext xmlns:c16="http://schemas.microsoft.com/office/drawing/2014/chart" uri="{C3380CC4-5D6E-409C-BE32-E72D297353CC}">
                <c16:uniqueId val="{00000001-6AD0-4704-9ACF-9D1CE580E258}"/>
              </c:ext>
            </c:extLst>
          </c:dPt>
          <c:dPt>
            <c:idx val="1"/>
            <c:bubble3D val="0"/>
            <c:spPr>
              <a:solidFill>
                <a:schemeClr val="accent4"/>
              </a:solidFill>
              <a:ln w="19050">
                <a:solidFill>
                  <a:schemeClr val="tx2">
                    <a:lumMod val="60000"/>
                    <a:lumOff val="40000"/>
                  </a:schemeClr>
                </a:solidFill>
              </a:ln>
              <a:effectLst/>
            </c:spPr>
            <c:extLst>
              <c:ext xmlns:c16="http://schemas.microsoft.com/office/drawing/2014/chart" uri="{C3380CC4-5D6E-409C-BE32-E72D297353CC}">
                <c16:uniqueId val="{00000003-6AD0-4704-9ACF-9D1CE580E258}"/>
              </c:ext>
            </c:extLst>
          </c:dPt>
          <c:dPt>
            <c:idx val="2"/>
            <c:bubble3D val="0"/>
            <c:spPr>
              <a:solidFill>
                <a:schemeClr val="accent6"/>
              </a:solidFill>
              <a:ln w="19050">
                <a:solidFill>
                  <a:schemeClr val="tx2">
                    <a:lumMod val="60000"/>
                    <a:lumOff val="40000"/>
                  </a:schemeClr>
                </a:solidFill>
              </a:ln>
              <a:effectLst/>
            </c:spPr>
            <c:extLst>
              <c:ext xmlns:c16="http://schemas.microsoft.com/office/drawing/2014/chart" uri="{C3380CC4-5D6E-409C-BE32-E72D297353CC}">
                <c16:uniqueId val="{00000005-6AD0-4704-9ACF-9D1CE580E258}"/>
              </c:ext>
            </c:extLst>
          </c:dPt>
          <c:dPt>
            <c:idx val="3"/>
            <c:bubble3D val="0"/>
            <c:spPr>
              <a:solidFill>
                <a:schemeClr val="accent2">
                  <a:lumMod val="60000"/>
                </a:schemeClr>
              </a:solidFill>
              <a:ln w="19050">
                <a:solidFill>
                  <a:schemeClr val="tx2">
                    <a:lumMod val="60000"/>
                    <a:lumOff val="40000"/>
                  </a:schemeClr>
                </a:solidFill>
              </a:ln>
              <a:effectLst/>
            </c:spPr>
            <c:extLst>
              <c:ext xmlns:c16="http://schemas.microsoft.com/office/drawing/2014/chart" uri="{C3380CC4-5D6E-409C-BE32-E72D297353CC}">
                <c16:uniqueId val="{00000007-6AD0-4704-9ACF-9D1CE580E25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Pivot_tables!$B$39:$B$43</c:f>
              <c:strCache>
                <c:ptCount val="4"/>
                <c:pt idx="0">
                  <c:v>Closed</c:v>
                </c:pt>
                <c:pt idx="1">
                  <c:v>Open</c:v>
                </c:pt>
                <c:pt idx="2">
                  <c:v>Pending Customer Response</c:v>
                </c:pt>
                <c:pt idx="3">
                  <c:v>Resolved</c:v>
                </c:pt>
              </c:strCache>
            </c:strRef>
          </c:cat>
          <c:val>
            <c:numRef>
              <c:f>Pivot_tables!$C$39:$C$43</c:f>
              <c:numCache>
                <c:formatCode>General</c:formatCode>
                <c:ptCount val="4"/>
                <c:pt idx="0">
                  <c:v>1217</c:v>
                </c:pt>
                <c:pt idx="1">
                  <c:v>388</c:v>
                </c:pt>
                <c:pt idx="2">
                  <c:v>294</c:v>
                </c:pt>
                <c:pt idx="3">
                  <c:v>101</c:v>
                </c:pt>
              </c:numCache>
            </c:numRef>
          </c:val>
          <c:extLst>
            <c:ext xmlns:c16="http://schemas.microsoft.com/office/drawing/2014/chart" uri="{C3380CC4-5D6E-409C-BE32-E72D297353CC}">
              <c16:uniqueId val="{00000008-6AD0-4704-9ACF-9D1CE580E258}"/>
            </c:ext>
          </c:extLst>
        </c:ser>
        <c:dLbls>
          <c:showLegendKey val="0"/>
          <c:showVal val="1"/>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7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140123</xdr:colOff>
      <xdr:row>8</xdr:row>
      <xdr:rowOff>173779</xdr:rowOff>
    </xdr:from>
    <xdr:to>
      <xdr:col>11</xdr:col>
      <xdr:colOff>467783</xdr:colOff>
      <xdr:row>18</xdr:row>
      <xdr:rowOff>68792</xdr:rowOff>
    </xdr:to>
    <xdr:graphicFrame macro="">
      <xdr:nvGraphicFramePr>
        <xdr:cNvPr id="4" name="Chart 3">
          <a:extLst>
            <a:ext uri="{FF2B5EF4-FFF2-40B4-BE49-F238E27FC236}">
              <a16:creationId xmlns:a16="http://schemas.microsoft.com/office/drawing/2014/main" id="{76B289EC-24D3-43A2-BC13-AABA75261A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251882</xdr:colOff>
      <xdr:row>8</xdr:row>
      <xdr:rowOff>161288</xdr:rowOff>
    </xdr:from>
    <xdr:to>
      <xdr:col>23</xdr:col>
      <xdr:colOff>477942</xdr:colOff>
      <xdr:row>32</xdr:row>
      <xdr:rowOff>169333</xdr:rowOff>
    </xdr:to>
    <xdr:graphicFrame macro="">
      <xdr:nvGraphicFramePr>
        <xdr:cNvPr id="5" name="Chart 4">
          <a:extLst>
            <a:ext uri="{FF2B5EF4-FFF2-40B4-BE49-F238E27FC236}">
              <a16:creationId xmlns:a16="http://schemas.microsoft.com/office/drawing/2014/main" id="{A8845F0A-56FE-46B7-9E50-9A2E298CD9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136314</xdr:colOff>
      <xdr:row>19</xdr:row>
      <xdr:rowOff>28151</xdr:rowOff>
    </xdr:from>
    <xdr:to>
      <xdr:col>11</xdr:col>
      <xdr:colOff>504826</xdr:colOff>
      <xdr:row>32</xdr:row>
      <xdr:rowOff>153457</xdr:rowOff>
    </xdr:to>
    <xdr:graphicFrame macro="">
      <xdr:nvGraphicFramePr>
        <xdr:cNvPr id="7" name="Chart 6">
          <a:extLst>
            <a:ext uri="{FF2B5EF4-FFF2-40B4-BE49-F238E27FC236}">
              <a16:creationId xmlns:a16="http://schemas.microsoft.com/office/drawing/2014/main" id="{8DA1CC2E-DD1C-4407-B602-AB07713961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143933</xdr:colOff>
      <xdr:row>8</xdr:row>
      <xdr:rowOff>168487</xdr:rowOff>
    </xdr:from>
    <xdr:to>
      <xdr:col>18</xdr:col>
      <xdr:colOff>123825</xdr:colOff>
      <xdr:row>18</xdr:row>
      <xdr:rowOff>42333</xdr:rowOff>
    </xdr:to>
    <xdr:graphicFrame macro="">
      <xdr:nvGraphicFramePr>
        <xdr:cNvPr id="8" name="Chart 7">
          <a:extLst>
            <a:ext uri="{FF2B5EF4-FFF2-40B4-BE49-F238E27FC236}">
              <a16:creationId xmlns:a16="http://schemas.microsoft.com/office/drawing/2014/main" id="{E22BB06E-6FD6-4364-895C-D61A9D1AD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152399</xdr:colOff>
      <xdr:row>19</xdr:row>
      <xdr:rowOff>42333</xdr:rowOff>
    </xdr:from>
    <xdr:to>
      <xdr:col>18</xdr:col>
      <xdr:colOff>123824</xdr:colOff>
      <xdr:row>32</xdr:row>
      <xdr:rowOff>134410</xdr:rowOff>
    </xdr:to>
    <xdr:graphicFrame macro="">
      <xdr:nvGraphicFramePr>
        <xdr:cNvPr id="9" name="Chart 8">
          <a:extLst>
            <a:ext uri="{FF2B5EF4-FFF2-40B4-BE49-F238E27FC236}">
              <a16:creationId xmlns:a16="http://schemas.microsoft.com/office/drawing/2014/main" id="{898C109A-9A35-4809-B1E2-CF7CBB689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527050</xdr:colOff>
      <xdr:row>0</xdr:row>
      <xdr:rowOff>0</xdr:rowOff>
    </xdr:from>
    <xdr:to>
      <xdr:col>4</xdr:col>
      <xdr:colOff>560917</xdr:colOff>
      <xdr:row>34</xdr:row>
      <xdr:rowOff>127000</xdr:rowOff>
    </xdr:to>
    <xdr:cxnSp macro="">
      <xdr:nvCxnSpPr>
        <xdr:cNvPr id="12" name="Straight Connector 11">
          <a:extLst>
            <a:ext uri="{FF2B5EF4-FFF2-40B4-BE49-F238E27FC236}">
              <a16:creationId xmlns:a16="http://schemas.microsoft.com/office/drawing/2014/main" id="{0BEAF5C8-13FA-8DC5-5E32-3AAC3DF58DD3}"/>
            </a:ext>
          </a:extLst>
        </xdr:cNvPr>
        <xdr:cNvCxnSpPr/>
      </xdr:nvCxnSpPr>
      <xdr:spPr>
        <a:xfrm flipH="1">
          <a:off x="2965450" y="0"/>
          <a:ext cx="33867" cy="628015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16933</xdr:colOff>
      <xdr:row>0</xdr:row>
      <xdr:rowOff>57150</xdr:rowOff>
    </xdr:from>
    <xdr:to>
      <xdr:col>24</xdr:col>
      <xdr:colOff>38100</xdr:colOff>
      <xdr:row>34</xdr:row>
      <xdr:rowOff>101600</xdr:rowOff>
    </xdr:to>
    <xdr:cxnSp macro="">
      <xdr:nvCxnSpPr>
        <xdr:cNvPr id="16" name="Straight Connector 15">
          <a:extLst>
            <a:ext uri="{FF2B5EF4-FFF2-40B4-BE49-F238E27FC236}">
              <a16:creationId xmlns:a16="http://schemas.microsoft.com/office/drawing/2014/main" id="{FC59CFE0-44BA-9368-379C-37328B776F15}"/>
            </a:ext>
          </a:extLst>
        </xdr:cNvPr>
        <xdr:cNvCxnSpPr/>
      </xdr:nvCxnSpPr>
      <xdr:spPr>
        <a:xfrm flipH="1">
          <a:off x="14647333" y="57150"/>
          <a:ext cx="21167" cy="619760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533400</xdr:colOff>
      <xdr:row>34</xdr:row>
      <xdr:rowOff>114300</xdr:rowOff>
    </xdr:from>
    <xdr:to>
      <xdr:col>24</xdr:col>
      <xdr:colOff>25400</xdr:colOff>
      <xdr:row>34</xdr:row>
      <xdr:rowOff>135466</xdr:rowOff>
    </xdr:to>
    <xdr:cxnSp macro="">
      <xdr:nvCxnSpPr>
        <xdr:cNvPr id="19" name="Straight Connector 18">
          <a:extLst>
            <a:ext uri="{FF2B5EF4-FFF2-40B4-BE49-F238E27FC236}">
              <a16:creationId xmlns:a16="http://schemas.microsoft.com/office/drawing/2014/main" id="{891CC0C2-50B2-2A96-081E-C0E7AFB19B61}"/>
            </a:ext>
          </a:extLst>
        </xdr:cNvPr>
        <xdr:cNvCxnSpPr/>
      </xdr:nvCxnSpPr>
      <xdr:spPr>
        <a:xfrm>
          <a:off x="2971800" y="6267450"/>
          <a:ext cx="11684000" cy="21166"/>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600075</xdr:colOff>
      <xdr:row>4</xdr:row>
      <xdr:rowOff>133350</xdr:rowOff>
    </xdr:from>
    <xdr:to>
      <xdr:col>5</xdr:col>
      <xdr:colOff>133350</xdr:colOff>
      <xdr:row>8</xdr:row>
      <xdr:rowOff>57150</xdr:rowOff>
    </xdr:to>
    <xdr:sp macro="" textlink="">
      <xdr:nvSpPr>
        <xdr:cNvPr id="22" name="Rectangle 21">
          <a:extLst>
            <a:ext uri="{FF2B5EF4-FFF2-40B4-BE49-F238E27FC236}">
              <a16:creationId xmlns:a16="http://schemas.microsoft.com/office/drawing/2014/main" id="{FEC6535E-7CDE-3A16-FAED-6F4AA5FD2B45}"/>
            </a:ext>
          </a:extLst>
        </xdr:cNvPr>
        <xdr:cNvSpPr/>
      </xdr:nvSpPr>
      <xdr:spPr>
        <a:xfrm>
          <a:off x="3038475" y="857250"/>
          <a:ext cx="142875" cy="647700"/>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561975</xdr:colOff>
      <xdr:row>4</xdr:row>
      <xdr:rowOff>104775</xdr:rowOff>
    </xdr:from>
    <xdr:to>
      <xdr:col>10</xdr:col>
      <xdr:colOff>95250</xdr:colOff>
      <xdr:row>8</xdr:row>
      <xdr:rowOff>28575</xdr:rowOff>
    </xdr:to>
    <xdr:sp macro="" textlink="">
      <xdr:nvSpPr>
        <xdr:cNvPr id="23" name="Rectangle 22">
          <a:extLst>
            <a:ext uri="{FF2B5EF4-FFF2-40B4-BE49-F238E27FC236}">
              <a16:creationId xmlns:a16="http://schemas.microsoft.com/office/drawing/2014/main" id="{82DC7637-3BD4-405C-8FDC-DC393F84727B}"/>
            </a:ext>
          </a:extLst>
        </xdr:cNvPr>
        <xdr:cNvSpPr/>
      </xdr:nvSpPr>
      <xdr:spPr>
        <a:xfrm>
          <a:off x="6048375" y="828675"/>
          <a:ext cx="142875" cy="647700"/>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571500</xdr:colOff>
      <xdr:row>4</xdr:row>
      <xdr:rowOff>133350</xdr:rowOff>
    </xdr:from>
    <xdr:to>
      <xdr:col>15</xdr:col>
      <xdr:colOff>104775</xdr:colOff>
      <xdr:row>8</xdr:row>
      <xdr:rowOff>57150</xdr:rowOff>
    </xdr:to>
    <xdr:sp macro="" textlink="">
      <xdr:nvSpPr>
        <xdr:cNvPr id="24" name="Rectangle 23">
          <a:extLst>
            <a:ext uri="{FF2B5EF4-FFF2-40B4-BE49-F238E27FC236}">
              <a16:creationId xmlns:a16="http://schemas.microsoft.com/office/drawing/2014/main" id="{C8CD2E53-BEF7-AF04-A12F-A60A5648D08A}"/>
            </a:ext>
          </a:extLst>
        </xdr:cNvPr>
        <xdr:cNvSpPr/>
      </xdr:nvSpPr>
      <xdr:spPr>
        <a:xfrm>
          <a:off x="9105900" y="857250"/>
          <a:ext cx="142875" cy="647700"/>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572559</xdr:colOff>
      <xdr:row>4</xdr:row>
      <xdr:rowOff>84667</xdr:rowOff>
    </xdr:from>
    <xdr:to>
      <xdr:col>20</xdr:col>
      <xdr:colOff>105834</xdr:colOff>
      <xdr:row>8</xdr:row>
      <xdr:rowOff>8467</xdr:rowOff>
    </xdr:to>
    <xdr:sp macro="" textlink="">
      <xdr:nvSpPr>
        <xdr:cNvPr id="25" name="Rectangle 24">
          <a:extLst>
            <a:ext uri="{FF2B5EF4-FFF2-40B4-BE49-F238E27FC236}">
              <a16:creationId xmlns:a16="http://schemas.microsoft.com/office/drawing/2014/main" id="{258534B3-B960-2335-EDDA-474C31AB0306}"/>
            </a:ext>
          </a:extLst>
        </xdr:cNvPr>
        <xdr:cNvSpPr/>
      </xdr:nvSpPr>
      <xdr:spPr>
        <a:xfrm>
          <a:off x="12154959" y="829734"/>
          <a:ext cx="142875" cy="668866"/>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462492</xdr:colOff>
      <xdr:row>4</xdr:row>
      <xdr:rowOff>143933</xdr:rowOff>
    </xdr:from>
    <xdr:to>
      <xdr:col>23</xdr:col>
      <xdr:colOff>605367</xdr:colOff>
      <xdr:row>8</xdr:row>
      <xdr:rowOff>67733</xdr:rowOff>
    </xdr:to>
    <xdr:sp macro="" textlink="">
      <xdr:nvSpPr>
        <xdr:cNvPr id="26" name="Rectangle 25">
          <a:extLst>
            <a:ext uri="{FF2B5EF4-FFF2-40B4-BE49-F238E27FC236}">
              <a16:creationId xmlns:a16="http://schemas.microsoft.com/office/drawing/2014/main" id="{ED96651C-97B7-DDA4-5F0A-B648FF173205}"/>
            </a:ext>
          </a:extLst>
        </xdr:cNvPr>
        <xdr:cNvSpPr/>
      </xdr:nvSpPr>
      <xdr:spPr>
        <a:xfrm>
          <a:off x="14483292" y="889000"/>
          <a:ext cx="142875" cy="668866"/>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600075</xdr:colOff>
      <xdr:row>0</xdr:row>
      <xdr:rowOff>0</xdr:rowOff>
    </xdr:from>
    <xdr:to>
      <xdr:col>5</xdr:col>
      <xdr:colOff>200025</xdr:colOff>
      <xdr:row>4</xdr:row>
      <xdr:rowOff>123824</xdr:rowOff>
    </xdr:to>
    <xdr:sp macro="" textlink="">
      <xdr:nvSpPr>
        <xdr:cNvPr id="27" name="Rectangle 26">
          <a:extLst>
            <a:ext uri="{FF2B5EF4-FFF2-40B4-BE49-F238E27FC236}">
              <a16:creationId xmlns:a16="http://schemas.microsoft.com/office/drawing/2014/main" id="{79AD147C-7E64-7AE3-7E31-769F0210B0E4}"/>
            </a:ext>
          </a:extLst>
        </xdr:cNvPr>
        <xdr:cNvSpPr/>
      </xdr:nvSpPr>
      <xdr:spPr>
        <a:xfrm>
          <a:off x="3038475" y="0"/>
          <a:ext cx="209550" cy="847724"/>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466726</xdr:colOff>
      <xdr:row>0</xdr:row>
      <xdr:rowOff>0</xdr:rowOff>
    </xdr:from>
    <xdr:to>
      <xdr:col>24</xdr:col>
      <xdr:colOff>19050</xdr:colOff>
      <xdr:row>4</xdr:row>
      <xdr:rowOff>104774</xdr:rowOff>
    </xdr:to>
    <xdr:sp macro="" textlink="">
      <xdr:nvSpPr>
        <xdr:cNvPr id="28" name="Rectangle 27">
          <a:extLst>
            <a:ext uri="{FF2B5EF4-FFF2-40B4-BE49-F238E27FC236}">
              <a16:creationId xmlns:a16="http://schemas.microsoft.com/office/drawing/2014/main" id="{5FEAE27B-98F7-28A0-761D-F6D0C20D73AF}"/>
            </a:ext>
          </a:extLst>
        </xdr:cNvPr>
        <xdr:cNvSpPr/>
      </xdr:nvSpPr>
      <xdr:spPr>
        <a:xfrm>
          <a:off x="14487526" y="0"/>
          <a:ext cx="161924" cy="828674"/>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33867</xdr:colOff>
      <xdr:row>17</xdr:row>
      <xdr:rowOff>48684</xdr:rowOff>
    </xdr:from>
    <xdr:to>
      <xdr:col>4</xdr:col>
      <xdr:colOff>440266</xdr:colOff>
      <xdr:row>25</xdr:row>
      <xdr:rowOff>0</xdr:rowOff>
    </xdr:to>
    <mc:AlternateContent xmlns:mc="http://schemas.openxmlformats.org/markup-compatibility/2006">
      <mc:Choice xmlns:a14="http://schemas.microsoft.com/office/drawing/2010/main" Requires="a14">
        <xdr:graphicFrame macro="">
          <xdr:nvGraphicFramePr>
            <xdr:cNvPr id="35" name="Ticket Status">
              <a:extLst>
                <a:ext uri="{FF2B5EF4-FFF2-40B4-BE49-F238E27FC236}">
                  <a16:creationId xmlns:a16="http://schemas.microsoft.com/office/drawing/2014/main" id="{D0857534-429E-4875-98B9-429196B395CF}"/>
                </a:ext>
              </a:extLst>
            </xdr:cNvPr>
            <xdr:cNvGraphicFramePr/>
          </xdr:nvGraphicFramePr>
          <xdr:xfrm>
            <a:off x="0" y="0"/>
            <a:ext cx="0" cy="0"/>
          </xdr:xfrm>
          <a:graphic>
            <a:graphicData uri="http://schemas.microsoft.com/office/drawing/2010/slicer">
              <sle:slicer xmlns:sle="http://schemas.microsoft.com/office/drawing/2010/slicer" name="Ticket Status"/>
            </a:graphicData>
          </a:graphic>
        </xdr:graphicFrame>
      </mc:Choice>
      <mc:Fallback>
        <xdr:sp macro="" textlink="">
          <xdr:nvSpPr>
            <xdr:cNvPr id="0" name=""/>
            <xdr:cNvSpPr>
              <a:spLocks noTextEdit="1"/>
            </xdr:cNvSpPr>
          </xdr:nvSpPr>
          <xdr:spPr>
            <a:xfrm>
              <a:off x="33867" y="3215217"/>
              <a:ext cx="2844799" cy="1441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66675</xdr:rowOff>
    </xdr:from>
    <xdr:to>
      <xdr:col>4</xdr:col>
      <xdr:colOff>476250</xdr:colOff>
      <xdr:row>8</xdr:row>
      <xdr:rowOff>38100</xdr:rowOff>
    </xdr:to>
    <mc:AlternateContent xmlns:mc="http://schemas.openxmlformats.org/markup-compatibility/2006">
      <mc:Choice xmlns:a14="http://schemas.microsoft.com/office/drawing/2010/main" Requires="a14">
        <xdr:graphicFrame macro="">
          <xdr:nvGraphicFramePr>
            <xdr:cNvPr id="36" name="Ticket Priority">
              <a:extLst>
                <a:ext uri="{FF2B5EF4-FFF2-40B4-BE49-F238E27FC236}">
                  <a16:creationId xmlns:a16="http://schemas.microsoft.com/office/drawing/2014/main" id="{A44216F4-F425-4892-815A-8FEFBB059836}"/>
                </a:ext>
              </a:extLst>
            </xdr:cNvPr>
            <xdr:cNvGraphicFramePr/>
          </xdr:nvGraphicFramePr>
          <xdr:xfrm>
            <a:off x="0" y="0"/>
            <a:ext cx="0" cy="0"/>
          </xdr:xfrm>
          <a:graphic>
            <a:graphicData uri="http://schemas.microsoft.com/office/drawing/2010/slicer">
              <sle:slicer xmlns:sle="http://schemas.microsoft.com/office/drawing/2010/slicer" name="Ticket Priority"/>
            </a:graphicData>
          </a:graphic>
        </xdr:graphicFrame>
      </mc:Choice>
      <mc:Fallback>
        <xdr:sp macro="" textlink="">
          <xdr:nvSpPr>
            <xdr:cNvPr id="0" name=""/>
            <xdr:cNvSpPr>
              <a:spLocks noTextEdit="1"/>
            </xdr:cNvSpPr>
          </xdr:nvSpPr>
          <xdr:spPr>
            <a:xfrm>
              <a:off x="0" y="66675"/>
              <a:ext cx="2914650" cy="14615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135468</xdr:rowOff>
    </xdr:from>
    <xdr:to>
      <xdr:col>4</xdr:col>
      <xdr:colOff>474132</xdr:colOff>
      <xdr:row>16</xdr:row>
      <xdr:rowOff>143933</xdr:rowOff>
    </xdr:to>
    <mc:AlternateContent xmlns:mc="http://schemas.openxmlformats.org/markup-compatibility/2006">
      <mc:Choice xmlns:a14="http://schemas.microsoft.com/office/drawing/2010/main" Requires="a14">
        <xdr:graphicFrame macro="">
          <xdr:nvGraphicFramePr>
            <xdr:cNvPr id="37" name="Ticket Channel">
              <a:extLst>
                <a:ext uri="{FF2B5EF4-FFF2-40B4-BE49-F238E27FC236}">
                  <a16:creationId xmlns:a16="http://schemas.microsoft.com/office/drawing/2014/main" id="{1D14F285-16DF-42BD-BE5E-A22A76273C6F}"/>
                </a:ext>
              </a:extLst>
            </xdr:cNvPr>
            <xdr:cNvGraphicFramePr/>
          </xdr:nvGraphicFramePr>
          <xdr:xfrm>
            <a:off x="0" y="0"/>
            <a:ext cx="0" cy="0"/>
          </xdr:xfrm>
          <a:graphic>
            <a:graphicData uri="http://schemas.microsoft.com/office/drawing/2010/slicer">
              <sle:slicer xmlns:sle="http://schemas.microsoft.com/office/drawing/2010/slicer" name="Ticket Channel"/>
            </a:graphicData>
          </a:graphic>
        </xdr:graphicFrame>
      </mc:Choice>
      <mc:Fallback>
        <xdr:sp macro="" textlink="">
          <xdr:nvSpPr>
            <xdr:cNvPr id="0" name=""/>
            <xdr:cNvSpPr>
              <a:spLocks noTextEdit="1"/>
            </xdr:cNvSpPr>
          </xdr:nvSpPr>
          <xdr:spPr>
            <a:xfrm>
              <a:off x="0" y="1625601"/>
              <a:ext cx="2912532" cy="1498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313267</xdr:colOff>
      <xdr:row>4</xdr:row>
      <xdr:rowOff>143933</xdr:rowOff>
    </xdr:from>
    <xdr:to>
      <xdr:col>8</xdr:col>
      <xdr:colOff>364067</xdr:colOff>
      <xdr:row>6</xdr:row>
      <xdr:rowOff>152400</xdr:rowOff>
    </xdr:to>
    <xdr:sp macro="" textlink="">
      <xdr:nvSpPr>
        <xdr:cNvPr id="38" name="TextBox 37">
          <a:extLst>
            <a:ext uri="{FF2B5EF4-FFF2-40B4-BE49-F238E27FC236}">
              <a16:creationId xmlns:a16="http://schemas.microsoft.com/office/drawing/2014/main" id="{712925CD-D041-2AC6-78F9-167F5B6751F6}"/>
            </a:ext>
          </a:extLst>
        </xdr:cNvPr>
        <xdr:cNvSpPr txBox="1"/>
      </xdr:nvSpPr>
      <xdr:spPr>
        <a:xfrm>
          <a:off x="3361267" y="889000"/>
          <a:ext cx="1879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Total Tickets</a:t>
          </a:r>
        </a:p>
      </xdr:txBody>
    </xdr:sp>
    <xdr:clientData/>
  </xdr:twoCellAnchor>
  <xdr:twoCellAnchor>
    <xdr:from>
      <xdr:col>10</xdr:col>
      <xdr:colOff>321732</xdr:colOff>
      <xdr:row>4</xdr:row>
      <xdr:rowOff>169332</xdr:rowOff>
    </xdr:from>
    <xdr:to>
      <xdr:col>14</xdr:col>
      <xdr:colOff>76199</xdr:colOff>
      <xdr:row>6</xdr:row>
      <xdr:rowOff>169333</xdr:rowOff>
    </xdr:to>
    <xdr:sp macro="" textlink="">
      <xdr:nvSpPr>
        <xdr:cNvPr id="39" name="TextBox 38">
          <a:extLst>
            <a:ext uri="{FF2B5EF4-FFF2-40B4-BE49-F238E27FC236}">
              <a16:creationId xmlns:a16="http://schemas.microsoft.com/office/drawing/2014/main" id="{641F1EEA-E74E-8F52-A8A6-A4F2A46E1973}"/>
            </a:ext>
          </a:extLst>
        </xdr:cNvPr>
        <xdr:cNvSpPr txBox="1"/>
      </xdr:nvSpPr>
      <xdr:spPr>
        <a:xfrm>
          <a:off x="6417732" y="914399"/>
          <a:ext cx="2192867" cy="372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Average Resolution (hrs)</a:t>
          </a:r>
        </a:p>
      </xdr:txBody>
    </xdr:sp>
    <xdr:clientData/>
  </xdr:twoCellAnchor>
  <xdr:twoCellAnchor>
    <xdr:from>
      <xdr:col>15</xdr:col>
      <xdr:colOff>567266</xdr:colOff>
      <xdr:row>4</xdr:row>
      <xdr:rowOff>152398</xdr:rowOff>
    </xdr:from>
    <xdr:to>
      <xdr:col>18</xdr:col>
      <xdr:colOff>592667</xdr:colOff>
      <xdr:row>6</xdr:row>
      <xdr:rowOff>160867</xdr:rowOff>
    </xdr:to>
    <xdr:sp macro="" textlink="">
      <xdr:nvSpPr>
        <xdr:cNvPr id="40" name="TextBox 39">
          <a:extLst>
            <a:ext uri="{FF2B5EF4-FFF2-40B4-BE49-F238E27FC236}">
              <a16:creationId xmlns:a16="http://schemas.microsoft.com/office/drawing/2014/main" id="{BCFBA183-3976-F1D1-B70E-617139670E4A}"/>
            </a:ext>
          </a:extLst>
        </xdr:cNvPr>
        <xdr:cNvSpPr txBox="1"/>
      </xdr:nvSpPr>
      <xdr:spPr>
        <a:xfrm>
          <a:off x="9711266" y="897465"/>
          <a:ext cx="1854201" cy="381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Open</a:t>
          </a:r>
          <a:r>
            <a:rPr lang="en-IN" sz="1400" b="1" baseline="0">
              <a:solidFill>
                <a:schemeClr val="bg1"/>
              </a:solidFill>
            </a:rPr>
            <a:t> Tickets</a:t>
          </a:r>
          <a:endParaRPr lang="en-IN" sz="1400" b="1">
            <a:solidFill>
              <a:schemeClr val="bg1"/>
            </a:solidFill>
          </a:endParaRPr>
        </a:p>
      </xdr:txBody>
    </xdr:sp>
    <xdr:clientData/>
  </xdr:twoCellAnchor>
  <xdr:twoCellAnchor>
    <xdr:from>
      <xdr:col>21</xdr:col>
      <xdr:colOff>135466</xdr:colOff>
      <xdr:row>4</xdr:row>
      <xdr:rowOff>143932</xdr:rowOff>
    </xdr:from>
    <xdr:to>
      <xdr:col>23</xdr:col>
      <xdr:colOff>524933</xdr:colOff>
      <xdr:row>6</xdr:row>
      <xdr:rowOff>67733</xdr:rowOff>
    </xdr:to>
    <xdr:sp macro="" textlink="">
      <xdr:nvSpPr>
        <xdr:cNvPr id="41" name="TextBox 40">
          <a:extLst>
            <a:ext uri="{FF2B5EF4-FFF2-40B4-BE49-F238E27FC236}">
              <a16:creationId xmlns:a16="http://schemas.microsoft.com/office/drawing/2014/main" id="{205F89E2-4E9A-C599-3CBC-C00AECD25840}"/>
            </a:ext>
          </a:extLst>
        </xdr:cNvPr>
        <xdr:cNvSpPr txBox="1"/>
      </xdr:nvSpPr>
      <xdr:spPr>
        <a:xfrm>
          <a:off x="12937066" y="888999"/>
          <a:ext cx="1608667" cy="296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SLA Met</a:t>
          </a:r>
          <a:r>
            <a:rPr lang="en-IN" sz="1400" b="1" baseline="0">
              <a:solidFill>
                <a:schemeClr val="bg1"/>
              </a:solidFill>
            </a:rPr>
            <a:t> %</a:t>
          </a:r>
          <a:endParaRPr lang="en-IN" sz="1400" b="1">
            <a:solidFill>
              <a:schemeClr val="bg1"/>
            </a:solidFill>
          </a:endParaRPr>
        </a:p>
      </xdr:txBody>
    </xdr:sp>
    <xdr:clientData/>
  </xdr:twoCellAnchor>
  <xdr:twoCellAnchor editAs="oneCell">
    <xdr:from>
      <xdr:col>10</xdr:col>
      <xdr:colOff>355599</xdr:colOff>
      <xdr:row>0</xdr:row>
      <xdr:rowOff>118534</xdr:rowOff>
    </xdr:from>
    <xdr:to>
      <xdr:col>11</xdr:col>
      <xdr:colOff>262466</xdr:colOff>
      <xdr:row>3</xdr:row>
      <xdr:rowOff>76201</xdr:rowOff>
    </xdr:to>
    <xdr:pic>
      <xdr:nvPicPr>
        <xdr:cNvPr id="44" name="Graphic 43" descr="Books with solid fill">
          <a:extLst>
            <a:ext uri="{FF2B5EF4-FFF2-40B4-BE49-F238E27FC236}">
              <a16:creationId xmlns:a16="http://schemas.microsoft.com/office/drawing/2014/main" id="{1B0B3416-D6A0-3DB4-268F-DBC3D68C160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451599" y="118534"/>
          <a:ext cx="516467" cy="516467"/>
        </a:xfrm>
        <a:prstGeom prst="rect">
          <a:avLst/>
        </a:prstGeom>
      </xdr:spPr>
    </xdr:pic>
    <xdr:clientData/>
  </xdr:twoCellAnchor>
  <xdr:twoCellAnchor editAs="oneCell">
    <xdr:from>
      <xdr:col>0</xdr:col>
      <xdr:colOff>0</xdr:colOff>
      <xdr:row>25</xdr:row>
      <xdr:rowOff>16936</xdr:rowOff>
    </xdr:from>
    <xdr:to>
      <xdr:col>4</xdr:col>
      <xdr:colOff>423332</xdr:colOff>
      <xdr:row>30</xdr:row>
      <xdr:rowOff>1</xdr:rowOff>
    </xdr:to>
    <mc:AlternateContent xmlns:mc="http://schemas.openxmlformats.org/markup-compatibility/2006">
      <mc:Choice xmlns:a14="http://schemas.microsoft.com/office/drawing/2010/main" Requires="a14">
        <xdr:graphicFrame macro="">
          <xdr:nvGraphicFramePr>
            <xdr:cNvPr id="46" name="SLA_Met">
              <a:extLst>
                <a:ext uri="{FF2B5EF4-FFF2-40B4-BE49-F238E27FC236}">
                  <a16:creationId xmlns:a16="http://schemas.microsoft.com/office/drawing/2014/main" id="{524CBE3D-4869-473A-ADD4-F29C86057FC9}"/>
                </a:ext>
              </a:extLst>
            </xdr:cNvPr>
            <xdr:cNvGraphicFramePr/>
          </xdr:nvGraphicFramePr>
          <xdr:xfrm>
            <a:off x="0" y="0"/>
            <a:ext cx="0" cy="0"/>
          </xdr:xfrm>
          <a:graphic>
            <a:graphicData uri="http://schemas.microsoft.com/office/drawing/2010/slicer">
              <sle:slicer xmlns:sle="http://schemas.microsoft.com/office/drawing/2010/slicer" name="SLA_Met"/>
            </a:graphicData>
          </a:graphic>
        </xdr:graphicFrame>
      </mc:Choice>
      <mc:Fallback>
        <xdr:sp macro="" textlink="">
          <xdr:nvSpPr>
            <xdr:cNvPr id="0" name=""/>
            <xdr:cNvSpPr>
              <a:spLocks noTextEdit="1"/>
            </xdr:cNvSpPr>
          </xdr:nvSpPr>
          <xdr:spPr>
            <a:xfrm>
              <a:off x="0" y="4673603"/>
              <a:ext cx="2861732" cy="9143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83820</xdr:colOff>
      <xdr:row>0</xdr:row>
      <xdr:rowOff>152400</xdr:rowOff>
    </xdr:from>
    <xdr:to>
      <xdr:col>22</xdr:col>
      <xdr:colOff>53340</xdr:colOff>
      <xdr:row>55</xdr:row>
      <xdr:rowOff>53340</xdr:rowOff>
    </xdr:to>
    <xdr:sp macro="" textlink="">
      <xdr:nvSpPr>
        <xdr:cNvPr id="2" name="TextBox 1">
          <a:extLst>
            <a:ext uri="{FF2B5EF4-FFF2-40B4-BE49-F238E27FC236}">
              <a16:creationId xmlns:a16="http://schemas.microsoft.com/office/drawing/2014/main" id="{5C77E404-4222-2D28-F28C-6494331526CA}"/>
            </a:ext>
          </a:extLst>
        </xdr:cNvPr>
        <xdr:cNvSpPr txBox="1"/>
      </xdr:nvSpPr>
      <xdr:spPr>
        <a:xfrm>
          <a:off x="83820" y="152400"/>
          <a:ext cx="13380720" cy="9959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SLA PERFORMANCE TRACKER — DOCUMENTATION</a:t>
          </a:r>
        </a:p>
        <a:p>
          <a:r>
            <a:rPr lang="en-IN" b="1"/>
            <a:t>1. Project Overview</a:t>
          </a:r>
        </a:p>
        <a:p>
          <a:r>
            <a:rPr lang="en-IN"/>
            <a:t>This dashboard provides a complete view of support ticket operations, helping teams monitor SLA performance, ticket traffic, priority trends, and resolution efficiency. It is designed using Excel PivotTables, PivotCharts, Slicers, and KPIs for real-time interaction.</a:t>
          </a:r>
        </a:p>
        <a:p>
          <a:br>
            <a:rPr lang="en-IN"/>
          </a:br>
          <a:endParaRPr lang="en-IN"/>
        </a:p>
        <a:p>
          <a:r>
            <a:rPr lang="en-IN" b="1"/>
            <a:t>2. Objective</a:t>
          </a:r>
        </a:p>
        <a:p>
          <a:r>
            <a:rPr lang="en-IN"/>
            <a:t>Track SLA Met % and identify breach patterns.</a:t>
          </a:r>
        </a:p>
        <a:p>
          <a:r>
            <a:rPr lang="en-IN"/>
            <a:t>Monitor ticket volume across months, channels, and products.</a:t>
          </a:r>
        </a:p>
        <a:p>
          <a:r>
            <a:rPr lang="en-IN"/>
            <a:t>Analyse ticket resolution time by priority.</a:t>
          </a:r>
        </a:p>
        <a:p>
          <a:r>
            <a:rPr lang="en-IN"/>
            <a:t>Provide leadership with actionable insights to optimize support performance.</a:t>
          </a:r>
        </a:p>
        <a:p>
          <a:br>
            <a:rPr lang="en-IN"/>
          </a:br>
          <a:endParaRPr lang="en-IN"/>
        </a:p>
        <a:p>
          <a:r>
            <a:rPr lang="en-IN" b="1"/>
            <a:t>3. Dataset Description</a:t>
          </a:r>
        </a:p>
        <a:p>
          <a:r>
            <a:rPr lang="en-IN"/>
            <a:t>The dataset contains </a:t>
          </a:r>
          <a:r>
            <a:rPr lang="en-IN" b="1"/>
            <a:t>2000 support ticket records</a:t>
          </a:r>
        </a:p>
        <a:p>
          <a:endParaRPr lang="en-IN"/>
        </a:p>
        <a:p>
          <a:r>
            <a:rPr lang="en-IN" b="1"/>
            <a:t>4. KPIs Used</a:t>
          </a:r>
        </a:p>
        <a:p>
          <a:endParaRPr lang="en-IN" b="1"/>
        </a:p>
        <a:p>
          <a:r>
            <a:rPr lang="en-IN" b="1"/>
            <a:t>KPI</a:t>
          </a:r>
          <a:r>
            <a:rPr lang="en-IN"/>
            <a:t>                                                                                                                    </a:t>
          </a:r>
          <a:r>
            <a:rPr lang="en-IN" b="1"/>
            <a:t>Meaning</a:t>
          </a:r>
        </a:p>
        <a:p>
          <a:r>
            <a:rPr lang="en-IN" b="1"/>
            <a:t>Total Tickets                                                                                             </a:t>
          </a:r>
          <a:r>
            <a:rPr lang="en-IN"/>
            <a:t>Total volume of tickets created</a:t>
          </a:r>
        </a:p>
        <a:p>
          <a:r>
            <a:rPr lang="en-IN" b="1"/>
            <a:t>Average Resolution Time                                                                     </a:t>
          </a:r>
          <a:r>
            <a:rPr lang="en-IN"/>
            <a:t>Avg hours taken to resolve tickets</a:t>
          </a:r>
        </a:p>
        <a:p>
          <a:r>
            <a:rPr lang="en-IN" b="1"/>
            <a:t>Open Tickets</a:t>
          </a:r>
          <a:r>
            <a:rPr lang="en-IN"/>
            <a:t>                                                                                           Total tickets still open</a:t>
          </a:r>
        </a:p>
        <a:p>
          <a:r>
            <a:rPr lang="en-IN" b="1"/>
            <a:t>SLA Met %                                                                                                  </a:t>
          </a:r>
          <a:r>
            <a:rPr lang="en-IN"/>
            <a:t>Percentage of tickets resolved within SLA</a:t>
          </a:r>
        </a:p>
        <a:p>
          <a:br>
            <a:rPr lang="en-IN"/>
          </a:br>
          <a:endParaRPr lang="en-IN"/>
        </a:p>
        <a:p>
          <a:r>
            <a:rPr lang="en-IN" b="1"/>
            <a:t>5. Dashboard Features</a:t>
          </a:r>
        </a:p>
        <a:p>
          <a:r>
            <a:rPr lang="en-IN" b="1"/>
            <a:t>Interactive Slicers:</a:t>
          </a:r>
          <a:r>
            <a:rPr lang="en-IN"/>
            <a:t> Priority, Channel, Status, SLA.</a:t>
          </a:r>
        </a:p>
        <a:p>
          <a:r>
            <a:rPr lang="en-IN" b="1"/>
            <a:t>Trendline:</a:t>
          </a:r>
          <a:r>
            <a:rPr lang="en-IN"/>
            <a:t> Monthly ticket volume trend.</a:t>
          </a:r>
        </a:p>
        <a:p>
          <a:r>
            <a:rPr lang="en-IN" b="1"/>
            <a:t>Bar Chart:</a:t>
          </a:r>
          <a:r>
            <a:rPr lang="en-IN"/>
            <a:t> Top products with highest tickets.</a:t>
          </a:r>
        </a:p>
        <a:p>
          <a:r>
            <a:rPr lang="en-IN" b="1"/>
            <a:t>Donut Chart:</a:t>
          </a:r>
          <a:r>
            <a:rPr lang="en-IN"/>
            <a:t> Channel distribution analysis.</a:t>
          </a:r>
        </a:p>
        <a:p>
          <a:r>
            <a:rPr lang="en-IN" b="1"/>
            <a:t>Pie Chart:</a:t>
          </a:r>
          <a:r>
            <a:rPr lang="en-IN"/>
            <a:t> Ticket status breakdown.</a:t>
          </a:r>
        </a:p>
        <a:p>
          <a:r>
            <a:rPr lang="en-IN" b="1"/>
            <a:t>Column Chart:</a:t>
          </a:r>
          <a:r>
            <a:rPr lang="en-IN"/>
            <a:t> Resolution time by priority.</a:t>
          </a:r>
        </a:p>
        <a:p>
          <a:r>
            <a:rPr lang="en-IN" b="1"/>
            <a:t>KPI Cards:</a:t>
          </a:r>
          <a:r>
            <a:rPr lang="en-IN"/>
            <a:t> Clean display of core metrics.</a:t>
          </a:r>
        </a:p>
        <a:p>
          <a:br>
            <a:rPr lang="en-IN"/>
          </a:br>
          <a:endParaRPr lang="en-IN"/>
        </a:p>
        <a:p>
          <a:r>
            <a:rPr lang="en-IN" b="1"/>
            <a:t>6. Tools &amp; Functions Used</a:t>
          </a:r>
        </a:p>
        <a:p>
          <a:r>
            <a:rPr lang="en-IN"/>
            <a:t>PivotTables</a:t>
          </a:r>
        </a:p>
        <a:p>
          <a:r>
            <a:rPr lang="en-IN"/>
            <a:t>PivotCharts</a:t>
          </a:r>
        </a:p>
        <a:p>
          <a:r>
            <a:rPr lang="en-IN"/>
            <a:t>Slicers</a:t>
          </a:r>
        </a:p>
        <a:p>
          <a:r>
            <a:rPr lang="en-IN"/>
            <a:t>Conditional Formatting</a:t>
          </a:r>
        </a:p>
        <a:p>
          <a:r>
            <a:rPr lang="en-IN"/>
            <a:t>Excel Formulas:</a:t>
          </a:r>
        </a:p>
        <a:p>
          <a:pPr lvl="1"/>
          <a:r>
            <a:rPr lang="en-IN" sz="1100">
              <a:solidFill>
                <a:schemeClr val="dk1"/>
              </a:solidFill>
              <a:latin typeface="+mn-lt"/>
              <a:ea typeface="+mn-ea"/>
              <a:cs typeface="+mn-cs"/>
            </a:rPr>
            <a:t>AVERAGEIF</a:t>
          </a:r>
          <a:endParaRPr lang="en-IN"/>
        </a:p>
        <a:p>
          <a:pPr lvl="1"/>
          <a:r>
            <a:rPr lang="en-IN" sz="1100">
              <a:solidFill>
                <a:schemeClr val="dk1"/>
              </a:solidFill>
              <a:latin typeface="+mn-lt"/>
              <a:ea typeface="+mn-ea"/>
              <a:cs typeface="+mn-cs"/>
            </a:rPr>
            <a:t>COUNTIF</a:t>
          </a:r>
          <a:r>
            <a:rPr lang="en-IN"/>
            <a:t>, </a:t>
          </a:r>
          <a:r>
            <a:rPr lang="en-IN" sz="1100">
              <a:solidFill>
                <a:schemeClr val="dk1"/>
              </a:solidFill>
              <a:latin typeface="+mn-lt"/>
              <a:ea typeface="+mn-ea"/>
              <a:cs typeface="+mn-cs"/>
            </a:rPr>
            <a:t>COUNTIFS</a:t>
          </a:r>
          <a:endParaRPr lang="en-IN"/>
        </a:p>
        <a:p>
          <a:pPr lvl="1"/>
          <a:r>
            <a:rPr lang="en-IN" sz="1100">
              <a:solidFill>
                <a:schemeClr val="dk1"/>
              </a:solidFill>
              <a:latin typeface="+mn-lt"/>
              <a:ea typeface="+mn-ea"/>
              <a:cs typeface="+mn-cs"/>
            </a:rPr>
            <a:t>IF</a:t>
          </a:r>
          <a:endParaRPr lang="en-IN"/>
        </a:p>
        <a:p>
          <a:br>
            <a:rPr lang="en-IN"/>
          </a:br>
          <a:endParaRPr lang="en-IN"/>
        </a:p>
        <a:p>
          <a:r>
            <a:rPr lang="en-IN" b="1"/>
            <a:t>7. Insights </a:t>
          </a:r>
        </a:p>
        <a:p>
          <a:r>
            <a:rPr lang="en-IN" b="1"/>
            <a:t>Low Priority tickets have the highest resolution time</a:t>
          </a:r>
          <a:r>
            <a:rPr lang="en-IN"/>
            <a:t>, indicating possible backlog or low urgency.</a:t>
          </a:r>
        </a:p>
        <a:p>
          <a:r>
            <a:rPr lang="en-IN" b="1"/>
            <a:t>Phone and Chat channels contribute most to ticket inflow.</a:t>
          </a:r>
          <a:endParaRPr lang="en-IN"/>
        </a:p>
        <a:p>
          <a:r>
            <a:rPr lang="en-IN" b="1"/>
            <a:t>SLA Met % is around 78–80%, which is below ideal 90% target.</a:t>
          </a:r>
          <a:endParaRPr lang="en-IN"/>
        </a:p>
        <a:p>
          <a:r>
            <a:rPr lang="en-IN" b="1"/>
            <a:t>Most tickets belong to 4–5 product categories consistently.</a:t>
          </a:r>
          <a:endParaRPr lang="en-IN"/>
        </a:p>
        <a:p>
          <a:endParaRPr lang="en-IN" sz="1100"/>
        </a:p>
        <a:p>
          <a:r>
            <a:rPr lang="en-IN" b="1"/>
            <a:t>8. Conclusion</a:t>
          </a:r>
        </a:p>
        <a:p>
          <a:r>
            <a:rPr lang="en-IN"/>
            <a:t>This dashboard helps support managers identify performance gaps, understand workload distribution, improve SLA compliance, and prioritize high-impact issues</a:t>
          </a:r>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hil" refreshedDate="46002.803034490738" createdVersion="8" refreshedVersion="8" minRefreshableVersion="3" recordCount="2000" xr:uid="{F4078785-73B1-4DA7-9379-76E9BBC555C9}">
  <cacheSource type="worksheet">
    <worksheetSource name="Tickets"/>
  </cacheSource>
  <cacheFields count="17">
    <cacheField name="Ticket ID" numFmtId="0">
      <sharedItems containsSemiMixedTypes="0" containsString="0" containsNumber="1" containsInteger="1" minValue="1" maxValue="2000"/>
    </cacheField>
    <cacheField name="Customer Name" numFmtId="0">
      <sharedItems/>
    </cacheField>
    <cacheField name="Customer Email" numFmtId="0">
      <sharedItems count="1995">
        <s v="donaldgarcia@hotmail.com"/>
        <s v="jesseguzman@hotmail.com"/>
        <s v="zlawrence@gmail.com"/>
        <s v="jasongallagher@gmail.com"/>
        <s v="lindsay78@gmail.com"/>
        <s v="barbara10@hotmail.com"/>
        <s v="jamesshawn@yahoo.com"/>
        <s v="lynchgeorge@hotmail.com"/>
        <s v="gabriellecameron@gmail.com"/>
        <s v="clarksherri@hotmail.com"/>
        <s v="ithomas@gmail.com"/>
        <s v="icox@hotmail.com"/>
        <s v="laurahenderson@gmail.com"/>
        <s v="frazierdanny@hotmail.com"/>
        <s v="amoore@hotmail.com"/>
        <s v="harrellkenneth@hotmail.com"/>
        <s v="georgetracy@gmail.com"/>
        <s v="allenashley@gmail.com"/>
        <s v="davidalvarez@hotmail.com"/>
        <s v="sarahcampos@hotmail.com"/>
        <s v="samuel87@gmail.com"/>
        <s v="briannasmith@hotmail.com"/>
        <s v="chad34@hotmail.com"/>
        <s v="esanchez@yahoo.com"/>
        <s v="uowens@gmail.com"/>
        <s v="lauren13@gmail.com"/>
        <s v="ewright@yahoo.com"/>
        <s v="novaksara@gmail.com"/>
        <s v="martinaaron@yahoo.com"/>
        <s v="smoore@gmail.com"/>
        <s v="williamsthomas@hotmail.com"/>
        <s v="larsonemma@gmail.com"/>
        <s v="harveyrobert@hotmail.com"/>
        <s v="john62@hotmail.com"/>
        <s v="smithchristine@hotmail.com"/>
        <s v="nicole35@yahoo.com"/>
        <s v="contrerasangela@hotmail.com"/>
        <s v="newtoneric@yahoo.com"/>
        <s v="william40@gmail.com"/>
        <s v="danagreen@hotmail.com"/>
        <s v="landryhannah@gmail.com"/>
        <s v="tanderson@yahoo.com"/>
        <s v="elizabethgomez@hotmail.com"/>
        <s v="michellecherry@gmail.com"/>
        <s v="vpham@gmail.com"/>
        <s v="garrisonjeffrey@yahoo.com"/>
        <s v="kellerraymond@yahoo.com"/>
        <s v="ifrazier@yahoo.com"/>
        <s v="benjamin96@yahoo.com"/>
        <s v="cruzbarbara@yahoo.com"/>
        <s v="michaeljones@hotmail.com"/>
        <s v="william65@yahoo.com"/>
        <s v="lbyrd@hotmail.com"/>
        <s v="jason99@hotmail.com"/>
        <s v="yleon@hotmail.com"/>
        <s v="clarence34@gmail.com"/>
        <s v="gibsonolivia@hotmail.com"/>
        <s v="dianasmith@gmail.com"/>
        <s v="pwilliams@gmail.com"/>
        <s v="stephanie79@hotmail.com"/>
        <s v="juliawells@yahoo.com"/>
        <s v="rsims@yahoo.com"/>
        <s v="taylorjesse@hotmail.com"/>
        <s v="nperry@yahoo.com"/>
        <s v="wwoods@yahoo.com"/>
        <s v="tracynelson@yahoo.com"/>
        <s v="marycalhoun@hotmail.com"/>
        <s v="millerroy@yahoo.com"/>
        <s v="matthew64@yahoo.com"/>
        <s v="cookemichael@hotmail.com"/>
        <s v="jamessmith@gmail.com"/>
        <s v="stevenscott@yahoo.com"/>
        <s v="tamirodriguez@gmail.com"/>
        <s v="charlesvaughn@hotmail.com"/>
        <s v="hoganashlee@gmail.com"/>
        <s v="alexander67@gmail.com"/>
        <s v="ryangross@hotmail.com"/>
        <s v="ugraham@hotmail.com"/>
        <s v="nicole37@hotmail.com"/>
        <s v="hunter35@yahoo.com"/>
        <s v="blackjames@gmail.com"/>
        <s v="fbrewer@yahoo.com"/>
        <s v="kevinperkins@yahoo.com"/>
        <s v="michael74@yahoo.com"/>
        <s v="jamesrodgers@yahoo.com"/>
        <s v="wallkenneth@yahoo.com"/>
        <s v="mccannangela@hotmail.com"/>
        <s v="andrewstaylor@yahoo.com"/>
        <s v="ewilson@yahoo.com"/>
        <s v="lisaavery@gmail.com"/>
        <s v="kimberlyjames@yahoo.com"/>
        <s v="lynchjody@gmail.com"/>
        <s v="andreamoore@yahoo.com"/>
        <s v="jasmine71@hotmail.com"/>
        <s v="ronaldstephens@hotmail.com"/>
        <s v="lauralarson@hotmail.com"/>
        <s v="gbender@hotmail.com"/>
        <s v="cassandra01@gmail.com"/>
        <s v="barbara27@hotmail.com"/>
        <s v="fwalters@gmail.com"/>
        <s v="marksteele@yahoo.com"/>
        <s v="qmiller@yahoo.com"/>
        <s v="sandovalamy@yahoo.com"/>
        <s v="nwolf@yahoo.com"/>
        <s v="omartinez@hotmail.com"/>
        <s v="hdavis@yahoo.com"/>
        <s v="william46@yahoo.com"/>
        <s v="michellehill@yahoo.com"/>
        <s v="jessica99@hotmail.com"/>
        <s v="andrea86@yahoo.com"/>
        <s v="xhall@yahoo.com"/>
        <s v="qhughes@hotmail.com"/>
        <s v="sawyerscott@hotmail.com"/>
        <s v="charlesharrington@yahoo.com"/>
        <s v="melissa86@yahoo.com"/>
        <s v="williamsonjimmy@hotmail.com"/>
        <s v="wallaceheather@gmail.com"/>
        <s v="hthomas@yahoo.com"/>
        <s v="pharvey@yahoo.com"/>
        <s v="elizabeth74@hotmail.com"/>
        <s v="danielle64@yahoo.com"/>
        <s v="patrickhoward@yahoo.com"/>
        <s v="alan09@hotmail.com"/>
        <s v="catherinegomez@hotmail.com"/>
        <s v="courtneyberger@hotmail.com"/>
        <s v="christopherphillips@hotmail.com"/>
        <s v="alyssa42@yahoo.com"/>
        <s v="mcdonaldcharles@gmail.com"/>
        <s v="christopher60@yahoo.com"/>
        <s v="brenda51@hotmail.com"/>
        <s v="rose31@hotmail.com"/>
        <s v="brandonjohnson@yahoo.com"/>
        <s v="vwatson@hotmail.com"/>
        <s v="fpena@hotmail.com"/>
        <s v="scottsampson@yahoo.com"/>
        <s v="sandersjames@gmail.com"/>
        <s v="williamsmatthew@gmail.com"/>
        <s v="brendali@gmail.com"/>
        <s v="michele22@hotmail.com"/>
        <s v="alexistyler@gmail.com"/>
        <s v="vfox@gmail.com"/>
        <s v="ngordon@gmail.com"/>
        <s v="bschneider@gmail.com"/>
        <s v="fjones@yahoo.com"/>
        <s v="oscar98@yahoo.com"/>
        <s v="farrelldebra@hotmail.com"/>
        <s v="dmorgan@yahoo.com"/>
        <s v="nicholas27@gmail.com"/>
        <s v="lisa80@hotmail.com"/>
        <s v="uparrish@gmail.com"/>
        <s v="ericolson@gmail.com"/>
        <s v="lindsaybruce@hotmail.com"/>
        <s v="anthony44@yahoo.com"/>
        <s v="vjones@hotmail.com"/>
        <s v="xpeterson@yahoo.com"/>
        <s v="moorekaren@gmail.com"/>
        <s v="nperry@hotmail.com"/>
        <s v="trose@gmail.com"/>
        <s v="sierra24@yahoo.com"/>
        <s v="omarpadilla@hotmail.com"/>
        <s v="grahamsteve@gmail.com"/>
        <s v="zroberts@gmail.com"/>
        <s v="christopher13@yahoo.com"/>
        <s v="jeffrey21@hotmail.com"/>
        <s v="michael23@gmail.com"/>
        <s v="thompsonkendra@yahoo.com"/>
        <s v="michelle52@yahoo.com"/>
        <s v="bellcharles@yahoo.com"/>
        <s v="gilbertwilliam@yahoo.com"/>
        <s v="kstout@hotmail.com"/>
        <s v="hayeslisa@yahoo.com"/>
        <s v="hritter@hotmail.com"/>
        <s v="rschroeder@hotmail.com"/>
        <s v="grantpaul@yahoo.com"/>
        <s v="mathewaguilar@gmail.com"/>
        <s v="brookehurley@yahoo.com"/>
        <s v="lucasrodney@yahoo.com"/>
        <s v="ilee@gmail.com"/>
        <s v="stanleynancy@hotmail.com"/>
        <s v="jenniferwilliams@yahoo.com"/>
        <s v="pyoung@yahoo.com"/>
        <s v="smurray@yahoo.com"/>
        <s v="moniquewilliams@yahoo.com"/>
        <s v="mitchellkathryn@yahoo.com"/>
        <s v="lisawilkerson@gmail.com"/>
        <s v="brooksanthony@gmail.com"/>
        <s v="samantha72@hotmail.com"/>
        <s v="jason28@hotmail.com"/>
        <s v="david36@hotmail.com"/>
        <s v="bcarlson@hotmail.com"/>
        <s v="mendezjohn@yahoo.com"/>
        <s v="ashleyamy@hotmail.com"/>
        <s v="qzavala@hotmail.com"/>
        <s v="ingramjill@yahoo.com"/>
        <s v="mariacohen@hotmail.com"/>
        <s v="mjohnson@gmail.com"/>
        <s v="ihays@yahoo.com"/>
        <s v="glennmartin@gmail.com"/>
        <s v="lmorgan@yahoo.com"/>
        <s v="mmiller@gmail.com"/>
        <s v="kirk96@gmail.com"/>
        <s v="christina64@hotmail.com"/>
        <s v="william20@gmail.com"/>
        <s v="kimberlydiaz@yahoo.com"/>
        <s v="nathan19@gmail.com"/>
        <s v="johnsonjacob@hotmail.com"/>
        <s v="nlewis@yahoo.com"/>
        <s v="hayesrachel@yahoo.com"/>
        <s v="jenna88@yahoo.com"/>
        <s v="laurahicks@gmail.com"/>
        <s v="angela57@hotmail.com"/>
        <s v="xfox@yahoo.com"/>
        <s v="howens@yahoo.com"/>
        <s v="katrinaanderson@hotmail.com"/>
        <s v="marcusfletcher@yahoo.com"/>
        <s v="david49@hotmail.com"/>
        <s v="georgeweber@hotmail.com"/>
        <s v="millerstacy@hotmail.com"/>
        <s v="jimenezcourtney@yahoo.com"/>
        <s v="eevans@hotmail.com"/>
        <s v="catherine55@hotmail.com"/>
        <s v="floressteven@yahoo.com"/>
        <s v="alin@gmail.com"/>
        <s v="kathrynjimenez@hotmail.com"/>
        <s v="jasongomez@gmail.com"/>
        <s v="booneryan@yahoo.com"/>
        <s v="hudsonjames@hotmail.com"/>
        <s v="marcia99@gmail.com"/>
        <s v="angela52@gmail.com"/>
        <s v="jenniferbrock@hotmail.com"/>
        <s v="francisco94@hotmail.com"/>
        <s v="thomas05@yahoo.com"/>
        <s v="carlsonjoseph@hotmail.com"/>
        <s v="silvageorge@hotmail.com"/>
        <s v="anthonyvaughan@gmail.com"/>
        <s v="roberthampton@yahoo.com"/>
        <s v="whitney78@yahoo.com"/>
        <s v="erica49@yahoo.com"/>
        <s v="kellie37@yahoo.com"/>
        <s v="keith98@yahoo.com"/>
        <s v="bobby15@yahoo.com"/>
        <s v="sarah42@gmail.com"/>
        <s v="danawilliams@yahoo.com"/>
        <s v="oconnelltiffany@gmail.com"/>
        <s v="katelynmitchell@yahoo.com"/>
        <s v="amandasharp@gmail.com"/>
        <s v="osbornrandy@yahoo.com"/>
        <s v="smithashley@gmail.com"/>
        <s v="ismall@hotmail.com"/>
        <s v="twong@gmail.com"/>
        <s v="gregorychase@yahoo.com"/>
        <s v="tinawoods@gmail.com"/>
        <s v="kevin90@yahoo.com"/>
        <s v="zparker@hotmail.com"/>
        <s v="fowlershelia@yahoo.com"/>
        <s v="madkins@yahoo.com"/>
        <s v="kathleenbecker@hotmail.com"/>
        <s v="starkdaniel@hotmail.com"/>
        <s v="nwilson@hotmail.com"/>
        <s v="williambryant@gmail.com"/>
        <s v="ascott@hotmail.com"/>
        <s v="weaverbrian@gmail.com"/>
        <s v="ybrooks@yahoo.com"/>
        <s v="desireebailey@gmail.com"/>
        <s v="avilatiffany@yahoo.com"/>
        <s v="johnreed@yahoo.com"/>
        <s v="bmendez@gmail.com"/>
        <s v="sanchezbradley@yahoo.com"/>
        <s v="williamroberts@hotmail.com"/>
        <s v="joel28@gmail.com"/>
        <s v="conniesimmons@yahoo.com"/>
        <s v="heather62@yahoo.com"/>
        <s v="kevinzimmerman@yahoo.com"/>
        <s v="paulscott@yahoo.com"/>
        <s v="brettbennett@hotmail.com"/>
        <s v="timothybooth@yahoo.com"/>
        <s v="burgesskaren@gmail.com"/>
        <s v="kimberly67@hotmail.com"/>
        <s v="zowens@hotmail.com"/>
        <s v="robert93@hotmail.com"/>
        <s v="mphillips@yahoo.com"/>
        <s v="jonathan77@yahoo.com"/>
        <s v="iwhite@hotmail.com"/>
        <s v="duranrobert@hotmail.com"/>
        <s v="nbrooks@hotmail.com"/>
        <s v="smithandrea@gmail.com"/>
        <s v="shawheidi@yahoo.com"/>
        <s v="christineking@yahoo.com"/>
        <s v="scunningham@gmail.com"/>
        <s v="davisnicholas@hotmail.com"/>
        <s v="pbruce@yahoo.com"/>
        <s v="hallrachel@hotmail.com"/>
        <s v="rachel90@gmail.com"/>
        <s v="thickman@gmail.com"/>
        <s v="patrick21@hotmail.com"/>
        <s v="petersonkayla@hotmail.com"/>
        <s v="whenry@hotmail.com"/>
        <s v="bartonkenneth@gmail.com"/>
        <s v="jodistewart@gmail.com"/>
        <s v="curtis12@yahoo.com"/>
        <s v="gomezchristopher@hotmail.com"/>
        <s v="umaxwell@hotmail.com"/>
        <s v="josephadams@gmail.com"/>
        <s v="wardsheryl@hotmail.com"/>
        <s v="rushmartin@hotmail.com"/>
        <s v="kevinmorrison@hotmail.com"/>
        <s v="kelly79@gmail.com"/>
        <s v="frederickjames@hotmail.com"/>
        <s v="nhahn@yahoo.com"/>
        <s v="ichambers@hotmail.com"/>
        <s v="mjones@yahoo.com"/>
        <s v="ystephens@yahoo.com"/>
        <s v="rodriguezjohn@hotmail.com"/>
        <s v="vrasmussen@yahoo.com"/>
        <s v="seanmyers@hotmail.com"/>
        <s v="agarcia@gmail.com"/>
        <s v="stanley38@yahoo.com"/>
        <s v="carlos01@gmail.com"/>
        <s v="zacharyarnold@yahoo.com"/>
        <s v="jacobsandoval@yahoo.com"/>
        <s v="tprice@gmail.com"/>
        <s v="lloydamanda@yahoo.com"/>
        <s v="orose@yahoo.com"/>
        <s v="megan92@hotmail.com"/>
        <s v="lawrenceallen@gmail.com"/>
        <s v="baileyhenderson@yahoo.com"/>
        <s v="angelaburns@gmail.com"/>
        <s v="stephanie72@gmail.com"/>
        <s v="cperry@yahoo.com"/>
        <s v="antonio38@yahoo.com"/>
        <s v="hdunn@hotmail.com"/>
        <s v="wolfscott@gmail.com"/>
        <s v="nancy07@yahoo.com"/>
        <s v="rowejoel@hotmail.com"/>
        <s v="imartin@gmail.com"/>
        <s v="mariopadilla@yahoo.com"/>
        <s v="taylorkaren@yahoo.com"/>
        <s v="dustinmorris@gmail.com"/>
        <s v="courtney67@gmail.com"/>
        <s v="heather57@yahoo.com"/>
        <s v="simonstephen@hotmail.com"/>
        <s v="tammysummers@yahoo.com"/>
        <s v="ashleewashington@yahoo.com"/>
        <s v="ksmith@yahoo.com"/>
        <s v="nicoleturner@yahoo.com"/>
        <s v="brettgarrett@hotmail.com"/>
        <s v="smiththomas@gmail.com"/>
        <s v="lisa62@yahoo.com"/>
        <s v="edwardsnicole@gmail.com"/>
        <s v="caseyelliott@hotmail.com"/>
        <s v="samanthajensen@yahoo.com"/>
        <s v="bbell@yahoo.com"/>
        <s v="kimberly04@gmail.com"/>
        <s v="bowerslaura@gmail.com"/>
        <s v="ricetiffany@yahoo.com"/>
        <s v="amy27@gmail.com"/>
        <s v="fryraymond@yahoo.com"/>
        <s v="imiller@hotmail.com"/>
        <s v="terrimoore@yahoo.com"/>
        <s v="collinssamuel@gmail.com"/>
        <s v="parkerjudith@hotmail.com"/>
        <s v="tylerreed@hotmail.com"/>
        <s v="jessica10@yahoo.com"/>
        <s v="crawfordwilliam@gmail.com"/>
        <s v="shannonemily@gmail.com"/>
        <s v="sanchezthomas@yahoo.com"/>
        <s v="pwalker@yahoo.com"/>
        <s v="shawrachel@gmail.com"/>
        <s v="wileymichelle@yahoo.com"/>
        <s v="anne49@gmail.com"/>
        <s v="jessicapayne@gmail.com"/>
        <s v="cynthia05@gmail.com"/>
        <s v="harristonya@yahoo.com"/>
        <s v="christopher38@yahoo.com"/>
        <s v="wagnerdana@yahoo.com"/>
        <s v="joelgreen@yahoo.com"/>
        <s v="enelson@gmail.com"/>
        <s v="shannonedwards@gmail.com"/>
        <s v="hbaker@gmail.com"/>
        <s v="lewismelissa@gmail.com"/>
        <s v="byrdjorge@gmail.com"/>
        <s v="codygarcia@gmail.com"/>
        <s v="jamesmorales@hotmail.com"/>
        <s v="johnsoncaleb@hotmail.com"/>
        <s v="david70@gmail.com"/>
        <s v="lvega@yahoo.com"/>
        <s v="austinharvey@gmail.com"/>
        <s v="millerpatrick@yahoo.com"/>
        <s v="mayokimberly@yahoo.com"/>
        <s v="paul20@yahoo.com"/>
        <s v="stokesthomas@yahoo.com"/>
        <s v="dianeadams@hotmail.com"/>
        <s v="lkelly@gmail.com"/>
        <s v="warnermichael@hotmail.com"/>
        <s v="lweaver@yahoo.com"/>
        <s v="nsmith@gmail.com"/>
        <s v="brian29@hotmail.com"/>
        <s v="brookssheri@yahoo.com"/>
        <s v="jessicakim@hotmail.com"/>
        <s v="jeffrey92@yahoo.com"/>
        <s v="rushstacy@yahoo.com"/>
        <s v="daniellegarcia@yahoo.com"/>
        <s v="gary15@yahoo.com"/>
        <s v="kristin00@yahoo.com"/>
        <s v="wmacias@hotmail.com"/>
        <s v="franciscojones@gmail.com"/>
        <s v="george62@hotmail.com"/>
        <s v="bbush@hotmail.com"/>
        <s v="jamie36@hotmail.com"/>
        <s v="kenneth10@yahoo.com"/>
        <s v="pattersonkelly@hotmail.com"/>
        <s v="daniellerowland@yahoo.com"/>
        <s v="christopher86@gmail.com"/>
        <s v="scott43@yahoo.com"/>
        <s v="barnettlindsey@yahoo.com"/>
        <s v="rsheppard@yahoo.com"/>
        <s v="shawrachel@hotmail.com"/>
        <s v="teresastokes@gmail.com"/>
        <s v="maryscott@hotmail.com"/>
        <s v="april09@hotmail.com"/>
        <s v="buckleyanna@gmail.com"/>
        <s v="pbaker@yahoo.com"/>
        <s v="christinebecker@yahoo.com"/>
        <s v="reesesamantha@yahoo.com"/>
        <s v="rgarrison@gmail.com"/>
        <s v="joseph69@hotmail.com"/>
        <s v="xmalone@gmail.com"/>
        <s v="htaylor@hotmail.com"/>
        <s v="wrightstephen@yahoo.com"/>
        <s v="hreid@hotmail.com"/>
        <s v="wmatthews@yahoo.com"/>
        <s v="mitchellpaul@gmail.com"/>
        <s v="ericaadams@yahoo.com"/>
        <s v="wellsdavid@gmail.com"/>
        <s v="jennifer46@yahoo.com"/>
        <s v="asilva@hotmail.com"/>
        <s v="kenneth17@gmail.com"/>
        <s v="jacob83@gmail.com"/>
        <s v="jenniferrios@yahoo.com"/>
        <s v="matthewreeves@hotmail.com"/>
        <s v="william28@gmail.com"/>
        <s v="staceylam@hotmail.com"/>
        <s v="vfrench@yahoo.com"/>
        <s v="delacruzbrandy@hotmail.com"/>
        <s v="amoreno@gmail.com"/>
        <s v="tthomas@gmail.com"/>
        <s v="cynthia07@yahoo.com"/>
        <s v="xglover@gmail.com"/>
        <s v="creyes@hotmail.com"/>
        <s v="andrewsmith@hotmail.com"/>
        <s v="reyesbrianna@gmail.com"/>
        <s v="ryan25@yahoo.com"/>
        <s v="osmith@hotmail.com"/>
        <s v="richardsondebra@gmail.com"/>
        <s v="wheelerbrandon@gmail.com"/>
        <s v="jjames@yahoo.com"/>
        <s v="turnerdorothy@hotmail.com"/>
        <s v="huntchristine@yahoo.com"/>
        <s v="marie35@hotmail.com"/>
        <s v="haleycastillo@gmail.com"/>
        <s v="fhernandez@hotmail.com"/>
        <s v="stephenmadden@yahoo.com"/>
        <s v="michael56@hotmail.com"/>
        <s v="elizabethjackson@yahoo.com"/>
        <s v="lisa21@yahoo.com"/>
        <s v="pmarsh@gmail.com"/>
        <s v="dalepruitt@yahoo.com"/>
        <s v="cheryl27@yahoo.com"/>
        <s v="alexander89@hotmail.com"/>
        <s v="reynoldsjessica@yahoo.com"/>
        <s v="smithsarah@hotmail.com"/>
        <s v="vflores@yahoo.com"/>
        <s v="christianwallace@hotmail.com"/>
        <s v="bmcgee@gmail.com"/>
        <s v="connersylvia@hotmail.com"/>
        <s v="xclements@gmail.com"/>
        <s v="xmoran@hotmail.com"/>
        <s v="michael48@hotmail.com"/>
        <s v="lydianewton@yahoo.com"/>
        <s v="ylewis@gmail.com"/>
        <s v="bartonshannon@hotmail.com"/>
        <s v="tranryan@hotmail.com"/>
        <s v="jessicaanderson@yahoo.com"/>
        <s v="mbarnes@hotmail.com"/>
        <s v="shawn22@yahoo.com"/>
        <s v="jennifer83@gmail.com"/>
        <s v="tinasantos@gmail.com"/>
        <s v="anna99@hotmail.com"/>
        <s v="natalie60@hotmail.com"/>
        <s v="josephfloyd@yahoo.com"/>
        <s v="james80@yahoo.com"/>
        <s v="juliahoffman@gmail.com"/>
        <s v="housepaul@hotmail.com"/>
        <s v="christinenorman@yahoo.com"/>
        <s v="kimberlybrandt@yahoo.com"/>
        <s v="jillwilson@gmail.com"/>
        <s v="adam72@gmail.com"/>
        <s v="tracy98@yahoo.com"/>
        <s v="abigailhartman@gmail.com"/>
        <s v="elizabethrivera@yahoo.com"/>
        <s v="wilsonmichael@gmail.com"/>
        <s v="patrick16@yahoo.com"/>
        <s v="willie87@yahoo.com"/>
        <s v="vaughangary@hotmail.com"/>
        <s v="michellecoleman@gmail.com"/>
        <s v="elucas@hotmail.com"/>
        <s v="jonesgregory@yahoo.com"/>
        <s v="ohughes@yahoo.com"/>
        <s v="maychristine@hotmail.com"/>
        <s v="robertsgina@hotmail.com"/>
        <s v="wellsamanda@gmail.com"/>
        <s v="kennetheaton@hotmail.com"/>
        <s v="davidsmith@hotmail.com"/>
        <s v="jason82@gmail.com"/>
        <s v="emilybradley@gmail.com"/>
        <s v="robertscarlos@gmail.com"/>
        <s v="emilyyoung@yahoo.com"/>
        <s v="christina49@gmail.com"/>
        <s v="adamsanchez@gmail.com"/>
        <s v="erinrivera@yahoo.com"/>
        <s v="thompsoncatherine@yahoo.com"/>
        <s v="lunapatricia@hotmail.com"/>
        <s v="rebeccaarnold@hotmail.com"/>
        <s v="patricialawrence@yahoo.com"/>
        <s v="batesmelanie@hotmail.com"/>
        <s v="ashleyknight@gmail.com"/>
        <s v="qhall@yahoo.com"/>
        <s v="paul70@gmail.com"/>
        <s v="mary49@hotmail.com"/>
        <s v="blacknicholas@gmail.com"/>
        <s v="aeaton@hotmail.com"/>
        <s v="jason22@yahoo.com"/>
        <s v="jennifer77@yahoo.com"/>
        <s v="bradleyberry@gmail.com"/>
        <s v="jacksonsandra@hotmail.com"/>
        <s v="stacey37@hotmail.com"/>
        <s v="laurahoover@gmail.com"/>
        <s v="sandra99@gmail.com"/>
        <s v="mserrano@gmail.com"/>
        <s v="davisdonna@hotmail.com"/>
        <s v="xboyd@gmail.com"/>
        <s v="zbell@hotmail.com"/>
        <s v="thomas31@yahoo.com"/>
        <s v="lanedavid@gmail.com"/>
        <s v="daniel69@yahoo.com"/>
        <s v="victoria63@yahoo.com"/>
        <s v="tking@hotmail.com"/>
        <s v="adkinssean@hotmail.com"/>
        <s v="martintamara@gmail.com"/>
        <s v="brownjeffrey@gmail.com"/>
        <s v="jennifer90@gmail.com"/>
        <s v="james98@hotmail.com"/>
        <s v="dianacantrell@gmail.com"/>
        <s v="aprilmclaughlin@gmail.com"/>
        <s v="michael43@hotmail.com"/>
        <s v="richardrodriguez@gmail.com"/>
        <s v="nancy94@hotmail.com"/>
        <s v="susan77@hotmail.com"/>
        <s v="ericahall@yahoo.com"/>
        <s v="john16@hotmail.com"/>
        <s v="nedwards@hotmail.com"/>
        <s v="victorgonzalez@hotmail.com"/>
        <s v="marykelly@gmail.com"/>
        <s v="duranamber@gmail.com"/>
        <s v="travis84@yahoo.com"/>
        <s v="imendoza@gmail.com"/>
        <s v="sbray@hotmail.com"/>
        <s v="ucarpenter@yahoo.com"/>
        <s v="thomas95@yahoo.com"/>
        <s v="shannon92@hotmail.com"/>
        <s v="angelachase@gmail.com"/>
        <s v="thompsonvictor@hotmail.com"/>
        <s v="anna90@yahoo.com"/>
        <s v="gcombs@yahoo.com"/>
        <s v="maurice61@yahoo.com"/>
        <s v="tiffanymitchell@yahoo.com"/>
        <s v="jamesjustin@hotmail.com"/>
        <s v="kwelch@yahoo.com"/>
        <s v="jennifer96@yahoo.com"/>
        <s v="lgutierrez@gmail.com"/>
        <s v="clarkrandy@gmail.com"/>
        <s v="fwarren@gmail.com"/>
        <s v="pparker@hotmail.com"/>
        <s v="anthonyalvarado@yahoo.com"/>
        <s v="staylor@hotmail.com"/>
        <s v="omills@hotmail.com"/>
        <s v="ramosmichael@yahoo.com"/>
        <s v="mauriceharrison@gmail.com"/>
        <s v="cannonlauren@hotmail.com"/>
        <s v="kfoster@hotmail.com"/>
        <s v="hendersonjohn@hotmail.com"/>
        <s v="robert12@gmail.com"/>
        <s v="blopez@gmail.com"/>
        <s v="joseph70@gmail.com"/>
        <s v="kristi75@yahoo.com"/>
        <s v="brianrowe@gmail.com"/>
        <s v="hclayton@hotmail.com"/>
        <s v="gonzalezjill@gmail.com"/>
        <s v="sharon20@hotmail.com"/>
        <s v="michaelwilliams@hotmail.com"/>
        <s v="jacksonjoshua@gmail.com"/>
        <s v="jbarker@yahoo.com"/>
        <s v="sarah00@yahoo.com"/>
        <s v="jhall@hotmail.com"/>
        <s v="norrismichael@gmail.com"/>
        <s v="amy73@hotmail.com"/>
        <s v="caseymoore@yahoo.com"/>
        <s v="bgross@hotmail.com"/>
        <s v="rlee@yahoo.com"/>
        <s v="daniel81@gmail.com"/>
        <s v="coreyduncan@yahoo.com"/>
        <s v="catherinejones@gmail.com"/>
        <s v="wardjulia@yahoo.com"/>
        <s v="navarromary@gmail.com"/>
        <s v="hlopez@hotmail.com"/>
        <s v="xreese@hotmail.com"/>
        <s v="jacksonhenry@yahoo.com"/>
        <s v="umahoney@hotmail.com"/>
        <s v="charlene98@gmail.com"/>
        <s v="zwest@gmail.com"/>
        <s v="victoriaturner@yahoo.com"/>
        <s v="samantha88@hotmail.com"/>
        <s v="josephpreston@gmail.com"/>
        <s v="jessicacummings@yahoo.com"/>
        <s v="larsonkevin@hotmail.com"/>
        <s v="michael66@gmail.com"/>
        <s v="walterscrystal@gmail.com"/>
        <s v="wayne32@gmail.com"/>
        <s v="walkerkeith@yahoo.com"/>
        <s v="kelleyjose@yahoo.com"/>
        <s v="fhansen@yahoo.com"/>
        <s v="johnadams@yahoo.com"/>
        <s v="whenderson@gmail.com"/>
        <s v="vanessajensen@yahoo.com"/>
        <s v="ginamoore@hotmail.com"/>
        <s v="mistywilkins@gmail.com"/>
        <s v="riverajody@gmail.com"/>
        <s v="heatherbarnett@yahoo.com"/>
        <s v="campbellkristina@hotmail.com"/>
        <s v="qguerrero@hotmail.com"/>
        <s v="yhall@hotmail.com"/>
        <s v="lopezvincent@yahoo.com"/>
        <s v="matthew62@gmail.com"/>
        <s v="lisa46@gmail.com"/>
        <s v="fsandoval@hotmail.com"/>
        <s v="robertberry@yahoo.com"/>
        <s v="denisecarpenter@hotmail.com"/>
        <s v="russellstout@gmail.com"/>
        <s v="whitemary@gmail.com"/>
        <s v="vturner@hotmail.com"/>
        <s v="anthonyodom@hotmail.com"/>
        <s v="gracehoward@hotmail.com"/>
        <s v="jack67@yahoo.com"/>
        <s v="schaeferstephanie@gmail.com"/>
        <s v="saraduke@hotmail.com"/>
        <s v="csullivan@hotmail.com"/>
        <s v="meyershannon@gmail.com"/>
        <s v="oblack@gmail.com"/>
        <s v="steven64@hotmail.com"/>
        <s v="gdavis@gmail.com"/>
        <s v="phillipmorris@gmail.com"/>
        <s v="udavis@hotmail.com"/>
        <s v="davisjasmin@hotmail.com"/>
        <s v="nicholasjames@gmail.com"/>
        <s v="haroldjoseph@yahoo.com"/>
        <s v="davidanderson@gmail.com"/>
        <s v="astephens@hotmail.com"/>
        <s v="mramos@hotmail.com"/>
        <s v="brandonhernandez@hotmail.com"/>
        <s v="mark10@gmail.com"/>
        <s v="tammycurry@yahoo.com"/>
        <s v="wwilkins@yahoo.com"/>
        <s v="mark68@gmail.com"/>
        <s v="webbhaley@hotmail.com"/>
        <s v="sara99@yahoo.com"/>
        <s v="jeanettekrause@gmail.com"/>
        <s v="laurenduarte@yahoo.com"/>
        <s v="davidsonhannah@yahoo.com"/>
        <s v="wilsonmathew@yahoo.com"/>
        <s v="markmorgan@hotmail.com"/>
        <s v="dmoore@hotmail.com"/>
        <s v="conleykevin@hotmail.com"/>
        <s v="lauren51@gmail.com"/>
        <s v="ashleyprice@hotmail.com"/>
        <s v="jennifer46@gmail.com"/>
        <s v="javier42@gmail.com"/>
        <s v="zhunter@yahoo.com"/>
        <s v="kimberly21@hotmail.com"/>
        <s v="meyerdonna@yahoo.com"/>
        <s v="james44@hotmail.com"/>
        <s v="joshuasmith@hotmail.com"/>
        <s v="joseph49@gmail.com"/>
        <s v="bwilliams@yahoo.com"/>
        <s v="mwhite@hotmail.com"/>
        <s v="martin38@gmail.com"/>
        <s v="tdavis@hotmail.com"/>
        <s v="douglashuang@yahoo.com"/>
        <s v="shawn01@yahoo.com"/>
        <s v="cassandra28@gmail.com"/>
        <s v="sparksamanda@yahoo.com"/>
        <s v="vreyes@gmail.com"/>
        <s v="amy32@hotmail.com"/>
        <s v="mwilson@yahoo.com"/>
        <s v="gjones@hotmail.com"/>
        <s v="davislisa@hotmail.com"/>
        <s v="shawncarter@hotmail.com"/>
        <s v="ashley46@hotmail.com"/>
        <s v="melissabrown@hotmail.com"/>
        <s v="callahanmichelle@gmail.com"/>
        <s v="bsullivan@hotmail.com"/>
        <s v="xbridges@yahoo.com"/>
        <s v="jonesalfred@hotmail.com"/>
        <s v="dawnperry@yahoo.com"/>
        <s v="jhicks@yahoo.com"/>
        <s v="pbradford@hotmail.com"/>
        <s v="goodashley@hotmail.com"/>
        <s v="jessicafox@yahoo.com"/>
        <s v="thomasharmon@hotmail.com"/>
        <s v="bergeramanda@gmail.com"/>
        <s v="robert44@gmail.com"/>
        <s v="bryan79@gmail.com"/>
        <s v="mitchellchristopher@hotmail.com"/>
        <s v="joshua40@hotmail.com"/>
        <s v="lwood@yahoo.com"/>
        <s v="cooperchristopher@gmail.com"/>
        <s v="ptownsend@hotmail.com"/>
        <s v="brian41@gmail.com"/>
        <s v="noahthornton@yahoo.com"/>
        <s v="ureyes@hotmail.com"/>
        <s v="stephanie69@hotmail.com"/>
        <s v="rmurray@hotmail.com"/>
        <s v="erica25@hotmail.com"/>
        <s v="foxgina@yahoo.com"/>
        <s v="brownbrooke@gmail.com"/>
        <s v="nicholasgallagher@hotmail.com"/>
        <s v="jonowens@gmail.com"/>
        <s v="jonathan14@gmail.com"/>
        <s v="gregory17@gmail.com"/>
        <s v="probinson@gmail.com"/>
        <s v="kimberly07@gmail.com"/>
        <s v="edward56@hotmail.com"/>
        <s v="upowell@gmail.com"/>
        <s v="imartinez@yahoo.com"/>
        <s v="diazmelissa@yahoo.com"/>
        <s v="gregorywilliams@yahoo.com"/>
        <s v="tom73@gmail.com"/>
        <s v="yprice@hotmail.com"/>
        <s v="blevy@gmail.com"/>
        <s v="lewisdesiree@hotmail.com"/>
        <s v="sandyjohnson@gmail.com"/>
        <s v="sanchezdeborah@gmail.com"/>
        <s v="bryantgeorge@hotmail.com"/>
        <s v="bryanharris@yahoo.com"/>
        <s v="marcoconnell@gmail.com"/>
        <s v="donald62@hotmail.com"/>
        <s v="andersonkylie@hotmail.com"/>
        <s v="smithharry@gmail.com"/>
        <s v="nschwartz@gmail.com"/>
        <s v="cheryljohnson@gmail.com"/>
        <s v="grantjames@hotmail.com"/>
        <s v="stevensims@gmail.com"/>
        <s v="kjimenez@hotmail.com"/>
        <s v="matthew70@gmail.com"/>
        <s v="washingtondarren@gmail.com"/>
        <s v="jerry15@gmail.com"/>
        <s v="charlesrichards@gmail.com"/>
        <s v="dbrooks@hotmail.com"/>
        <s v="antoniocarroll@yahoo.com"/>
        <s v="jeffrey49@gmail.com"/>
        <s v="christophervincent@yahoo.com"/>
        <s v="pfitzgerald@gmail.com"/>
        <s v="robinvillanueva@yahoo.com"/>
        <s v="simmonsphillip@hotmail.com"/>
        <s v="steelerichard@gmail.com"/>
        <s v="castillokevin@hotmail.com"/>
        <s v="iford@hotmail.com"/>
        <s v="daltonchad@hotmail.com"/>
        <s v="kristinmiller@yahoo.com"/>
        <s v="pamela16@yahoo.com"/>
        <s v="castrokim@gmail.com"/>
        <s v="karenhodges@yahoo.com"/>
        <s v="brownmichael@yahoo.com"/>
        <s v="shannon51@gmail.com"/>
        <s v="rodriguezjoshua@hotmail.com"/>
        <s v="robert82@yahoo.com"/>
        <s v="bryanwiggins@gmail.com"/>
        <s v="todd88@yahoo.com"/>
        <s v="kristinaperez@yahoo.com"/>
        <s v="nhuber@gmail.com"/>
        <s v="evanwilson@yahoo.com"/>
        <s v="wadetiffany@gmail.com"/>
        <s v="knapprichard@yahoo.com"/>
        <s v="cordovaamy@hotmail.com"/>
        <s v="laurenchandler@yahoo.com"/>
        <s v="ericawilson@gmail.com"/>
        <s v="brian39@hotmail.com"/>
        <s v="ryansean@hotmail.com"/>
        <s v="kerrmichael@gmail.com"/>
        <s v="michael47@hotmail.com"/>
        <s v="slara@gmail.com"/>
        <s v="maryharper@gmail.com"/>
        <s v="carl96@gmail.com"/>
        <s v="wpage@gmail.com"/>
        <s v="carsonkevin@hotmail.com"/>
        <s v="joseblanchard@hotmail.com"/>
        <s v="traviswatts@gmail.com"/>
        <s v="georgemichael@yahoo.com"/>
        <s v="brooksjessica@gmail.com"/>
        <s v="michaelbrown@yahoo.com"/>
        <s v="alyssa18@gmail.com"/>
        <s v="amybrennan@hotmail.com"/>
        <s v="fergusonmichael@gmail.com"/>
        <s v="kpeterson@gmail.com"/>
        <s v="butlersabrina@gmail.com"/>
        <s v="don79@hotmail.com"/>
        <s v="walkermelissa@gmail.com"/>
        <s v="colemankathryn@gmail.com"/>
        <s v="danielmcguire@hotmail.com"/>
        <s v="turneralex@gmail.com"/>
        <s v="jackbell@gmail.com"/>
        <s v="michael89@gmail.com"/>
        <s v="ricejennifer@yahoo.com"/>
        <s v="glasssamantha@hotmail.com"/>
        <s v="whitemichael@yahoo.com"/>
        <s v="david18@gmail.com"/>
        <s v="millertristan@yahoo.com"/>
        <s v="aperez@yahoo.com"/>
        <s v="xcrosby@gmail.com"/>
        <s v="wilsonralph@hotmail.com"/>
        <s v="calvinhester@yahoo.com"/>
        <s v="rhardy@hotmail.com"/>
        <s v="qkelly@hotmail.com"/>
        <s v="kingtyler@hotmail.com"/>
        <s v="lgregory@yahoo.com"/>
        <s v="wolfdonna@hotmail.com"/>
        <s v="amy88@gmail.com"/>
        <s v="ycole@yahoo.com"/>
        <s v="nicole27@yahoo.com"/>
        <s v="rkeller@hotmail.com"/>
        <s v="myerstroy@yahoo.com"/>
        <s v="johnsonbrandon@yahoo.com"/>
        <s v="oscar65@yahoo.com"/>
        <s v="brittany14@gmail.com"/>
        <s v="abradley@yahoo.com"/>
        <s v="uhudson@hotmail.com"/>
        <s v="tyler52@hotmail.com"/>
        <s v="pittmanamanda@yahoo.com"/>
        <s v="claudiarubio@hotmail.com"/>
        <s v="wsimmons@gmail.com"/>
        <s v="james64@hotmail.com"/>
        <s v="burtonzachary@gmail.com"/>
        <s v="umichael@hotmail.com"/>
        <s v="juliecannon@yahoo.com"/>
        <s v="meghanadams@yahoo.com"/>
        <s v="daniellee@gmail.com"/>
        <s v="chenderson@gmail.com"/>
        <s v="donna20@hotmail.com"/>
        <s v="carolyn16@yahoo.com"/>
        <s v="joelduncan@hotmail.com"/>
        <s v="tyler13@hotmail.com"/>
        <s v="vshaffer@gmail.com"/>
        <s v="scott49@gmail.com"/>
        <s v="pwells@yahoo.com"/>
        <s v="andrew90@hotmail.com"/>
        <s v="johnnycruz@hotmail.com"/>
        <s v="miaprice@yahoo.com"/>
        <s v="jason27@hotmail.com"/>
        <s v="hillchristopher@yahoo.com"/>
        <s v="gmcdowell@gmail.com"/>
        <s v="shawn00@hotmail.com"/>
        <s v="moralescourtney@yahoo.com"/>
        <s v="melaniejennings@yahoo.com"/>
        <s v="lauren31@yahoo.com"/>
        <s v="andrewjohnson@hotmail.com"/>
        <s v="sgonzalez@gmail.com"/>
        <s v="rubiogeorge@hotmail.com"/>
        <s v="fwilcox@gmail.com"/>
        <s v="keith76@gmail.com"/>
        <s v="jessica36@gmail.com"/>
        <s v="christinesolomon@yahoo.com"/>
        <s v="monicamccann@yahoo.com"/>
        <s v="charles80@gmail.com"/>
        <s v="smithwilliam@yahoo.com"/>
        <s v="carpenterjorge@hotmail.com"/>
        <s v="jennifer62@yahoo.com"/>
        <s v="julie64@yahoo.com"/>
        <s v="ustafford@hotmail.com"/>
        <s v="jbrown@gmail.com"/>
        <s v="fgraham@gmail.com"/>
        <s v="urodriguez@gmail.com"/>
        <s v="karencarson@hotmail.com"/>
        <s v="robertjones@yahoo.com"/>
        <s v="longbrittany@gmail.com"/>
        <s v="rgibson@hotmail.com"/>
        <s v="unguyen@hotmail.com"/>
        <s v="marcus01@hotmail.com"/>
        <s v="ndavis@gmail.com"/>
        <s v="davidhenry@yahoo.com"/>
        <s v="michaeldavis@yahoo.com"/>
        <s v="anna61@yahoo.com"/>
        <s v="palmerteresa@hotmail.com"/>
        <s v="robertssamuel@yahoo.com"/>
        <s v="alexandraphillips@gmail.com"/>
        <s v="dgutierrez@hotmail.com"/>
        <s v="mackallen@hotmail.com"/>
        <s v="millernancy@yahoo.com"/>
        <s v="matthew23@gmail.com"/>
        <s v="hamiltonandrew@yahoo.com"/>
        <s v="vmelton@hotmail.com"/>
        <s v="fballard@gmail.com"/>
        <s v="micheleclark@hotmail.com"/>
        <s v="christophercarrillo@gmail.com"/>
        <s v="emaynard@gmail.com"/>
        <s v="awilliams@gmail.com"/>
        <s v="mmclaughlin@hotmail.com"/>
        <s v="dhall@hotmail.com"/>
        <s v="hsmall@yahoo.com"/>
        <s v="martinjessica@yahoo.com"/>
        <s v="sandra72@yahoo.com"/>
        <s v="laura29@gmail.com"/>
        <s v="jamesobrien@gmail.com"/>
        <s v="angelakidd@yahoo.com"/>
        <s v="romanmatthew@gmail.com"/>
        <s v="kristen08@yahoo.com"/>
        <s v="mccarthysara@yahoo.com"/>
        <s v="harringtonchelsea@gmail.com"/>
        <s v="rhondamoore@yahoo.com"/>
        <s v="mooremichael@gmail.com"/>
        <s v="sanchezlisa@yahoo.com"/>
        <s v="qward@gmail.com"/>
        <s v="lauriegutierrez@yahoo.com"/>
        <s v="ramoskayla@hotmail.com"/>
        <s v="ryanlong@gmail.com"/>
        <s v="robert84@hotmail.com"/>
        <s v="isabellagriffin@gmail.com"/>
        <s v="pam63@yahoo.com"/>
        <s v="abigailfernandez@gmail.com"/>
        <s v="andrewzamora@hotmail.com"/>
        <s v="hbenitez@hotmail.com"/>
        <s v="williamsdebra@gmail.com"/>
        <s v="lindazhang@hotmail.com"/>
        <s v="michaelmitchell@hotmail.com"/>
        <s v="danielblack@gmail.com"/>
        <s v="dmiller@yahoo.com"/>
        <s v="hchapman@yahoo.com"/>
        <s v="adennis@gmail.com"/>
        <s v="bensonstanley@gmail.com"/>
        <s v="guzmanricky@gmail.com"/>
        <s v="kevin54@yahoo.com"/>
        <s v="twilliams@yahoo.com"/>
        <s v="carlos06@yahoo.com"/>
        <s v="ualvarez@hotmail.com"/>
        <s v="jcontreras@hotmail.com"/>
        <s v="zhall@yahoo.com"/>
        <s v="debbie20@hotmail.com"/>
        <s v="schneiderchristopher@hotmail.com"/>
        <s v="karenshaw@gmail.com"/>
        <s v="kristin39@yahoo.com"/>
        <s v="henrysarah@yahoo.com"/>
        <s v="hscott@gmail.com"/>
        <s v="moorestephanie@hotmail.com"/>
        <s v="evanscorey@gmail.com"/>
        <s v="williamsjohn@hotmail.com"/>
        <s v="adamslucas@hotmail.com"/>
        <s v="adamstabitha@hotmail.com"/>
        <s v="ashley71@hotmail.com"/>
        <s v="kimberlymedina@yahoo.com"/>
        <s v="denise20@gmail.com"/>
        <s v="megan39@hotmail.com"/>
        <s v="christopher12@hotmail.com"/>
        <s v="cynthia74@gmail.com"/>
        <s v="sloandennis@gmail.com"/>
        <s v="speters@hotmail.com"/>
        <s v="ryanpatricia@hotmail.com"/>
        <s v="paul01@yahoo.com"/>
        <s v="changerin@hotmail.com"/>
        <s v="jimsnyder@yahoo.com"/>
        <s v="adrianjoyce@hotmail.com"/>
        <s v="andreakeller@hotmail.com"/>
        <s v="julieanderson@hotmail.com"/>
        <s v="braunheather@hotmail.com"/>
        <s v="pdavidson@gmail.com"/>
        <s v="hsimpson@gmail.com"/>
        <s v="zstewart@gmail.com"/>
        <s v="tiffanycoleman@gmail.com"/>
        <s v="johnsonryan@gmail.com"/>
        <s v="danielallen@yahoo.com"/>
        <s v="parsonschristine@gmail.com"/>
        <s v="bennettpamela@hotmail.com"/>
        <s v="turnerconnie@gmail.com"/>
        <s v="nmorales@yahoo.com"/>
        <s v="yreyes@yahoo.com"/>
        <s v="gibsonmark@gmail.com"/>
        <s v="rebeccamartinez@hotmail.com"/>
        <s v="johnrobles@gmail.com"/>
        <s v="larry82@gmail.com"/>
        <s v="holmesdiane@gmail.com"/>
        <s v="hendersonjames@gmail.com"/>
        <s v="dneal@hotmail.com"/>
        <s v="robert21@yahoo.com"/>
        <s v="heatherowens@gmail.com"/>
        <s v="lharris@gmail.com"/>
        <s v="kellylee@hotmail.com"/>
        <s v="grant42@yahoo.com"/>
        <s v="renee02@yahoo.com"/>
        <s v="stephen55@hotmail.com"/>
        <s v="ejohns@gmail.com"/>
        <s v="ubenson@hotmail.com"/>
        <s v="melissaphillips@gmail.com"/>
        <s v="melissaschmitt@yahoo.com"/>
        <s v="jacksonpaul@hotmail.com"/>
        <s v="jennifer87@hotmail.com"/>
        <s v="clarkpatricia@yahoo.com"/>
        <s v="selenabrooks@hotmail.com"/>
        <s v="jerry07@hotmail.com"/>
        <s v="linda54@yahoo.com"/>
        <s v="rachel48@hotmail.com"/>
        <s v="wilsonmichael@hotmail.com"/>
        <s v="james92@hotmail.com"/>
        <s v="lynn66@hotmail.com"/>
        <s v="michelleperez@hotmail.com"/>
        <s v="dsharp@yahoo.com"/>
        <s v="cclark@hotmail.com"/>
        <s v="porterdonna@yahoo.com"/>
        <s v="mark09@gmail.com"/>
        <s v="nbaird@yahoo.com"/>
        <s v="tfowler@gmail.com"/>
        <s v="gibsonmiguel@gmail.com"/>
        <s v="andersonrobert@hotmail.com"/>
        <s v="kylemeyers@hotmail.com"/>
        <s v="waynecohen@yahoo.com"/>
        <s v="pjacobs@hotmail.com"/>
        <s v="mclaughlinkeith@yahoo.com"/>
        <s v="robertwhite@hotmail.com"/>
        <s v="longsonya@gmail.com"/>
        <s v="wolfejennifer@gmail.com"/>
        <s v="charles18@yahoo.com"/>
        <s v="ojohnson@hotmail.com"/>
        <s v="randysmith@gmail.com"/>
        <s v="fmurray@hotmail.com"/>
        <s v="mckenzie20@hotmail.com"/>
        <s v="chrisgallagher@hotmail.com"/>
        <s v="staffordamanda@yahoo.com"/>
        <s v="myerskyle@gmail.com"/>
        <s v="nicholasallen@gmail.com"/>
        <s v="erinbrown@gmail.com"/>
        <s v="perrydaniel@yahoo.com"/>
        <s v="hmcmillan@gmail.com"/>
        <s v="alexander37@gmail.com"/>
        <s v="jonesjeffery@yahoo.com"/>
        <s v="johnathandavis@yahoo.com"/>
        <s v="martinreid@hotmail.com"/>
        <s v="franklinbrenda@yahoo.com"/>
        <s v="hallchristina@gmail.com"/>
        <s v="brownnicholas@yahoo.com"/>
        <s v="vstevenson@gmail.com"/>
        <s v="swong@gmail.com"/>
        <s v="knoxelizabeth@gmail.com"/>
        <s v="lboyd@yahoo.com"/>
        <s v="brettbraun@gmail.com"/>
        <s v="joelmiller@hotmail.com"/>
        <s v="catherineturner@hotmail.com"/>
        <s v="xmiller@yahoo.com"/>
        <s v="ywolf@yahoo.com"/>
        <s v="brooke28@hotmail.com"/>
        <s v="ehart@gmail.com"/>
        <s v="adamhensley@hotmail.com"/>
        <s v="xwaller@yahoo.com"/>
        <s v="riddledavid@hotmail.com"/>
        <s v="william75@hotmail.com"/>
        <s v="timdorsey@yahoo.com"/>
        <s v="josegibson@hotmail.com"/>
        <s v="alexanderwise@hotmail.com"/>
        <s v="stonejacob@yahoo.com"/>
        <s v="uwillis@yahoo.com"/>
        <s v="lisa43@hotmail.com"/>
        <s v="esmith@hotmail.com"/>
        <s v="gregorylopez@gmail.com"/>
        <s v="jacobbrown@gmail.com"/>
        <s v="nsims@gmail.com"/>
        <s v="caleb09@gmail.com"/>
        <s v="ortegakristina@gmail.com"/>
        <s v="sarah75@hotmail.com"/>
        <s v="lisa56@yahoo.com"/>
        <s v="smithmonica@yahoo.com"/>
        <s v="meltonjoshua@hotmail.com"/>
        <s v="qrobertson@gmail.com"/>
        <s v="morgan57@gmail.com"/>
        <s v="shatfield@gmail.com"/>
        <s v="andersonlaura@yahoo.com"/>
        <s v="olsonamber@gmail.com"/>
        <s v="grahamjennifer@gmail.com"/>
        <s v="elizabeth12@hotmail.com"/>
        <s v="sarahmiranda@hotmail.com"/>
        <s v="yvaldez@hotmail.com"/>
        <s v="rodriguezmatthew@hotmail.com"/>
        <s v="stephanie90@yahoo.com"/>
        <s v="xflores@hotmail.com"/>
        <s v="fosteramanda@yahoo.com"/>
        <s v="jfrazier@hotmail.com"/>
        <s v="georgekyle@hotmail.com"/>
        <s v="troypadilla@yahoo.com"/>
        <s v="isabellawilliams@gmail.com"/>
        <s v="vickiekelley@yahoo.com"/>
        <s v="ujones@yahoo.com"/>
        <s v="barbararamos@yahoo.com"/>
        <s v="jillsmith@hotmail.com"/>
        <s v="bclements@hotmail.com"/>
        <s v="sierrawilson@hotmail.com"/>
        <s v="hsanchez@gmail.com"/>
        <s v="yparsons@hotmail.com"/>
        <s v="phill@yahoo.com"/>
        <s v="andrewberry@hotmail.com"/>
        <s v="patrickcooke@hotmail.com"/>
        <s v="richardhaynes@yahoo.com"/>
        <s v="stonebrenda@hotmail.com"/>
        <s v="whitecarol@gmail.com"/>
        <s v="baileydelgado@gmail.com"/>
        <s v="huntermichael@hotmail.com"/>
        <s v="brandon84@hotmail.com"/>
        <s v="catherine83@hotmail.com"/>
        <s v="kevinwall@gmail.com"/>
        <s v="qjones@yahoo.com"/>
        <s v="erica28@gmail.com"/>
        <s v="jenniferelliott@hotmail.com"/>
        <s v="mgray@gmail.com"/>
        <s v="ojones@gmail.com"/>
        <s v="joshuagarcia@gmail.com"/>
        <s v="brianna71@hotmail.com"/>
        <s v="mosleygeorge@yahoo.com"/>
        <s v="iwoods@yahoo.com"/>
        <s v="nicholasmoss@gmail.com"/>
        <s v="lmann@yahoo.com"/>
        <s v="tmeyer@gmail.com"/>
        <s v="megan11@hotmail.com"/>
        <s v="angela70@yahoo.com"/>
        <s v="sullivanchristina@hotmail.com"/>
        <s v="virginiaguerrero@hotmail.com"/>
        <s v="gregoryrichardson@gmail.com"/>
        <s v="nathanielwilson@hotmail.com"/>
        <s v="kevin44@gmail.com"/>
        <s v="sarah80@yahoo.com"/>
        <s v="wmurphy@gmail.com"/>
        <s v="garciatravis@gmail.com"/>
        <s v="xsmith@hotmail.com"/>
        <s v="imcclain@yahoo.com"/>
        <s v="tsmith@gmail.com"/>
        <s v="rachel23@yahoo.com"/>
        <s v="markduran@yahoo.com"/>
        <s v="danielrodriguez@gmail.com"/>
        <s v="brettgallegos@yahoo.com"/>
        <s v="bmiller@gmail.com"/>
        <s v="linvirginia@gmail.com"/>
        <s v="hayneswayne@gmail.com"/>
        <s v="richardhill@gmail.com"/>
        <s v="jamesalicia@hotmail.com"/>
        <s v="hicksdawn@yahoo.com"/>
        <s v="dwright@gmail.com"/>
        <s v="thomas91@yahoo.com"/>
        <s v="davisalexander@hotmail.com"/>
        <s v="julia98@hotmail.com"/>
        <s v="eatondavid@hotmail.com"/>
        <s v="jamesgriffin@gmail.com"/>
        <s v="mmayo@hotmail.com"/>
        <s v="patricia85@yahoo.com"/>
        <s v="gbarnes@gmail.com"/>
        <s v="sosabruce@hotmail.com"/>
        <s v="martinkaren@yahoo.com"/>
        <s v="adamarmstrong@hotmail.com"/>
        <s v="kevin34@hotmail.com"/>
        <s v="kellybowman@yahoo.com"/>
        <s v="veronicaclark@gmail.com"/>
        <s v="christopher84@hotmail.com"/>
        <s v="garrettalex@yahoo.com"/>
        <s v="medinatiffany@hotmail.com"/>
        <s v="molly98@gmail.com"/>
        <s v="omoore@hotmail.com"/>
        <s v="lwhite@gmail.com"/>
        <s v="andrew22@yahoo.com"/>
        <s v="spencerbrewer@yahoo.com"/>
        <s v="morrisonnicholas@gmail.com"/>
        <s v="andersonkayla@yahoo.com"/>
        <s v="rosariodaniel@hotmail.com"/>
        <s v="tochoa@yahoo.com"/>
        <s v="smithbradley@hotmail.com"/>
        <s v="barrandrew@yahoo.com"/>
        <s v="tmcdaniel@gmail.com"/>
        <s v="michael95@gmail.com"/>
        <s v="gregorymoreno@hotmail.com"/>
        <s v="colleen45@gmail.com"/>
        <s v="mccormickmichelle@gmail.com"/>
        <s v="hbriggs@hotmail.com"/>
        <s v="huntercruz@yahoo.com"/>
        <s v="devon36@yahoo.com"/>
        <s v="tmiller@yahoo.com"/>
        <s v="youngaaron@gmail.com"/>
        <s v="pruittmichael@gmail.com"/>
        <s v="osanchez@gmail.com"/>
        <s v="squinn@yahoo.com"/>
        <s v="kmonroe@gmail.com"/>
        <s v="lhernandez@yahoo.com"/>
        <s v="vjenkins@yahoo.com"/>
        <s v="ibarraantonio@gmail.com"/>
        <s v="qspencer@hotmail.com"/>
        <s v="teresa86@gmail.com"/>
        <s v="lynndaugherty@hotmail.com"/>
        <s v="kwilcox@gmail.com"/>
        <s v="coxkimberly@yahoo.com"/>
        <s v="carlaavila@yahoo.com"/>
        <s v="christopher99@gmail.com"/>
        <s v="alan54@yahoo.com"/>
        <s v="jacquelinedavis@yahoo.com"/>
        <s v="matthewspatrick@hotmail.com"/>
        <s v="cisnerosjesse@gmail.com"/>
        <s v="seth25@yahoo.com"/>
        <s v="nallen@hotmail.com"/>
        <s v="ballarddouglas@yahoo.com"/>
        <s v="udavis@gmail.com"/>
        <s v="jonesjennifer@yahoo.com"/>
        <s v="shelbybonilla@yahoo.com"/>
        <s v="scotthunt@hotmail.com"/>
        <s v="natalie09@hotmail.com"/>
        <s v="mooredaniel@yahoo.com"/>
        <s v="wcaldwell@yahoo.com"/>
        <s v="whitedaniel@yahoo.com"/>
        <s v="wendy73@hotmail.com"/>
        <s v="stacythomas@gmail.com"/>
        <s v="mayermichael@yahoo.com"/>
        <s v="onelson@gmail.com"/>
        <s v="hsavage@gmail.com"/>
        <s v="wpeterson@yahoo.com"/>
        <s v="tammykim@hotmail.com"/>
        <s v="christiancontreras@hotmail.com"/>
        <s v="alexis72@yahoo.com"/>
        <s v="mcneilsherry@gmail.com"/>
        <s v="julielopez@hotmail.com"/>
        <s v="stephaniebonilla@hotmail.com"/>
        <s v="wayne17@hotmail.com"/>
        <s v="wmills@yahoo.com"/>
        <s v="amyjames@hotmail.com"/>
        <s v="cowanlinda@gmail.com"/>
        <s v="nbrady@hotmail.com"/>
        <s v="melissa33@yahoo.com"/>
        <s v="belllaura@yahoo.com"/>
        <s v="xsmith@gmail.com"/>
        <s v="anunez@yahoo.com"/>
        <s v="matthew96@gmail.com"/>
        <s v="solisbecky@gmail.com"/>
        <s v="zachary63@gmail.com"/>
        <s v="ocameron@yahoo.com"/>
        <s v="kimcristina@hotmail.com"/>
        <s v="armstronganthony@hotmail.com"/>
        <s v="kennethnichols@gmail.com"/>
        <s v="hillsavannah@hotmail.com"/>
        <s v="hho@gmail.com"/>
        <s v="nkirk@yahoo.com"/>
        <s v="clarkrobert@yahoo.com"/>
        <s v="bergerdonna@hotmail.com"/>
        <s v="timothy99@hotmail.com"/>
        <s v="catherineherrera@hotmail.com"/>
        <s v="anthonytaylor@gmail.com"/>
        <s v="stephaniebailey@hotmail.com"/>
        <s v="qnielsen@gmail.com"/>
        <s v="ygarcia@hotmail.com"/>
        <s v="bandrade@hotmail.com"/>
        <s v="kpatterson@yahoo.com"/>
        <s v="rubiojohnny@yahoo.com"/>
        <s v="raymond12@yahoo.com"/>
        <s v="nathan51@gmail.com"/>
        <s v="rachel81@yahoo.com"/>
        <s v="jennifer19@hotmail.com"/>
        <s v="jameslang@yahoo.com"/>
        <s v="brittany39@gmail.com"/>
        <s v="buckjustin@yahoo.com"/>
        <s v="jonescody@yahoo.com"/>
        <s v="hawkinslawrence@hotmail.com"/>
        <s v="cameronsharon@gmail.com"/>
        <s v="michelle63@gmail.com"/>
        <s v="villamiranda@yahoo.com"/>
        <s v="mark96@yahoo.com"/>
        <s v="luishernandez@hotmail.com"/>
        <s v="beckystanley@yahoo.com"/>
        <s v="jennifer58@gmail.com"/>
        <s v="bonillabrian@gmail.com"/>
        <s v="petersonlisa@hotmail.com"/>
        <s v="grios@gmail.com"/>
        <s v="kimberlylopez@yahoo.com"/>
        <s v="thomasnancy@hotmail.com"/>
        <s v="alvarezalyssa@yahoo.com"/>
        <s v="edwardshaw@hotmail.com"/>
        <s v="bdennis@gmail.com"/>
        <s v="gstone@hotmail.com"/>
        <s v="jacobsonbarbara@gmail.com"/>
        <s v="gmyers@gmail.com"/>
        <s v="kristibailey@yahoo.com"/>
        <s v="sstevenson@gmail.com"/>
        <s v="athomas@hotmail.com"/>
        <s v="jacksonkathleen@gmail.com"/>
        <s v="thomaswilliams@gmail.com"/>
        <s v="karirowe@gmail.com"/>
        <s v="veronica47@yahoo.com"/>
        <s v="patricia97@gmail.com"/>
        <s v="qchase@gmail.com"/>
        <s v="leestephanie@hotmail.com"/>
        <s v="harcher@gmail.com"/>
        <s v="rlandry@yahoo.com"/>
        <s v="hamiltonspencer@yahoo.com"/>
        <s v="stevenhernandez@yahoo.com"/>
        <s v="marshalexis@gmail.com"/>
        <s v="adam50@gmail.com"/>
        <s v="stephaniereeves@gmail.com"/>
        <s v="antoniofitzpatrick@gmail.com"/>
        <s v="orozcosamantha@hotmail.com"/>
        <s v="feliciagonzalez@gmail.com"/>
        <s v="ygardner@yahoo.com"/>
        <s v="taylor67@yahoo.com"/>
        <s v="idavis@hotmail.com"/>
        <s v="brian62@yahoo.com"/>
        <s v="fcombs@gmail.com"/>
        <s v="shortariana@hotmail.com"/>
        <s v="mileszachary@hotmail.com"/>
        <s v="kevincollins@gmail.com"/>
        <s v="cassandramartinez@gmail.com"/>
        <s v="hmyers@yahoo.com"/>
        <s v="lorraine79@gmail.com"/>
        <s v="georgeharmon@hotmail.com"/>
        <s v="rrichardson@yahoo.com"/>
        <s v="shernandez@yahoo.com"/>
        <s v="wwilliams@gmail.com"/>
        <s v="michaelfoley@hotmail.com"/>
        <s v="thompsonedward@hotmail.com"/>
        <s v="joshuafarmer@yahoo.com"/>
        <s v="lobrien@hotmail.com"/>
        <s v="heidichapman@hotmail.com"/>
        <s v="christianerik@gmail.com"/>
        <s v="tinastokes@hotmail.com"/>
        <s v="acampos@gmail.com"/>
        <s v="alexandernicholas@hotmail.com"/>
        <s v="oanderson@hotmail.com"/>
        <s v="jeremiah26@hotmail.com"/>
        <s v="harrislisa@gmail.com"/>
        <s v="jacob87@gmail.com"/>
        <s v="lauriegonzales@hotmail.com"/>
        <s v="craig73@gmail.com"/>
        <s v="sandra46@hotmail.com"/>
        <s v="fergusonjohn@hotmail.com"/>
        <s v="aguilarsharon@yahoo.com"/>
        <s v="pamela02@gmail.com"/>
        <s v="youngcharles@hotmail.com"/>
        <s v="dodsoncarly@hotmail.com"/>
        <s v="garciatyler@gmail.com"/>
        <s v="andrewbrown@gmail.com"/>
        <s v="tranbrett@yahoo.com"/>
        <s v="kimpenny@yahoo.com"/>
        <s v="christophersmith@yahoo.com"/>
        <s v="ritteralexis@hotmail.com"/>
        <s v="justinedwards@hotmail.com"/>
        <s v="hmendoza@hotmail.com"/>
        <s v="priscilla37@hotmail.com"/>
        <s v="alisonadams@hotmail.com"/>
        <s v="nramirez@gmail.com"/>
        <s v="jenny20@gmail.com"/>
        <s v="porterarthur@yahoo.com"/>
        <s v="melissa67@gmail.com"/>
        <s v="donnapatel@hotmail.com"/>
        <s v="sandra49@gmail.com"/>
        <s v="vpatton@gmail.com"/>
        <s v="michele87@yahoo.com"/>
        <s v="pmcdonald@gmail.com"/>
        <s v="kelseyphillips@hotmail.com"/>
        <s v="kimberly90@gmail.com"/>
        <s v="scottsmith@gmail.com"/>
        <s v="rickyriley@gmail.com"/>
        <s v="xwhite@yahoo.com"/>
        <s v="monicadouglas@gmail.com"/>
        <s v="criley@hotmail.com"/>
        <s v="allen58@hotmail.com"/>
        <s v="ewilson@gmail.com"/>
        <s v="bjones@yahoo.com"/>
        <s v="xmerritt@yahoo.com"/>
        <s v="rhondajohnson@hotmail.com"/>
        <s v="shelby69@gmail.com"/>
        <s v="friedmansusan@gmail.com"/>
        <s v="hryan@hotmail.com"/>
        <s v="mstewart@hotmail.com"/>
        <s v="jerry51@hotmail.com"/>
        <s v="bellwilliam@yahoo.com"/>
        <s v="sarasanchez@yahoo.com"/>
        <s v="matthew11@yahoo.com"/>
        <s v="rachelwalter@gmail.com"/>
        <s v="inewton@gmail.com"/>
        <s v="wstrong@gmail.com"/>
        <s v="phyllis59@hotmail.com"/>
        <s v="stephanie67@hotmail.com"/>
        <s v="jenniferlawrence@hotmail.com"/>
        <s v="cgray@gmail.com"/>
        <s v="kennethpeterson@hotmail.com"/>
        <s v="ymitchell@yahoo.com"/>
        <s v="russellramirez@hotmail.com"/>
        <s v="tommy32@yahoo.com"/>
        <s v="codyarnold@hotmail.com"/>
        <s v="adamwall@gmail.com"/>
        <s v="dmeyer@yahoo.com"/>
        <s v="fsnyder@gmail.com"/>
        <s v="garnerjeffrey@gmail.com"/>
        <s v="mannleroy@gmail.com"/>
        <s v="mckenzieguerrero@hotmail.com"/>
        <s v="owiggins@hotmail.com"/>
        <s v="mcampbell@hotmail.com"/>
        <s v="hamiltontravis@hotmail.com"/>
        <s v="pwelch@hotmail.com"/>
        <s v="nancycontreras@yahoo.com"/>
        <s v="colin14@yahoo.com"/>
        <s v="qhuber@gmail.com"/>
        <s v="flarsen@hotmail.com"/>
        <s v="pamelapatton@gmail.com"/>
        <s v="blamb@yahoo.com"/>
        <s v="daisy04@yahoo.com"/>
        <s v="gouldchristina@yahoo.com"/>
        <s v="tdavis@yahoo.com"/>
        <s v="michaelgonzalez@gmail.com"/>
        <s v="reneerivera@gmail.com"/>
        <s v="fischeralisha@hotmail.com"/>
        <s v="hallkelsey@gmail.com"/>
        <s v="vanderson@yahoo.com"/>
        <s v="vsmith@hotmail.com"/>
        <s v="mlee@yahoo.com"/>
        <s v="stephen14@hotmail.com"/>
        <s v="ehoffman@yahoo.com"/>
        <s v="xluna@hotmail.com"/>
        <s v="cwise@yahoo.com"/>
        <s v="davisgary@yahoo.com"/>
        <s v="kmills@gmail.com"/>
        <s v="mary05@hotmail.com"/>
        <s v="karinorton@hotmail.com"/>
        <s v="vrobertson@hotmail.com"/>
        <s v="katherinemartin@hotmail.com"/>
        <s v="mccluretyler@hotmail.com"/>
        <s v="david44@hotmail.com"/>
        <s v="kellycohen@hotmail.com"/>
        <s v="sharonho@hotmail.com"/>
        <s v="robert27@gmail.com"/>
        <s v="drivera@hotmail.com"/>
        <s v="michaelsmith@gmail.com"/>
        <s v="michael64@hotmail.com"/>
        <s v="crossjoshua@yahoo.com"/>
        <s v="xrivera@hotmail.com"/>
        <s v="aclark@gmail.com"/>
        <s v="thomassmith@gmail.com"/>
        <s v="gmurphy@gmail.com"/>
        <s v="hkelly@yahoo.com"/>
        <s v="soniabass@hotmail.com"/>
        <s v="gina86@hotmail.com"/>
        <s v="jessica39@hotmail.com"/>
        <s v="gonzalezmichael@gmail.com"/>
        <s v="wesley09@yahoo.com"/>
        <s v="joshua09@gmail.com"/>
        <s v="vthompson@hotmail.com"/>
        <s v="janicethompson@gmail.com"/>
        <s v="edwardsmichaela@yahoo.com"/>
        <s v="rachael29@hotmail.com"/>
        <s v="brownmandy@hotmail.com"/>
        <s v="charlotte86@gmail.com"/>
        <s v="ann15@yahoo.com"/>
        <s v="wilsonchristopher@hotmail.com"/>
        <s v="kristinarobinson@yahoo.com"/>
        <s v="julierojas@yahoo.com"/>
        <s v="robert34@gmail.com"/>
        <s v="burnsbeth@yahoo.com"/>
        <s v="benjamindavenport@yahoo.com"/>
        <s v="debbie43@yahoo.com"/>
        <s v="christopher34@gmail.com"/>
        <s v="thomasmcdonald@yahoo.com"/>
        <s v="jacqueline50@gmail.com"/>
        <s v="robintorres@yahoo.com"/>
        <s v="swatkins@yahoo.com"/>
        <s v="carolyn76@yahoo.com"/>
        <s v="fisherkim@hotmail.com"/>
        <s v="olivia83@hotmail.com"/>
        <s v="wallerkyle@gmail.com"/>
        <s v="jamesjackson@yahoo.com"/>
        <s v="ericpeters@yahoo.com"/>
        <s v="ehale@hotmail.com"/>
        <s v="hugheslucas@gmail.com"/>
        <s v="icarlson@gmail.com"/>
        <s v="katrinawood@yahoo.com"/>
        <s v="brewerdevin@gmail.com"/>
        <s v="ronaldmitchell@yahoo.com"/>
        <s v="zwhite@hotmail.com"/>
        <s v="riosrichard@gmail.com"/>
        <s v="psmith@hotmail.com"/>
        <s v="munozleah@yahoo.com"/>
        <s v="daniel26@hotmail.com"/>
        <s v="stacy94@gmail.com"/>
        <s v="marshallbill@yahoo.com"/>
        <s v="ronald40@hotmail.com"/>
        <s v="kenneth09@gmail.com"/>
        <s v="christopherdavis@hotmail.com"/>
        <s v="pbarker@hotmail.com"/>
        <s v="thomastiffany@hotmail.com"/>
        <s v="roberto02@hotmail.com"/>
        <s v="ysanford@gmail.com"/>
        <s v="heatherwilliams@hotmail.com"/>
        <s v="joshuapowers@hotmail.com"/>
        <s v="yclark@yahoo.com"/>
        <s v="colton30@hotmail.com"/>
        <s v="omatthews@hotmail.com"/>
        <s v="matthew57@gmail.com"/>
        <s v="emilyscott@gmail.com"/>
        <s v="christopher85@yahoo.com"/>
        <s v="colleenjackson@yahoo.com"/>
        <s v="angela73@yahoo.com"/>
        <s v="fosterjason@gmail.com"/>
        <s v="wpierce@gmail.com"/>
        <s v="beckgloria@hotmail.com"/>
        <s v="michelesimpson@yahoo.com"/>
        <s v="ricardosmith@yahoo.com"/>
        <s v="acarpenter@yahoo.com"/>
        <s v="greenejessica@gmail.com"/>
        <s v="craneandrew@hotmail.com"/>
        <s v="stephensharp@gmail.com"/>
        <s v="kellykline@gmail.com"/>
        <s v="laurakaufman@hotmail.com"/>
        <s v="johnbowen@gmail.com"/>
        <s v="eatkins@yahoo.com"/>
        <s v="gonzalesmaria@gmail.com"/>
        <s v="coxjennifer@hotmail.com"/>
        <s v="melaniechang@hotmail.com"/>
        <s v="donald37@gmail.com"/>
        <s v="wgoodwin@yahoo.com"/>
        <s v="ashley90@gmail.com"/>
        <s v="jennifer42@hotmail.com"/>
        <s v="julianeal@gmail.com"/>
        <s v="rosalesbrandy@gmail.com"/>
        <s v="kwoods@yahoo.com"/>
        <s v="nicholas72@hotmail.com"/>
        <s v="petersonkyle@gmail.com"/>
        <s v="michaelstevens@hotmail.com"/>
        <s v="judithcox@gmail.com"/>
        <s v="angela88@gmail.com"/>
        <s v="laura23@gmail.com"/>
        <s v="andrea13@hotmail.com"/>
        <s v="jeremywillis@hotmail.com"/>
        <s v="kristy13@yahoo.com"/>
        <s v="carmenevans@gmail.com"/>
        <s v="mwaters@hotmail.com"/>
        <s v="fguzman@hotmail.com"/>
        <s v="joseph83@yahoo.com"/>
        <s v="rowlandsonya@yahoo.com"/>
        <s v="haroldhodges@hotmail.com"/>
        <s v="jamesrodriguez@gmail.com"/>
        <s v="tgarcia@hotmail.com"/>
        <s v="kfloyd@hotmail.com"/>
        <s v="rchan@gmail.com"/>
        <s v="kevinacosta@hotmail.com"/>
        <s v="zsmith@gmail.com"/>
        <s v="andrew33@hotmail.com"/>
        <s v="ugibbs@hotmail.com"/>
        <s v="ggates@gmail.com"/>
        <s v="ccrane@hotmail.com"/>
        <s v="valerie96@gmail.com"/>
        <s v="hmclean@yahoo.com"/>
        <s v="jholloway@hotmail.com"/>
        <s v="ashley48@hotmail.com"/>
        <s v="susan57@hotmail.com"/>
        <s v="ffoster@gmail.com"/>
        <s v="gforbes@yahoo.com"/>
        <s v="navarroannette@hotmail.com"/>
        <s v="berrytaylor@hotmail.com"/>
        <s v="steven25@gmail.com"/>
        <s v="zpreston@hotmail.com"/>
        <s v="marcushernandez@gmail.com"/>
        <s v="kaylaandrews@yahoo.com"/>
        <s v="kylegarcia@hotmail.com"/>
        <s v="stephanie55@gmail.com"/>
        <s v="jesse35@gmail.com"/>
        <s v="vjohnson@hotmail.com"/>
        <s v="kellilawrence@gmail.com"/>
        <s v="martinjason@yahoo.com"/>
        <s v="jasondavis@hotmail.com"/>
        <s v="smithlinda@yahoo.com"/>
        <s v="pbautista@yahoo.com"/>
        <s v="jessica50@gmail.com"/>
        <s v="heatherfarmer@gmail.com"/>
        <s v="christina26@gmail.com"/>
        <s v="michaelbuckley@gmail.com"/>
        <s v="anthony05@gmail.com"/>
        <s v="ryankathryn@hotmail.com"/>
        <s v="christophermcneil@gmail.com"/>
        <s v="mtaylor@hotmail.com"/>
        <s v="marcusfernandez@hotmail.com"/>
        <s v="davidrobertson@gmail.com"/>
        <s v="olivia13@gmail.com"/>
        <s v="hbarnett@hotmail.com"/>
        <s v="donna90@hotmail.com"/>
        <s v="alexiswalters@gmail.com"/>
        <s v="jacob96@yahoo.com"/>
        <s v="diana85@yahoo.com"/>
        <s v="qalvarado@yahoo.com"/>
        <s v="oconnelldavid@gmail.com"/>
        <s v="morganparker@yahoo.com"/>
        <s v="gwilkins@gmail.com"/>
        <s v="alicia29@hotmail.com"/>
        <s v="nicholasgarcia@gmail.com"/>
        <s v="amberfriedman@yahoo.com"/>
        <s v="peter86@yahoo.com"/>
        <s v="kingangela@yahoo.com"/>
        <s v="fischerdonald@yahoo.com"/>
        <s v="petermoore@yahoo.com"/>
        <s v="tabithahill@yahoo.com"/>
        <s v="scottchambers@yahoo.com"/>
        <s v="chall@yahoo.com"/>
        <s v="nancy06@yahoo.com"/>
        <s v="oblake@hotmail.com"/>
        <s v="john76@yahoo.com"/>
        <s v="rebecca85@yahoo.com"/>
        <s v="marqueztodd@hotmail.com"/>
        <s v="kcastro@yahoo.com"/>
        <s v="garzalaura@gmail.com"/>
        <s v="tochoa@hotmail.com"/>
        <s v="bentleylisa@hotmail.com"/>
        <s v="andrewbautista@gmail.com"/>
        <s v="michael55@gmail.com"/>
        <s v="kayla23@hotmail.com"/>
        <s v="kimberly27@gmail.com"/>
        <s v="leslietorres@hotmail.com"/>
        <s v="katherineharris@hotmail.com"/>
        <s v="susanmorris@gmail.com"/>
        <s v="katherine82@yahoo.com"/>
        <s v="jphelps@hotmail.com"/>
        <s v="kirkjill@yahoo.com"/>
        <s v="pmckenzie@hotmail.com"/>
        <s v="johnperez@hotmail.com"/>
        <s v="amassey@hotmail.com"/>
        <s v="tfrancis@yahoo.com"/>
        <s v="lukekelly@hotmail.com"/>
        <s v="colinlowery@hotmail.com"/>
        <s v="jenniferrobbins@hotmail.com"/>
        <s v="stevenssamuel@hotmail.com"/>
        <s v="dhansen@yahoo.com"/>
        <s v="blevinsjoshua@yahoo.com"/>
        <s v="valerielewis@yahoo.com"/>
        <s v="ithomas@hotmail.com"/>
        <s v="briana19@gmail.com"/>
        <s v="maryjohnson@yahoo.com"/>
        <s v="yballard@hotmail.com"/>
        <s v="gregory64@yahoo.com"/>
        <s v="morgankaren@hotmail.com"/>
        <s v="flemingcody@gmail.com"/>
        <s v="michele23@hotmail.com"/>
        <s v="carolberry@yahoo.com"/>
        <s v="cjohnson@hotmail.com"/>
        <s v="daniel29@hotmail.com"/>
        <s v="sharon86@yahoo.com"/>
        <s v="johnroth@gmail.com"/>
        <s v="qcochran@hotmail.com"/>
        <s v="rhonda99@hotmail.com"/>
        <s v="luke73@yahoo.com"/>
        <s v="henrymarc@yahoo.com"/>
        <s v="kelli08@gmail.com"/>
        <s v="daniellestevenson@hotmail.com"/>
        <s v="colongabrielle@yahoo.com"/>
        <s v="lozanocorey@gmail.com"/>
        <s v="ashleyaustin@gmail.com"/>
        <s v="strongdonna@yahoo.com"/>
        <s v="moorecarol@hotmail.com"/>
        <s v="jamie46@hotmail.com"/>
        <s v="lisafreeman@hotmail.com"/>
        <s v="sanderson@gmail.com"/>
        <s v="ijones@yahoo.com"/>
        <s v="smitchell@yahoo.com"/>
        <s v="stephaniepeters@yahoo.com"/>
        <s v="rodriguezbenjamin@yahoo.com"/>
        <s v="cgilbert@hotmail.com"/>
        <s v="kaylahardy@gmail.com"/>
        <s v="sandra57@gmail.com"/>
        <s v="perezcourtney@yahoo.com"/>
        <s v="carolynroberts@gmail.com"/>
        <s v="ortizamanda@hotmail.com"/>
        <s v="rachelsutton@gmail.com"/>
        <s v="vincentkathleen@gmail.com"/>
        <s v="ppineda@yahoo.com"/>
        <s v="feliciasalazar@yahoo.com"/>
        <s v="jeffrey42@yahoo.com"/>
        <s v="douglas76@hotmail.com"/>
        <s v="jared66@yahoo.com"/>
        <s v="matthew62@hotmail.com"/>
        <s v="stacydaniel@hotmail.com"/>
        <s v="tbrooks@gmail.com"/>
        <s v="rebecca96@gmail.com"/>
        <s v="bgiles@gmail.com"/>
        <s v="joshuareese@hotmail.com"/>
        <s v="edwardstewart@gmail.com"/>
        <s v="lowekristin@gmail.com"/>
        <s v="edwardsrachel@gmail.com"/>
        <s v="cindy59@yahoo.com"/>
        <s v="rachelhernandez@yahoo.com"/>
        <s v="rgraves@hotmail.com"/>
        <s v="cdavis@gmail.com"/>
        <s v="sarah99@gmail.com"/>
        <s v="nicole15@gmail.com"/>
        <s v="danieldonovan@hotmail.com"/>
        <s v="gomeztonya@yahoo.com"/>
        <s v="melissa38@yahoo.com"/>
        <s v="brettallen@yahoo.com"/>
        <s v="vhopkins@hotmail.com"/>
        <s v="turnerjames@yahoo.com"/>
        <s v="zrogers@hotmail.com"/>
        <s v="jennifer83@yahoo.com"/>
        <s v="trujillorobin@hotmail.com"/>
        <s v="charlesbrooks@gmail.com"/>
        <s v="sharpjill@yahoo.com"/>
        <s v="vwelch@hotmail.com"/>
        <s v="lopezjennifer@gmail.com"/>
        <s v="hughescolleen@gmail.com"/>
        <s v="taylordennis@hotmail.com"/>
        <s v="josehumphrey@hotmail.com"/>
        <s v="melindaavila@gmail.com"/>
        <s v="shunter@gmail.com"/>
        <s v="penatammy@yahoo.com"/>
        <s v="raven09@yahoo.com"/>
        <s v="floreskelsey@yahoo.com"/>
        <s v="jessica57@yahoo.com"/>
        <s v="vedwards@gmail.com"/>
        <s v="uhobbs@yahoo.com"/>
        <s v="bbarnes@gmail.com"/>
        <s v="bdiaz@hotmail.com"/>
        <s v="myersedward@yahoo.com"/>
        <s v="jeremy79@hotmail.com"/>
        <s v="gomezdaniel@yahoo.com"/>
        <s v="alara@yahoo.com"/>
        <s v="gabriella69@gmail.com"/>
        <s v="mikewaller@gmail.com"/>
        <s v="haley57@yahoo.com"/>
        <s v="tammyharrington@hotmail.com"/>
        <s v="tracyharrison@gmail.com"/>
        <s v="christopher77@hotmail.com"/>
        <s v="jennifer50@yahoo.com"/>
        <s v="yhoffman@yahoo.com"/>
        <s v="susanharper@gmail.com"/>
        <s v="john66@hotmail.com"/>
        <s v="pearsonkathryn@gmail.com"/>
        <s v="mpeters@yahoo.com"/>
        <s v="jasminechavez@gmail.com"/>
        <s v="angela52@yahoo.com"/>
        <s v="randall59@gmail.com"/>
        <s v="sharpjennifer@yahoo.com"/>
        <s v="shelbyyoung@yahoo.com"/>
        <s v="dmorales@hotmail.com"/>
        <s v="olsenshane@gmail.com"/>
        <s v="williamsmegan@gmail.com"/>
        <s v="stephanietaylor@yahoo.com"/>
        <s v="travis68@gmail.com"/>
        <s v="ssmith@gmail.com"/>
        <s v="ilewis@gmail.com"/>
        <s v="mmoore@hotmail.com"/>
        <s v="santosshannon@yahoo.com"/>
        <s v="jackwilliams@gmail.com"/>
        <s v="marissa39@yahoo.com"/>
        <s v="jay04@gmail.com"/>
        <s v="dcortez@yahoo.com"/>
        <s v="laura31@hotmail.com"/>
        <s v="arroyosarah@yahoo.com"/>
        <s v="richardsondebbie@yahoo.com"/>
        <s v="evansaustin@gmail.com"/>
        <s v="davidfields@hotmail.com"/>
        <s v="rodriguezjenny@yahoo.com"/>
        <s v="sbrown@gmail.com"/>
        <s v="dreynolds@yahoo.com"/>
        <s v="chungnancy@hotmail.com"/>
        <s v="sylvia33@hotmail.com"/>
        <s v="shansen@yahoo.com"/>
        <s v="christopher57@yahoo.com"/>
        <s v="malikfowler@yahoo.com"/>
        <s v="dylan78@yahoo.com"/>
        <s v="marvinhoward@yahoo.com"/>
        <s v="coopersamantha@hotmail.com"/>
        <s v="melissaberry@gmail.com"/>
        <s v="stonebarbara@yahoo.com"/>
        <s v="tracy55@hotmail.com"/>
        <s v="kara13@hotmail.com"/>
        <s v="jenniferbarry@hotmail.com"/>
        <s v="john64@gmail.com"/>
        <s v="johnsondavid@gmail.com"/>
        <s v="hendersonmichael@yahoo.com"/>
        <s v="kevinharvey@yahoo.com"/>
        <s v="portermichael@yahoo.com"/>
        <s v="hendersonbrenda@yahoo.com"/>
        <s v="wellsamy@gmail.com"/>
        <s v="vjames@gmail.com"/>
        <s v="arobinson@gmail.com"/>
        <s v="wallssean@hotmail.com"/>
        <s v="kingdavid@hotmail.com"/>
        <s v="robertsmark@gmail.com"/>
        <s v="ywright@hotmail.com"/>
        <s v="jeffreyglenn@hotmail.com"/>
        <s v="garciadonald@hotmail.com"/>
        <s v="hsmith@hotmail.com"/>
        <s v="samuel61@gmail.com"/>
        <s v="phunter@gmail.com"/>
        <s v="seanbarajas@yahoo.com"/>
        <s v="brandiwilson@gmail.com"/>
        <s v="dsmith@hotmail.com"/>
        <s v="turnerlisa@yahoo.com"/>
        <s v="nmendoza@gmail.com"/>
        <s v="thomasdavid@hotmail.com"/>
        <s v="knightjohn@yahoo.com"/>
        <s v="goodwinbrad@yahoo.com"/>
        <s v="peter93@hotmail.com"/>
        <s v="wlucas@hotmail.com"/>
        <s v="reynoldsanthony@gmail.com"/>
        <s v="woodphillip@yahoo.com"/>
        <s v="samantha78@yahoo.com"/>
        <s v="taylordavis@yahoo.com"/>
        <s v="sarah49@hotmail.com"/>
        <s v="michaeltorres@yahoo.com"/>
        <s v="kaylazamora@gmail.com"/>
        <s v="jennifer85@gmail.com"/>
        <s v="danielle39@hotmail.com"/>
        <s v="peterlove@hotmail.com"/>
        <s v="david68@yahoo.com"/>
        <s v="jgibson@hotmail.com"/>
        <s v="ffuller@hotmail.com"/>
        <s v="davidwolf@gmail.com"/>
        <s v="david16@gmail.com"/>
        <s v="tiffany44@yahoo.com"/>
        <s v="sarah53@gmail.com"/>
        <s v="nharris@gmail.com"/>
        <s v="lisa11@gmail.com"/>
        <s v="samantharamirez@gmail.com"/>
        <s v="ogriffin@gmail.com"/>
        <s v="wjefferson@yahoo.com"/>
        <s v="hkim@yahoo.com"/>
        <s v="xobrien@gmail.com"/>
        <s v="kristinclark@yahoo.com"/>
        <s v="nicolasrich@gmail.com"/>
        <s v="bmarquez@yahoo.com"/>
        <s v="fblankenship@yahoo.com"/>
        <s v="timothy23@hotmail.com"/>
        <s v="wernermichael@gmail.com"/>
        <s v="wrightalicia@yahoo.com"/>
        <s v="jeremycollins@hotmail.com"/>
        <s v="keithharrison@yahoo.com"/>
        <s v="jonescraig@gmail.com"/>
        <s v="ericfrederick@gmail.com"/>
        <s v="masonpatricia@yahoo.com"/>
        <s v="michelleflowers@hotmail.com"/>
        <s v="reevesfernando@hotmail.com"/>
        <s v="steven76@hotmail.com"/>
        <s v="kristin96@yahoo.com"/>
        <s v="lindaclark@hotmail.com"/>
        <s v="xbennett@gmail.com"/>
        <s v="shannongarza@hotmail.com"/>
        <s v="lesterrebecca@yahoo.com"/>
        <s v="stevenperry@gmail.com"/>
        <s v="nathaniel57@yahoo.com"/>
        <s v="ewilliams@gmail.com"/>
        <s v="gaydustin@hotmail.com"/>
        <s v="andrew65@hotmail.com"/>
        <s v="stephensonkatherine@yahoo.com"/>
        <s v="lutzeric@yahoo.com"/>
        <s v="douglas31@hotmail.com"/>
        <s v="mckayjames@hotmail.com"/>
        <s v="veronica30@gmail.com"/>
        <s v="robinsonrose@gmail.com"/>
        <s v="melissa49@hotmail.com"/>
        <s v="alison98@hotmail.com"/>
        <s v="hamiltonjoseph@hotmail.com"/>
        <s v="daniel28@gmail.com"/>
        <s v="saraterry@hotmail.com"/>
        <s v="christopher29@yahoo.com"/>
        <s v="bsullivan@gmail.com"/>
        <s v="parkertommy@yahoo.com"/>
        <s v="john25@gmail.com"/>
        <s v="millerjoan@gmail.com"/>
        <s v="victoriasmith@gmail.com"/>
        <s v="elizabeth10@gmail.com"/>
        <s v="mendezlori@gmail.com"/>
        <s v="adamskelly@hotmail.com"/>
        <s v="eric81@yahoo.com"/>
        <s v="elizabeth77@yahoo.com"/>
        <s v="proman@yahoo.com"/>
        <s v="benjaminbrown@gmail.com"/>
        <s v="campbellmarvin@yahoo.com"/>
        <s v="sharon37@hotmail.com"/>
        <s v="johnsonmelissa@yahoo.com"/>
        <s v="ubowers@yahoo.com"/>
        <s v="susan92@gmail.com"/>
        <s v="eddie23@hotmail.com"/>
        <s v="townsendcrystal@hotmail.com"/>
        <s v="gingram@gmail.com"/>
        <s v="alyssa89@hotmail.com"/>
        <s v="gibsonjennifer@hotmail.com"/>
        <s v="andrew91@yahoo.com"/>
        <s v="sandradavenport@gmail.com"/>
        <s v="elizabethriley@yahoo.com"/>
        <s v="aallen@yahoo.com"/>
        <s v="usmith@hotmail.com"/>
        <s v="amandatran@gmail.com"/>
        <s v="amygonzalez@hotmail.com"/>
        <s v="garciasarah@hotmail.com"/>
        <s v="rebeccaharris@gmail.com"/>
        <s v="joneseric@gmail.com"/>
        <s v="tammy17@yahoo.com"/>
        <s v="olsonchristina@gmail.com"/>
        <s v="amywright@gmail.com"/>
        <s v="martinmatthew@hotmail.com"/>
        <s v="anthony66@gmail.com"/>
        <s v="vayala@hotmail.com"/>
        <s v="dgrant@yahoo.com"/>
        <s v="klopez@yahoo.com"/>
        <s v="montesmichelle@gmail.com"/>
        <s v="watkinsthomas@hotmail.com"/>
        <s v="hartmandanielle@gmail.com"/>
        <s v="brownkevin@gmail.com"/>
        <s v="melissa18@yahoo.com"/>
        <s v="jenniferkane@hotmail.com"/>
        <s v="katrina51@gmail.com"/>
        <s v="larry88@gmail.com"/>
        <s v="rebecca41@yahoo.com"/>
        <s v="barrettjoseph@gmail.com"/>
        <s v="vancebrad@yahoo.com"/>
        <s v="christopherjackson@hotmail.com"/>
        <s v="trobinson@gmail.com"/>
        <s v="veronicasmith@hotmail.com"/>
        <s v="dkelley@yahoo.com"/>
        <s v="max69@yahoo.com"/>
        <s v="mannjonathan@hotmail.com"/>
        <s v="hayley92@hotmail.com"/>
        <s v="halljohn@gmail.com"/>
        <s v="susan90@hotmail.com"/>
        <s v="petersonsergio@gmail.com"/>
        <s v="hgray@hotmail.com"/>
        <s v="paullopez@hotmail.com"/>
        <s v="kingryan@gmail.com"/>
        <s v="james14@gmail.com"/>
        <s v="willismichael@hotmail.com"/>
        <s v="rstuart@gmail.com"/>
        <s v="deannacruz@hotmail.com"/>
        <s v="alexa14@hotmail.com"/>
        <s v="allenjustin@gmail.com"/>
        <s v="courtneymadden@gmail.com"/>
        <s v="zking@yahoo.com"/>
        <s v="cody79@gmail.com"/>
        <s v="amandasnyder@yahoo.com"/>
        <s v="jessedelacruz@gmail.com"/>
        <s v="ohiggins@hotmail.com"/>
        <s v="rmartinez@hotmail.com"/>
        <s v="cheryldavis@yahoo.com"/>
        <s v="bradleybarker@hotmail.com"/>
        <s v="nmontoya@yahoo.com"/>
        <s v="aaron55@yahoo.com"/>
        <s v="contrerasjames@gmail.com"/>
        <s v="jamesphillips@gmail.com"/>
        <s v="michaelsherman@yahoo.com"/>
        <s v="thomassmith@yahoo.com"/>
        <s v="millereric@gmail.com"/>
        <s v="josephmeyer@hotmail.com"/>
        <s v="olivia29@hotmail.com"/>
        <s v="qramirez@hotmail.com"/>
        <s v="richardbennett@hotmail.com"/>
        <s v="rachelhall@hotmail.com"/>
        <s v="brianwhite@gmail.com"/>
        <s v="allenandrea@yahoo.com"/>
        <s v="mariawilliams@yahoo.com"/>
        <s v="holmescolleen@gmail.com"/>
        <s v="steven45@gmail.com"/>
        <s v="royjennifer@gmail.com"/>
        <s v="millerjames@gmail.com"/>
        <s v="ballvanessa@yahoo.com"/>
        <s v="karen42@gmail.com"/>
        <s v="hmitchell@gmail.com"/>
        <s v="edwardstaylor@hotmail.com"/>
        <s v="nina65@hotmail.com"/>
        <s v="richardhart@gmail.com"/>
        <s v="mike05@yahoo.com"/>
        <s v="weberbrian@gmail.com"/>
        <s v="kristin09@hotmail.com"/>
        <s v="hebertmichelle@yahoo.com"/>
        <s v="greenjessica@hotmail.com"/>
        <s v="zacharygray@gmail.com"/>
        <s v="thomasricardo@hotmail.com"/>
        <s v="rickey20@gmail.com"/>
        <s v="tlewis@yahoo.com"/>
        <s v="wmoore@yahoo.com"/>
        <s v="jenniferwood@hotmail.com"/>
        <s v="barnettterry@yahoo.com"/>
        <s v="ingramjessica@yahoo.com"/>
        <s v="martin27@hotmail.com"/>
        <s v="kaiserkelly@gmail.com"/>
        <s v="brenda16@hotmail.com"/>
        <s v="ufox@gmail.com"/>
        <s v="mccoyjames@gmail.com"/>
        <s v="ubond@gmail.com"/>
        <s v="victoria17@hotmail.com"/>
      </sharedItems>
    </cacheField>
    <cacheField name="Product Purchased" numFmtId="0">
      <sharedItems count="19">
        <s v="Microsoft Office"/>
        <s v="Samsung Galaxy"/>
        <s v="Sony PlayStation"/>
        <s v="Microsoft Surface"/>
        <s v="Xbox Controller"/>
        <s v="Amazon Kindle"/>
        <s v="Autodesk AutoCAD"/>
        <s v="Nintendo Switch"/>
        <s v="GoPro Hero"/>
        <s v="Dell XPS"/>
        <s v="Philips Hue Lights"/>
        <s v="Dyson Vacuum Cleaner"/>
        <s v="Apple iPhone"/>
        <s v="Lenovo ThinkPad"/>
        <s v="Fitbit Versa"/>
        <s v="LG Smart TV"/>
        <s v="HP Pavilion"/>
        <s v="Canon EOS"/>
        <s v="Adobe Photoshop"/>
      </sharedItems>
    </cacheField>
    <cacheField name="Date of Purchase" numFmtId="14">
      <sharedItems containsSemiMixedTypes="0" containsNonDate="0" containsDate="1" containsString="0" minDate="2020-01-02T00:00:00" maxDate="2023-06-01T00:00:00"/>
    </cacheField>
    <cacheField name="Ticket Type" numFmtId="0">
      <sharedItems count="5">
        <s v="Cancellation request"/>
        <s v="Product inquiry"/>
        <s v="Refund request"/>
        <s v="Technical issue"/>
        <s v="Billing inquiry"/>
      </sharedItems>
    </cacheField>
    <cacheField name="Ticket Subject" numFmtId="0">
      <sharedItems count="15">
        <s v="Peripheral compatibility"/>
        <s v="Refund request"/>
        <s v="Installation support"/>
        <s v="Account access"/>
        <s v="Warranty claim"/>
        <s v="Payment issue"/>
        <s v="Product recommendation"/>
        <s v="Software bug"/>
        <s v="Product setup"/>
        <s v="Battery life"/>
        <s v="Data loss"/>
        <s v="Hardware issue"/>
        <s v="Network problem"/>
        <s v="Display issue"/>
        <s v="Delivery problem"/>
      </sharedItems>
    </cacheField>
    <cacheField name="Ticket Status" numFmtId="0">
      <sharedItems count="4">
        <s v="Open"/>
        <s v="Closed"/>
        <s v="Resolved"/>
        <s v="Pending Customer Response"/>
      </sharedItems>
    </cacheField>
    <cacheField name="Ticket Priority" numFmtId="0">
      <sharedItems count="4">
        <s v="High"/>
        <s v="Critical"/>
        <s v="Medium"/>
        <s v="Low"/>
      </sharedItems>
    </cacheField>
    <cacheField name="Ticket Channel" numFmtId="0">
      <sharedItems count="4">
        <s v="Email"/>
        <s v="Chat"/>
        <s v="Social media"/>
        <s v="Phone"/>
      </sharedItems>
    </cacheField>
    <cacheField name="First Response Time" numFmtId="22">
      <sharedItems containsSemiMixedTypes="0" containsNonDate="0" containsDate="1" containsString="0" minDate="2020-01-13T00:00:00" maxDate="2024-05-15T00:00:00" count="1050">
        <d v="2022-05-09T00:00:00"/>
        <d v="2021-06-08T00:00:00"/>
        <d v="2023-08-13T00:00:00"/>
        <d v="2020-11-23T00:00:00"/>
        <d v="2022-06-02T00:00:00"/>
        <d v="2021-03-13T00:00:00"/>
        <d v="2021-05-03T00:00:00"/>
        <d v="2021-08-08T00:00:00"/>
        <d v="2021-03-04T00:00:00"/>
        <d v="2022-01-18T00:00:00"/>
        <d v="2023-11-28T00:00:00"/>
        <d v="2022-07-05T00:00:00"/>
        <d v="2022-07-13T00:00:00"/>
        <d v="2023-05-08T00:00:00"/>
        <d v="2023-10-21T00:00:00"/>
        <d v="2023-02-27T00:00:00"/>
        <d v="2022-04-26T00:00:00"/>
        <d v="2021-04-20T00:00:00"/>
        <d v="2020-11-01T00:00:00"/>
        <d v="2021-01-02T00:00:00"/>
        <d v="2021-03-11T00:00:00"/>
        <d v="2023-05-11T00:00:00"/>
        <d v="2022-12-28T00:00:00"/>
        <d v="2021-07-06T00:00:00"/>
        <d v="2023-06-06T00:00:00"/>
        <d v="2021-02-03T00:00:00"/>
        <d v="2022-05-08T00:00:00"/>
        <d v="2020-10-20T00:00:00"/>
        <d v="2021-07-18T00:00:00"/>
        <d v="2020-09-23T00:00:00"/>
        <d v="2022-09-07T00:00:00"/>
        <d v="2022-11-27T00:00:00"/>
        <d v="2023-01-28T00:00:00"/>
        <d v="2021-05-12T00:00:00"/>
        <d v="2021-02-28T00:00:00"/>
        <d v="2020-10-29T00:00:00"/>
        <d v="2022-08-16T00:00:00"/>
        <d v="2022-10-04T00:00:00"/>
        <d v="2022-10-02T00:00:00"/>
        <d v="2022-08-03T00:00:00"/>
        <d v="2023-09-05T00:00:00"/>
        <d v="2022-08-26T00:00:00"/>
        <d v="2021-12-16T00:00:00"/>
        <d v="2021-10-29T00:00:00"/>
        <d v="2022-06-18T00:00:00"/>
        <d v="2021-02-24T00:00:00"/>
        <d v="2021-01-03T00:00:00"/>
        <d v="2023-03-18T00:00:00"/>
        <d v="2020-10-10T00:00:00"/>
        <d v="2021-05-30T00:00:00"/>
        <d v="2023-08-25T00:00:00"/>
        <d v="2023-04-17T00:00:00"/>
        <d v="2021-05-18T00:00:00"/>
        <d v="2021-02-15T00:00:00"/>
        <d v="2021-01-22T00:00:00"/>
        <d v="2024-04-04T00:00:00"/>
        <d v="2022-11-25T00:00:00"/>
        <d v="2022-03-01T00:00:00"/>
        <d v="2024-02-09T00:00:00"/>
        <d v="2020-09-19T00:00:00"/>
        <d v="2021-01-04T00:00:00"/>
        <d v="2022-05-05T00:00:00"/>
        <d v="2023-08-19T00:00:00"/>
        <d v="2020-06-22T00:00:00"/>
        <d v="2023-02-05T00:00:00"/>
        <d v="2021-03-12T00:00:00"/>
        <d v="2021-03-19T00:00:00"/>
        <d v="2020-12-23T00:00:00"/>
        <d v="2021-03-06T00:00:00"/>
        <d v="2021-04-24T00:00:00"/>
        <d v="2021-08-29T00:00:00"/>
        <d v="2021-02-17T00:00:00"/>
        <d v="2021-11-06T00:00:00"/>
        <d v="2022-10-28T00:00:00"/>
        <d v="2021-06-21T00:00:00"/>
        <d v="2021-10-18T00:00:00"/>
        <d v="2023-01-17T00:00:00"/>
        <d v="2021-10-19T00:00:00"/>
        <d v="2023-10-15T00:00:00"/>
        <d v="2023-07-17T00:00:00"/>
        <d v="2022-12-31T00:00:00"/>
        <d v="2021-05-29T00:00:00"/>
        <d v="2023-07-23T00:00:00"/>
        <d v="2021-06-09T00:00:00"/>
        <d v="2020-08-06T00:00:00"/>
        <d v="2022-02-26T00:00:00"/>
        <d v="2022-03-12T00:00:00"/>
        <d v="2021-10-24T00:00:00"/>
        <d v="2021-11-19T00:00:00"/>
        <d v="2023-06-14T00:00:00"/>
        <d v="2022-07-24T00:00:00"/>
        <d v="2021-02-18T00:00:00"/>
        <d v="2022-01-28T00:00:00"/>
        <d v="2023-01-19T00:00:00"/>
        <d v="2022-11-30T00:00:00"/>
        <d v="2023-07-07T00:00:00"/>
        <d v="2022-08-28T00:00:00"/>
        <d v="2022-11-02T00:00:00"/>
        <d v="2020-07-11T00:00:00"/>
        <d v="2020-05-23T00:00:00"/>
        <d v="2022-12-03T00:00:00"/>
        <d v="2023-09-14T00:00:00"/>
        <d v="2020-08-01T00:00:00"/>
        <d v="2021-10-30T00:00:00"/>
        <d v="2022-03-13T00:00:00"/>
        <d v="2021-02-01T00:00:00"/>
        <d v="2021-07-01T00:00:00"/>
        <d v="2022-10-15T00:00:00"/>
        <d v="2021-10-03T00:00:00"/>
        <d v="2021-09-06T00:00:00"/>
        <d v="2020-05-04T00:00:00"/>
        <d v="2022-09-21T00:00:00"/>
        <d v="2022-07-08T00:00:00"/>
        <d v="2022-06-03T00:00:00"/>
        <d v="2022-01-29T00:00:00"/>
        <d v="2023-08-27T00:00:00"/>
        <d v="2022-03-05T00:00:00"/>
        <d v="2021-07-03T00:00:00"/>
        <d v="2020-10-11T00:00:00"/>
        <d v="2022-03-22T00:00:00"/>
        <d v="2022-10-13T00:00:00"/>
        <d v="2023-02-23T00:00:00"/>
        <d v="2022-07-10T00:00:00"/>
        <d v="2021-08-15T00:00:00"/>
        <d v="2022-08-05T00:00:00"/>
        <d v="2020-08-07T00:00:00"/>
        <d v="2021-10-15T00:00:00"/>
        <d v="2021-05-16T00:00:00"/>
        <d v="2022-11-09T00:00:00"/>
        <d v="2023-07-12T00:00:00"/>
        <d v="2022-02-09T00:00:00"/>
        <d v="2021-03-16T00:00:00"/>
        <d v="2022-09-24T00:00:00"/>
        <d v="2022-11-17T00:00:00"/>
        <d v="2024-01-16T00:00:00"/>
        <d v="2022-05-22T00:00:00"/>
        <d v="2022-12-19T00:00:00"/>
        <d v="2021-12-18T00:00:00"/>
        <d v="2023-04-08T00:00:00"/>
        <d v="2021-10-17T00:00:00"/>
        <d v="2020-09-20T00:00:00"/>
        <d v="2023-04-10T00:00:00"/>
        <d v="2022-01-04T00:00:00"/>
        <d v="2022-09-02T00:00:00"/>
        <d v="2021-07-31T00:00:00"/>
        <d v="2020-11-06T00:00:00"/>
        <d v="2023-12-26T00:00:00"/>
        <d v="2023-11-01T00:00:00"/>
        <d v="2020-12-06T00:00:00"/>
        <d v="2021-10-20T00:00:00"/>
        <d v="2023-03-03T00:00:00"/>
        <d v="2022-03-29T00:00:00"/>
        <d v="2023-09-09T00:00:00"/>
        <d v="2022-09-16T00:00:00"/>
        <d v="2021-03-30T00:00:00"/>
        <d v="2022-02-04T00:00:00"/>
        <d v="2022-10-26T00:00:00"/>
        <d v="2021-01-14T00:00:00"/>
        <d v="2023-05-29T00:00:00"/>
        <d v="2022-12-08T00:00:00"/>
        <d v="2020-11-14T00:00:00"/>
        <d v="2023-11-12T00:00:00"/>
        <d v="2021-09-16T00:00:00"/>
        <d v="2022-05-29T00:00:00"/>
        <d v="2020-06-23T00:00:00"/>
        <d v="2021-02-10T00:00:00"/>
        <d v="2020-09-26T00:00:00"/>
        <d v="2022-12-06T00:00:00"/>
        <d v="2023-07-25T00:00:00"/>
        <d v="2022-02-28T00:00:00"/>
        <d v="2021-12-13T00:00:00"/>
        <d v="2022-02-11T00:00:00"/>
        <d v="2022-05-04T00:00:00"/>
        <d v="2023-10-11T00:00:00"/>
        <d v="2022-05-20T00:00:00"/>
        <d v="2022-12-21T00:00:00"/>
        <d v="2023-11-11T00:00:00"/>
        <d v="2020-11-12T00:00:00"/>
        <d v="2023-01-09T00:00:00"/>
        <d v="2020-04-24T00:00:00"/>
        <d v="2020-08-14T00:00:00"/>
        <d v="2022-09-28T00:00:00"/>
        <d v="2024-02-27T00:00:00"/>
        <d v="2023-11-10T00:00:00"/>
        <d v="2023-12-06T00:00:00"/>
        <d v="2023-09-02T00:00:00"/>
        <d v="2023-08-06T00:00:00"/>
        <d v="2022-10-07T00:00:00"/>
        <d v="2022-09-19T00:00:00"/>
        <d v="2022-04-18T00:00:00"/>
        <d v="2022-03-04T00:00:00"/>
        <d v="2023-07-03T00:00:00"/>
        <d v="2020-12-19T00:00:00"/>
        <d v="2022-02-18T00:00:00"/>
        <d v="2021-05-10T00:00:00"/>
        <d v="2021-04-12T00:00:00"/>
        <d v="2020-11-19T00:00:00"/>
        <d v="2022-09-22T00:00:00"/>
        <d v="2021-10-10T00:00:00"/>
        <d v="2021-06-28T00:00:00"/>
        <d v="2023-04-23T00:00:00"/>
        <d v="2020-09-01T00:00:00"/>
        <d v="2022-05-14T00:00:00"/>
        <d v="2022-08-24T00:00:00"/>
        <d v="2020-09-09T00:00:00"/>
        <d v="2021-05-06T00:00:00"/>
        <d v="2023-09-27T00:00:00"/>
        <d v="2021-10-04T00:00:00"/>
        <d v="2021-04-14T00:00:00"/>
        <d v="2022-02-17T00:00:00"/>
        <d v="2023-06-13T00:00:00"/>
        <d v="2023-08-12T00:00:00"/>
        <d v="2021-07-27T00:00:00"/>
        <d v="2020-12-03T00:00:00"/>
        <d v="2022-07-04T00:00:00"/>
        <d v="2022-05-07T00:00:00"/>
        <d v="2023-03-08T00:00:00"/>
        <d v="2023-08-11T00:00:00"/>
        <d v="2021-08-07T00:00:00"/>
        <d v="2022-04-17T00:00:00"/>
        <d v="2022-11-24T00:00:00"/>
        <d v="2021-09-28T00:00:00"/>
        <d v="2021-08-02T00:00:00"/>
        <d v="2022-08-09T00:00:00"/>
        <d v="2020-12-18T00:00:00"/>
        <d v="2022-02-21T00:00:00"/>
        <d v="2020-01-13T00:00:00"/>
        <d v="2023-06-03T00:00:00"/>
        <d v="2022-10-11T00:00:00"/>
        <d v="2022-10-10T00:00:00"/>
        <d v="2022-07-18T00:00:00"/>
        <d v="2024-02-19T00:00:00"/>
        <d v="2022-06-16T00:00:00"/>
        <d v="2022-08-21T00:00:00"/>
        <d v="2021-02-02T00:00:00"/>
        <d v="2022-07-22T00:00:00"/>
        <d v="2022-06-27T00:00:00"/>
        <d v="2022-12-20T00:00:00"/>
        <d v="2021-08-12T00:00:00"/>
        <d v="2021-06-07T00:00:00"/>
        <d v="2021-09-04T00:00:00"/>
        <d v="2022-09-01T00:00:00"/>
        <d v="2021-11-20T00:00:00"/>
        <d v="2020-10-18T00:00:00"/>
        <d v="2021-08-11T00:00:00"/>
        <d v="2020-05-21T00:00:00"/>
        <d v="2023-07-16T00:00:00"/>
        <d v="2021-08-20T00:00:00"/>
        <d v="2023-03-22T00:00:00"/>
        <d v="2023-07-01T00:00:00"/>
        <d v="2022-08-29T00:00:00"/>
        <d v="2021-04-30T00:00:00"/>
        <d v="2020-10-17T00:00:00"/>
        <d v="2021-03-26T00:00:00"/>
        <d v="2021-02-23T00:00:00"/>
        <d v="2023-07-20T00:00:00"/>
        <d v="2020-10-12T00:00:00"/>
        <d v="2021-01-27T00:00:00"/>
        <d v="2021-06-13T00:00:00"/>
        <d v="2021-09-24T00:00:00"/>
        <d v="2022-11-08T00:00:00"/>
        <d v="2022-09-25T00:00:00"/>
        <d v="2022-01-24T00:00:00"/>
        <d v="2023-01-03T00:00:00"/>
        <d v="2023-07-21T00:00:00"/>
        <d v="2022-06-09T00:00:00"/>
        <d v="2021-11-24T00:00:00"/>
        <d v="2020-07-27T00:00:00"/>
        <d v="2022-10-24T00:00:00"/>
        <d v="2023-12-10T00:00:00"/>
        <d v="2021-01-29T00:00:00"/>
        <d v="2020-06-17T00:00:00"/>
        <d v="2023-04-30T00:00:00"/>
        <d v="2021-09-11T00:00:00"/>
        <d v="2022-05-13T00:00:00"/>
        <d v="2021-07-10T00:00:00"/>
        <d v="2023-07-29T00:00:00"/>
        <d v="2023-05-17T00:00:00"/>
        <d v="2023-07-06T00:00:00"/>
        <d v="2021-07-21T00:00:00"/>
        <d v="2022-11-15T00:00:00"/>
        <d v="2021-01-26T00:00:00"/>
        <d v="2022-12-25T00:00:00"/>
        <d v="2020-06-29T00:00:00"/>
        <d v="2021-07-19T00:00:00"/>
        <d v="2022-10-19T00:00:00"/>
        <d v="2023-08-01T00:00:00"/>
        <d v="2022-11-14T00:00:00"/>
        <d v="2022-05-30T00:00:00"/>
        <d v="2021-04-18T00:00:00"/>
        <d v="2021-06-19T00:00:00"/>
        <d v="2020-07-15T00:00:00"/>
        <d v="2021-11-01T00:00:00"/>
        <d v="2022-02-06T00:00:00"/>
        <d v="2023-06-19T00:00:00"/>
        <d v="2021-12-25T00:00:00"/>
        <d v="2023-09-08T00:00:00"/>
        <d v="2022-01-14T00:00:00"/>
        <d v="2023-09-29T00:00:00"/>
        <d v="2021-05-02T00:00:00"/>
        <d v="2023-03-25T00:00:00"/>
        <d v="2022-11-21T00:00:00"/>
        <d v="2020-12-17T00:00:00"/>
        <d v="2022-03-15T00:00:00"/>
        <d v="2023-06-12T00:00:00"/>
        <d v="2024-01-12T00:00:00"/>
        <d v="2023-02-24T00:00:00"/>
        <d v="2022-03-02T00:00:00"/>
        <d v="2021-11-05T00:00:00"/>
        <d v="2020-11-22T00:00:00"/>
        <d v="2023-08-07T00:00:00"/>
        <d v="2023-04-13T00:00:00"/>
        <d v="2020-07-09T00:00:00"/>
        <d v="2023-06-08T00:00:00"/>
        <d v="2021-11-17T00:00:00"/>
        <d v="2022-08-02T00:00:00"/>
        <d v="2021-05-08T00:00:00"/>
        <d v="2020-11-10T00:00:00"/>
        <d v="2022-09-05T00:00:00"/>
        <d v="2020-09-15T00:00:00"/>
        <d v="2023-11-07T00:00:00"/>
        <d v="2022-02-03T00:00:00"/>
        <d v="2023-01-20T00:00:00"/>
        <d v="2021-03-29T00:00:00"/>
        <d v="2023-08-08T00:00:00"/>
        <d v="2021-01-19T00:00:00"/>
        <d v="2022-06-20T00:00:00"/>
        <d v="2021-08-21T00:00:00"/>
        <d v="2020-10-08T00:00:00"/>
        <d v="2021-03-21T00:00:00"/>
        <d v="2023-01-30T00:00:00"/>
        <d v="2022-02-10T00:00:00"/>
        <d v="2022-06-26T00:00:00"/>
        <d v="2021-11-18T00:00:00"/>
        <d v="2023-01-13T00:00:00"/>
        <d v="2022-03-17T00:00:00"/>
        <d v="2023-03-11T00:00:00"/>
        <d v="2024-01-24T00:00:00"/>
        <d v="2020-10-19T00:00:00"/>
        <d v="2021-11-30T00:00:00"/>
        <d v="2020-03-21T00:00:00"/>
        <d v="2021-06-06T00:00:00"/>
        <d v="2021-07-05T00:00:00"/>
        <d v="2022-07-26T00:00:00"/>
        <d v="2022-09-04T00:00:00"/>
        <d v="2021-05-14T00:00:00"/>
        <d v="2023-09-03T00:00:00"/>
        <d v="2021-01-05T00:00:00"/>
        <d v="2020-10-28T00:00:00"/>
        <d v="2022-02-27T00:00:00"/>
        <d v="2021-09-02T00:00:00"/>
        <d v="2021-12-09T00:00:00"/>
        <d v="2021-03-07T00:00:00"/>
        <d v="2021-01-17T00:00:00"/>
        <d v="2023-06-07T00:00:00"/>
        <d v="2021-02-20T00:00:00"/>
        <d v="2022-04-19T00:00:00"/>
        <d v="2022-09-15T00:00:00"/>
        <d v="2022-12-17T00:00:00"/>
        <d v="2020-09-08T00:00:00"/>
        <d v="2022-06-15T00:00:00"/>
        <d v="2024-01-06T00:00:00"/>
        <d v="2023-05-24T00:00:00"/>
        <d v="2021-02-14T00:00:00"/>
        <d v="2020-10-04T00:00:00"/>
        <d v="2021-06-27T00:00:00"/>
        <d v="2020-07-07T00:00:00"/>
        <d v="2023-03-09T00:00:00"/>
        <d v="2020-06-13T00:00:00"/>
        <d v="2020-12-02T00:00:00"/>
        <d v="2022-07-17T00:00:00"/>
        <d v="2023-01-29T00:00:00"/>
        <d v="2023-06-01T00:00:00"/>
        <d v="2021-12-22T00:00:00"/>
        <d v="2021-12-31T00:00:00"/>
        <d v="2023-10-06T00:00:00"/>
        <d v="2021-12-04T00:00:00"/>
        <d v="2020-09-18T00:00:00"/>
        <d v="2021-12-19T00:00:00"/>
        <d v="2021-01-06T00:00:00"/>
        <d v="2023-11-05T00:00:00"/>
        <d v="2021-08-03T00:00:00"/>
        <d v="2022-05-02T00:00:00"/>
        <d v="2021-09-14T00:00:00"/>
        <d v="2022-04-23T00:00:00"/>
        <d v="2022-05-11T00:00:00"/>
        <d v="2021-03-22T00:00:00"/>
        <d v="2021-12-07T00:00:00"/>
        <d v="2020-06-11T00:00:00"/>
        <d v="2020-09-28T00:00:00"/>
        <d v="2022-08-23T00:00:00"/>
        <d v="2021-02-07T00:00:00"/>
        <d v="2022-04-04T00:00:00"/>
        <d v="2022-01-30T00:00:00"/>
        <d v="2020-06-28T00:00:00"/>
        <d v="2023-11-16T00:00:00"/>
        <d v="2022-07-14T00:00:00"/>
        <d v="2021-08-22T00:00:00"/>
        <d v="2022-06-14T00:00:00"/>
        <d v="2020-09-25T00:00:00"/>
        <d v="2022-02-02T00:00:00"/>
        <d v="2021-09-09T00:00:00"/>
        <d v="2021-12-12T00:00:00"/>
        <d v="2022-05-12T00:00:00"/>
        <d v="2020-07-01T00:00:00"/>
        <d v="2023-02-28T00:00:00"/>
        <d v="2023-07-14T00:00:00"/>
        <d v="2023-05-22T00:00:00"/>
        <d v="2023-05-02T00:00:00"/>
        <d v="2021-06-01T00:00:00"/>
        <d v="2023-09-26T00:00:00"/>
        <d v="2021-04-08T00:00:00"/>
        <d v="2022-01-13T00:00:00"/>
        <d v="2023-01-22T00:00:00"/>
        <d v="2022-04-22T00:00:00"/>
        <d v="2022-02-05T00:00:00"/>
        <d v="2022-06-04T00:00:00"/>
        <d v="2020-06-05T00:00:00"/>
        <d v="2021-11-25T00:00:00"/>
        <d v="2022-10-21T00:00:00"/>
        <d v="2023-03-17T00:00:00"/>
        <d v="2020-06-12T00:00:00"/>
        <d v="2023-02-17T00:00:00"/>
        <d v="2020-07-20T00:00:00"/>
        <d v="2023-04-15T00:00:00"/>
        <d v="2022-04-16T00:00:00"/>
        <d v="2023-04-02T00:00:00"/>
        <d v="2021-06-15T00:00:00"/>
        <d v="2023-04-14T00:00:00"/>
        <d v="2023-12-31T00:00:00"/>
        <d v="2020-10-27T00:00:00"/>
        <d v="2020-12-15T00:00:00"/>
        <d v="2022-12-14T00:00:00"/>
        <d v="2021-06-12T00:00:00"/>
        <d v="2023-03-21T00:00:00"/>
        <d v="2023-01-08T00:00:00"/>
        <d v="2022-11-20T00:00:00"/>
        <d v="2021-06-16T00:00:00"/>
        <d v="2021-10-05T00:00:00"/>
        <d v="2021-06-23T00:00:00"/>
        <d v="2022-01-17T00:00:00"/>
        <d v="2023-08-22T00:00:00"/>
        <d v="2020-10-14T00:00:00"/>
        <d v="2023-01-06T00:00:00"/>
        <d v="2023-07-09T00:00:00"/>
        <d v="2023-04-07T00:00:00"/>
        <d v="2021-03-08T00:00:00"/>
        <d v="2021-08-06T00:00:00"/>
        <d v="2020-12-10T00:00:00"/>
        <d v="2020-08-16T00:00:00"/>
        <d v="2023-01-05T00:00:00"/>
        <d v="2023-04-29T00:00:00"/>
        <d v="2021-04-10T00:00:00"/>
        <d v="2021-03-31T00:00:00"/>
        <d v="2022-09-14T00:00:00"/>
        <d v="2022-04-11T00:00:00"/>
        <d v="2021-12-14T00:00:00"/>
        <d v="2024-01-22T00:00:00"/>
        <d v="2022-02-20T00:00:00"/>
        <d v="2021-03-24T00:00:00"/>
        <d v="2021-03-03T00:00:00"/>
        <d v="2021-09-25T00:00:00"/>
        <d v="2022-04-24T00:00:00"/>
        <d v="2022-10-20T00:00:00"/>
        <d v="2023-05-06T00:00:00"/>
        <d v="2021-05-11T00:00:00"/>
        <d v="2022-12-27T00:00:00"/>
        <d v="2021-04-13T00:00:00"/>
        <d v="2020-07-22T00:00:00"/>
        <d v="2023-08-09T00:00:00"/>
        <d v="2023-05-19T00:00:00"/>
        <d v="2023-09-13T00:00:00"/>
        <d v="2021-08-04T00:00:00"/>
        <d v="2021-04-09T00:00:00"/>
        <d v="2020-09-06T00:00:00"/>
        <d v="2020-05-15T00:00:00"/>
        <d v="2022-07-15T00:00:00"/>
        <d v="2021-04-16T00:00:00"/>
        <d v="2021-08-01T00:00:00"/>
        <d v="2021-04-17T00:00:00"/>
        <d v="2023-07-26T00:00:00"/>
        <d v="2023-12-18T00:00:00"/>
        <d v="2023-05-28T00:00:00"/>
        <d v="2021-05-25T00:00:00"/>
        <d v="2020-06-06T00:00:00"/>
        <d v="2021-05-09T00:00:00"/>
        <d v="2023-10-28T00:00:00"/>
        <d v="2023-03-05T00:00:00"/>
        <d v="2022-05-17T00:00:00"/>
        <d v="2022-07-02T00:00:00"/>
        <d v="2023-08-28T00:00:00"/>
        <d v="2022-12-24T00:00:00"/>
        <d v="2022-03-21T00:00:00"/>
        <d v="2022-11-16T00:00:00"/>
        <d v="2023-04-20T00:00:00"/>
        <d v="2021-09-23T00:00:00"/>
        <d v="2022-07-25T00:00:00"/>
        <d v="2022-11-04T00:00:00"/>
        <d v="2022-01-16T00:00:00"/>
        <d v="2022-03-03T00:00:00"/>
        <d v="2021-03-05T00:00:00"/>
        <d v="2021-03-20T00:00:00"/>
        <d v="2021-07-02T00:00:00"/>
        <d v="2023-01-26T00:00:00"/>
        <d v="2023-11-02T00:00:00"/>
        <d v="2022-12-10T00:00:00"/>
        <d v="2021-05-31T00:00:00"/>
        <d v="2022-04-30T00:00:00"/>
        <d v="2021-10-12T00:00:00"/>
        <d v="2021-07-30T00:00:00"/>
        <d v="2022-09-09T00:00:00"/>
        <d v="2020-12-22T00:00:00"/>
        <d v="2022-04-10T00:00:00"/>
        <d v="2023-03-29T00:00:00"/>
        <d v="2023-02-15T00:00:00"/>
        <d v="2021-10-07T00:00:00"/>
        <d v="2022-06-12T00:00:00"/>
        <d v="2021-10-27T00:00:00"/>
        <d v="2023-10-13T00:00:00"/>
        <d v="2023-08-30T00:00:00"/>
        <d v="2023-12-02T00:00:00"/>
        <d v="2024-01-18T00:00:00"/>
        <d v="2021-01-21T00:00:00"/>
        <d v="2023-12-22T00:00:00"/>
        <d v="2021-09-21T00:00:00"/>
        <d v="2021-02-26T00:00:00"/>
        <d v="2023-04-16T00:00:00"/>
        <d v="2021-12-20T00:00:00"/>
        <d v="2022-01-05T00:00:00"/>
        <d v="2020-10-06T00:00:00"/>
        <d v="2022-03-25T00:00:00"/>
        <d v="2021-09-29T00:00:00"/>
        <d v="2020-03-28T00:00:00"/>
        <d v="2022-08-11T00:00:00"/>
        <d v="2022-12-30T00:00:00"/>
        <d v="2021-04-19T00:00:00"/>
        <d v="2021-03-27T00:00:00"/>
        <d v="2023-06-09T00:00:00"/>
        <d v="2023-08-03T00:00:00"/>
        <d v="2022-05-23T00:00:00"/>
        <d v="2021-08-28T00:00:00"/>
        <d v="2020-12-14T00:00:00"/>
        <d v="2022-07-21T00:00:00"/>
        <d v="2022-05-19T00:00:00"/>
        <d v="2023-01-02T00:00:00"/>
        <d v="2021-10-01T00:00:00"/>
        <d v="2022-09-23T00:00:00"/>
        <d v="2023-05-16T00:00:00"/>
        <d v="2023-03-31T00:00:00"/>
        <d v="2021-12-26T00:00:00"/>
        <d v="2022-05-28T00:00:00"/>
        <d v="2022-10-06T00:00:00"/>
        <d v="2023-07-15T00:00:00"/>
        <d v="2023-05-26T00:00:00"/>
        <d v="2022-03-20T00:00:00"/>
        <d v="2022-01-02T00:00:00"/>
        <d v="2020-05-09T00:00:00"/>
        <d v="2022-08-15T00:00:00"/>
        <d v="2021-11-15T00:00:00"/>
        <d v="2023-02-06T00:00:00"/>
        <d v="2022-03-08T00:00:00"/>
        <d v="2020-09-02T00:00:00"/>
        <d v="2020-06-21T00:00:00"/>
        <d v="2023-04-22T00:00:00"/>
        <d v="2020-12-09T00:00:00"/>
        <d v="2024-04-17T00:00:00"/>
        <d v="2023-04-25T00:00:00"/>
        <d v="2022-06-22T00:00:00"/>
        <d v="2020-08-23T00:00:00"/>
        <d v="2020-12-11T00:00:00"/>
        <d v="2023-06-23T00:00:00"/>
        <d v="2022-10-31T00:00:00"/>
        <d v="2023-05-05T00:00:00"/>
        <d v="2023-01-12T00:00:00"/>
        <d v="2022-04-20T00:00:00"/>
        <d v="2020-10-21T00:00:00"/>
        <d v="2023-01-10T00:00:00"/>
        <d v="2021-12-28T00:00:00"/>
        <d v="2020-12-07T00:00:00"/>
        <d v="2023-03-02T00:00:00"/>
        <d v="2022-08-01T00:00:00"/>
        <d v="2023-11-04T00:00:00"/>
        <d v="2023-11-15T00:00:00"/>
        <d v="2023-02-21T00:00:00"/>
        <d v="2020-10-30T00:00:00"/>
        <d v="2021-12-06T00:00:00"/>
        <d v="2020-03-07T00:00:00"/>
        <d v="2023-03-19T00:00:00"/>
        <d v="2023-06-17T00:00:00"/>
        <d v="2021-11-10T00:00:00"/>
        <d v="2020-10-02T00:00:00"/>
        <d v="2024-03-20T00:00:00"/>
        <d v="2020-12-05T00:00:00"/>
        <d v="2020-07-03T00:00:00"/>
        <d v="2021-05-15T00:00:00"/>
        <d v="2020-12-12T00:00:00"/>
        <d v="2022-09-12T00:00:00"/>
        <d v="2022-03-31T00:00:00"/>
        <d v="2022-12-13T00:00:00"/>
        <d v="2021-06-30T00:00:00"/>
        <d v="2022-04-13T00:00:00"/>
        <d v="2022-10-25T00:00:00"/>
        <d v="2021-01-23T00:00:00"/>
        <d v="2021-07-23T00:00:00"/>
        <d v="2023-01-25T00:00:00"/>
        <d v="2022-11-03T00:00:00"/>
        <d v="2024-03-11T00:00:00"/>
        <d v="2021-09-03T00:00:00"/>
        <d v="2022-03-11T00:00:00"/>
        <d v="2021-10-26T00:00:00"/>
        <d v="2023-05-27T00:00:00"/>
        <d v="2021-01-01T00:00:00"/>
        <d v="2020-12-24T00:00:00"/>
        <d v="2020-10-15T00:00:00"/>
        <d v="2021-10-06T00:00:00"/>
        <d v="2022-01-06T00:00:00"/>
        <d v="2022-04-21T00:00:00"/>
        <d v="2020-10-26T00:00:00"/>
        <d v="2023-03-14T00:00:00"/>
        <d v="2022-01-08T00:00:00"/>
        <d v="2023-07-19T00:00:00"/>
        <d v="2023-12-13T00:00:00"/>
        <d v="2020-08-29T00:00:00"/>
        <d v="2021-07-20T00:00:00"/>
        <d v="2020-08-11T00:00:00"/>
        <d v="2023-10-30T00:00:00"/>
        <d v="2023-11-26T00:00:00"/>
        <d v="2021-01-07T00:00:00"/>
        <d v="2023-11-20T00:00:00"/>
        <d v="2021-05-21T00:00:00"/>
        <d v="2022-04-27T00:00:00"/>
        <d v="2021-07-12T00:00:00"/>
        <d v="2024-02-04T00:00:00"/>
        <d v="2023-06-30T00:00:00"/>
        <d v="2022-07-06T00:00:00"/>
        <d v="2020-09-07T00:00:00"/>
        <d v="2023-04-24T00:00:00"/>
        <d v="2021-08-27T00:00:00"/>
        <d v="2022-05-31T00:00:00"/>
        <d v="2020-03-31T00:00:00"/>
        <d v="2021-06-04T00:00:00"/>
        <d v="2021-02-19T00:00:00"/>
        <d v="2023-01-15T00:00:00"/>
        <d v="2023-05-21T00:00:00"/>
        <d v="2020-12-01T00:00:00"/>
        <d v="2022-08-07T00:00:00"/>
        <d v="2024-02-10T00:00:00"/>
        <d v="2023-04-12T00:00:00"/>
        <d v="2021-01-20T00:00:00"/>
        <d v="2022-08-14T00:00:00"/>
        <d v="2024-03-01T00:00:00"/>
        <d v="2022-10-29T00:00:00"/>
        <d v="2022-07-07T00:00:00"/>
        <d v="2020-10-24T00:00:00"/>
        <d v="2021-12-27T00:00:00"/>
        <d v="2022-04-07T00:00:00"/>
        <d v="2022-02-16T00:00:00"/>
        <d v="2022-08-27T00:00:00"/>
        <d v="2022-09-18T00:00:00"/>
        <d v="2023-10-24T00:00:00"/>
        <d v="2023-08-10T00:00:00"/>
        <d v="2024-05-14T00:00:00"/>
        <d v="2022-08-06T00:00:00"/>
        <d v="2023-05-15T00:00:00"/>
        <d v="2022-07-20T00:00:00"/>
        <d v="2022-06-07T00:00:00"/>
        <d v="2021-07-22T00:00:00"/>
        <d v="2023-07-11T00:00:00"/>
        <d v="2023-05-09T00:00:00"/>
        <d v="2021-05-01T00:00:00"/>
        <d v="2022-01-26T00:00:00"/>
        <d v="2023-07-04T00:00:00"/>
        <d v="2022-06-01T00:00:00"/>
        <d v="2020-09-29T00:00:00"/>
        <d v="2021-06-29T00:00:00"/>
        <d v="2024-01-13T00:00:00"/>
        <d v="2024-05-13T00:00:00"/>
        <d v="2021-03-01T00:00:00"/>
        <d v="2022-12-02T00:00:00"/>
        <d v="2023-08-15T00:00:00"/>
        <d v="2022-02-15T00:00:00"/>
        <d v="2022-10-30T00:00:00"/>
        <d v="2023-06-21T00:00:00"/>
        <d v="2023-01-01T00:00:00"/>
        <d v="2020-06-01T00:00:00"/>
        <d v="2020-07-16T00:00:00"/>
        <d v="2020-06-16T00:00:00"/>
        <d v="2023-02-26T00:00:00"/>
        <d v="2021-01-30T00:00:00"/>
        <d v="2020-12-30T00:00:00"/>
        <d v="2022-11-06T00:00:00"/>
        <d v="2022-08-17T00:00:00"/>
        <d v="2020-12-26T00:00:00"/>
        <d v="2020-07-28T00:00:00"/>
        <d v="2022-06-19T00:00:00"/>
        <d v="2023-06-22T00:00:00"/>
        <d v="2021-01-13T00:00:00"/>
        <d v="2022-11-22T00:00:00"/>
        <d v="2023-05-12T00:00:00"/>
        <d v="2022-08-10T00:00:00"/>
        <d v="2022-04-12T00:00:00"/>
        <d v="2021-09-05T00:00:00"/>
        <d v="2021-01-16T00:00:00"/>
        <d v="2023-10-17T00:00:00"/>
        <d v="2023-01-16T00:00:00"/>
        <d v="2021-11-23T00:00:00"/>
        <d v="2023-05-03T00:00:00"/>
        <d v="2022-02-22T00:00:00"/>
        <d v="2021-12-10T00:00:00"/>
        <d v="2022-07-23T00:00:00"/>
        <d v="2022-08-08T00:00:00"/>
        <d v="2021-02-16T00:00:00"/>
        <d v="2023-05-20T00:00:00"/>
        <d v="2024-03-13T00:00:00"/>
        <d v="2021-12-21T00:00:00"/>
        <d v="2021-09-18T00:00:00"/>
        <d v="2022-10-12T00:00:00"/>
        <d v="2022-03-16T00:00:00"/>
        <d v="2021-08-18T00:00:00"/>
        <d v="2020-07-25T00:00:00"/>
        <d v="2020-03-06T00:00:00"/>
        <d v="2023-09-11T00:00:00"/>
        <d v="2023-03-24T00:00:00"/>
        <d v="2023-06-02T00:00:00"/>
        <d v="2020-10-23T00:00:00"/>
        <d v="2022-03-06T00:00:00"/>
        <d v="2021-01-31T00:00:00"/>
        <d v="2021-09-08T00:00:00"/>
        <d v="2021-04-03T00:00:00"/>
        <d v="2022-03-26T00:00:00"/>
        <d v="2021-11-03T00:00:00"/>
        <d v="2023-08-17T00:00:00"/>
        <d v="2022-11-28T00:00:00"/>
        <d v="2020-04-21T00:00:00"/>
        <d v="2023-12-08T00:00:00"/>
        <d v="2022-11-12T00:00:00"/>
        <d v="2021-03-10T00:00:00"/>
        <d v="2021-04-06T00:00:00"/>
        <d v="2023-07-05T00:00:00"/>
        <d v="2022-11-01T00:00:00"/>
        <d v="2022-06-11T00:00:00"/>
        <d v="2020-12-28T00:00:00"/>
        <d v="2023-07-30T00:00:00"/>
        <d v="2022-06-06T00:00:00"/>
        <d v="2021-07-16T00:00:00"/>
        <d v="2023-12-16T00:00:00"/>
        <d v="2022-05-03T00:00:00"/>
        <d v="2020-10-09T00:00:00"/>
        <d v="2022-09-29T00:00:00"/>
        <d v="2022-12-15T00:00:00"/>
        <d v="2023-09-15T00:00:00"/>
        <d v="2023-08-04T00:00:00"/>
        <d v="2023-11-30T00:00:00"/>
        <d v="2023-10-14T00:00:00"/>
        <d v="2021-07-09T00:00:00"/>
        <d v="2024-04-08T00:00:00"/>
        <d v="2021-05-04T00:00:00"/>
        <d v="2021-10-21T00:00:00"/>
        <d v="2020-06-04T00:00:00"/>
        <d v="2021-08-16T00:00:00"/>
        <d v="2021-07-15T00:00:00"/>
        <d v="2023-06-27T00:00:00"/>
        <d v="2022-07-28T00:00:00"/>
        <d v="2023-06-26T00:00:00"/>
        <d v="2021-11-27T00:00:00"/>
        <d v="2022-10-17T00:00:00"/>
        <d v="2021-05-28T00:00:00"/>
        <d v="2021-10-02T00:00:00"/>
        <d v="2022-12-18T00:00:00"/>
        <d v="2020-09-04T00:00:00"/>
        <d v="2022-04-05T00:00:00"/>
        <d v="2023-10-25T00:00:00"/>
        <d v="2021-10-09T00:00:00"/>
        <d v="2023-04-06T00:00:00"/>
        <d v="2020-02-20T00:00:00"/>
        <d v="2020-09-27T00:00:00"/>
        <d v="2023-05-30T00:00:00"/>
        <d v="2020-07-14T00:00:00"/>
        <d v="2021-11-29T00:00:00"/>
        <d v="2020-07-02T00:00:00"/>
        <d v="2020-07-04T00:00:00"/>
        <d v="2023-09-21T00:00:00"/>
        <d v="2023-02-16T00:00:00"/>
        <d v="2023-02-20T00:00:00"/>
        <d v="2023-04-28T00:00:00"/>
        <d v="2020-12-13T00:00:00"/>
        <d v="2021-04-25T00:00:00"/>
        <d v="2022-08-13T00:00:00"/>
        <d v="2020-07-18T00:00:00"/>
        <d v="2023-10-26T00:00:00"/>
        <d v="2022-01-21T00:00:00"/>
        <d v="2020-09-17T00:00:00"/>
        <d v="2020-03-08T00:00:00"/>
        <d v="2020-12-21T00:00:00"/>
        <d v="2022-01-22T00:00:00"/>
        <d v="2021-10-28T00:00:00"/>
        <d v="2021-07-24T00:00:00"/>
        <d v="2024-01-29T00:00:00"/>
        <d v="2022-11-29T00:00:00"/>
        <d v="2022-09-11T00:00:00"/>
        <d v="2023-11-17T00:00:00"/>
        <d v="2021-06-22T00:00:00"/>
        <d v="2023-06-24T00:00:00"/>
        <d v="2020-07-13T00:00:00"/>
        <d v="2020-10-25T00:00:00"/>
        <d v="2023-11-19T00:00:00"/>
        <d v="2023-03-20T00:00:00"/>
        <d v="2021-02-11T00:00:00"/>
        <d v="2022-04-29T00:00:00"/>
        <d v="2021-08-09T00:00:00"/>
        <d v="2020-06-09T00:00:00"/>
        <d v="2021-03-02T00:00:00"/>
        <d v="2023-04-04T00:00:00"/>
        <d v="2022-08-04T00:00:00"/>
        <d v="2021-04-29T00:00:00"/>
        <d v="2020-07-21T00:00:00"/>
        <d v="2022-12-04T00:00:00"/>
        <d v="2020-05-20T00:00:00"/>
        <d v="2022-11-19T00:00:00"/>
        <d v="2022-12-07T00:00:00"/>
        <d v="2023-06-25T00:00:00"/>
        <d v="2021-03-25T00:00:00"/>
        <d v="2023-04-09T00:00:00"/>
        <d v="2020-08-13T00:00:00"/>
        <d v="2023-02-12T00:00:00"/>
        <d v="2023-02-03T00:00:00"/>
        <d v="2023-06-20T00:00:00"/>
        <d v="2021-12-05T00:00:00"/>
        <d v="2021-06-02T00:00:00"/>
        <d v="2022-04-06T00:00:00"/>
        <d v="2021-06-14T00:00:00"/>
        <d v="2022-01-09T00:00:00"/>
        <d v="2020-07-19T00:00:00"/>
        <d v="2020-03-19T00:00:00"/>
        <d v="2023-11-13T00:00:00"/>
        <d v="2022-03-18T00:00:00"/>
        <d v="2021-08-24T00:00:00"/>
        <d v="2022-07-12T00:00:00"/>
        <d v="2022-01-23T00:00:00"/>
        <d v="2021-12-01T00:00:00"/>
        <d v="2021-03-18T00:00:00"/>
        <d v="2023-12-23T00:00:00"/>
        <d v="2020-11-08T00:00:00"/>
        <d v="2022-06-10T00:00:00"/>
        <d v="2020-08-27T00:00:00"/>
        <d v="2021-04-07T00:00:00"/>
        <d v="2022-12-01T00:00:00"/>
        <d v="2021-06-18T00:00:00"/>
        <d v="2021-05-19T00:00:00"/>
        <d v="2021-06-05T00:00:00"/>
        <d v="2023-11-09T00:00:00"/>
        <d v="2023-12-07T00:00:00"/>
        <d v="2023-03-23T00:00:00"/>
        <d v="2020-06-26T00:00:00"/>
        <d v="2021-12-08T00:00:00"/>
        <d v="2021-05-23T00:00:00"/>
        <d v="2022-07-31T00:00:00"/>
        <d v="2023-06-28T00:00:00"/>
        <d v="2020-08-20T00:00:00"/>
        <d v="2022-03-28T00:00:00"/>
        <d v="2022-01-15T00:00:00"/>
        <d v="2023-03-16T00:00:00"/>
        <d v="2021-04-26T00:00:00"/>
        <d v="2021-09-19T00:00:00"/>
        <d v="2022-05-26T00:00:00"/>
        <d v="2023-12-14T00:00:00"/>
        <d v="2021-12-02T00:00:00"/>
        <d v="2023-10-04T00:00:00"/>
        <d v="2022-02-13T00:00:00"/>
        <d v="2022-10-09T00:00:00"/>
        <d v="2021-05-26T00:00:00"/>
        <d v="2022-01-31T00:00:00"/>
        <d v="2021-11-16T00:00:00"/>
        <d v="2021-01-28T00:00:00"/>
        <d v="2020-11-20T00:00:00"/>
        <d v="2024-02-05T00:00:00"/>
        <d v="2022-11-26T00:00:00"/>
        <d v="2021-11-28T00:00:00"/>
        <d v="2021-05-13T00:00:00"/>
        <d v="2022-07-30T00:00:00"/>
        <d v="2022-07-27T00:00:00"/>
        <d v="2023-05-23T00:00:00"/>
        <d v="2023-12-27T00:00:00"/>
        <d v="2020-12-04T00:00:00"/>
        <d v="2022-07-01T00:00:00"/>
        <d v="2020-06-02T00:00:00"/>
        <d v="2023-05-07T00:00:00"/>
        <d v="2021-03-14T00:00:00"/>
        <d v="2020-01-20T00:00:00"/>
        <d v="2022-08-22T00:00:00"/>
        <d v="2023-01-31T00:00:00"/>
        <d v="2021-01-18T00:00:00"/>
        <d v="2020-07-17T00:00:00"/>
        <d v="2021-04-04T00:00:00"/>
        <d v="2021-04-22T00:00:00"/>
        <d v="2020-12-31T00:00:00"/>
        <d v="2020-07-08T00:00:00"/>
        <d v="2020-03-11T00:00:00"/>
        <d v="2020-06-30T00:00:00"/>
        <d v="2022-10-03T00:00:00"/>
        <d v="2020-04-11T00:00:00"/>
        <d v="2023-07-02T00:00:00"/>
        <d v="2023-02-14T00:00:00"/>
        <d v="2021-08-30T00:00:00"/>
        <d v="2022-10-18T00:00:00"/>
        <d v="2023-09-16T00:00:00"/>
        <d v="2020-07-31T00:00:00"/>
        <d v="2021-11-04T00:00:00"/>
        <d v="2023-08-18T00:00:00"/>
        <d v="2022-01-07T00:00:00"/>
        <d v="2020-11-13T00:00:00"/>
        <d v="2021-09-12T00:00:00"/>
        <d v="2020-09-30T00:00:00"/>
        <d v="2021-06-11T00:00:00"/>
        <d v="2023-08-05T00:00:00"/>
        <d v="2021-07-07T00:00:00"/>
        <d v="2021-07-25T00:00:00"/>
        <d v="2020-11-24T00:00:00"/>
        <d v="2022-12-26T00:00:00"/>
        <d v="2023-05-31T00:00:00"/>
        <d v="2023-10-08T00:00:00"/>
        <d v="2023-03-28T00:00:00"/>
        <d v="2022-10-22T00:00:00"/>
        <d v="2021-05-05T00:00:00"/>
        <d v="2020-03-09T00:00:00"/>
        <d v="2022-11-07T00:00:00"/>
        <d v="2020-11-18T00:00:00"/>
        <d v="2021-07-14T00:00:00"/>
        <d v="2021-03-23T00:00:00"/>
        <d v="2021-12-29T00:00:00"/>
        <d v="2022-06-25T00:00:00"/>
        <d v="2023-07-24T00:00:00"/>
        <d v="2020-12-25T00:00:00"/>
        <d v="2021-12-11T00:00:00"/>
        <d v="2023-01-21T00:00:00"/>
        <d v="2021-02-25T00:00:00"/>
        <d v="2020-11-27T00:00:00"/>
        <d v="2022-02-01T00:00:00"/>
        <d v="2022-06-08T00:00:00"/>
        <d v="2020-06-08T00:00:00"/>
        <d v="2021-06-26T00:00:00"/>
        <d v="2022-04-03T00:00:00"/>
        <d v="2020-09-05T00:00:00"/>
        <d v="2022-03-10T00:00:00"/>
        <d v="2020-02-13T00:00:00"/>
        <d v="2020-06-27T00:00:00"/>
        <d v="2023-12-12T00:00:00"/>
        <d v="2021-10-13T00:00:00"/>
        <d v="2024-01-20T00:00:00"/>
        <d v="2020-10-07T00:00:00"/>
        <d v="2023-02-22T00:00:00"/>
        <d v="2022-03-30T00:00:00"/>
        <d v="2023-02-01T00:00:00"/>
        <d v="2022-06-28T00:00:00"/>
        <d v="2024-01-26T00:00:00"/>
        <d v="2023-05-01T00:00:00"/>
        <d v="2021-07-11T00:00:00"/>
        <d v="2022-05-06T00:00:00"/>
        <d v="2023-01-14T00:00:00"/>
        <d v="2024-05-11T00:00:00"/>
        <d v="2023-08-29T00:00:00"/>
        <d v="2022-12-23T00:00:00"/>
        <d v="2023-09-22T00:00:00"/>
        <d v="2022-03-27T00:00:00"/>
        <d v="2020-11-28T00:00:00"/>
        <d v="2020-04-13T00:00:00"/>
        <d v="2023-02-02T00:00:00"/>
        <d v="2022-07-16T00:00:00"/>
        <d v="2022-09-20T00:00:00"/>
        <d v="2021-12-24T00:00:00"/>
        <d v="2021-09-26T00:00:00"/>
        <d v="2021-07-13T00:00:00"/>
        <d v="2024-01-05T00:00:00"/>
        <d v="2020-04-23T00:00:00"/>
        <d v="2021-11-02T00:00:00"/>
        <d v="2024-01-15T00:00:00"/>
        <d v="2023-02-04T00:00:00"/>
        <d v="2022-11-05T00:00:00"/>
        <d v="2020-05-17T00:00:00"/>
        <d v="2020-09-14T00:00:00"/>
        <d v="2023-06-15T00:00:00"/>
        <d v="2024-02-23T00:00:00"/>
        <d v="2022-12-29T00:00:00"/>
        <d v="2023-07-22T00:00:00"/>
        <d v="2021-01-11T00:00:00"/>
        <d v="2021-05-24T00:00:00"/>
        <d v="2023-10-12T00:00:00"/>
        <d v="2021-06-25T00:00:00"/>
        <d v="2020-06-24T00:00:00"/>
        <d v="2023-11-21T00:00:00"/>
        <d v="2023-09-17T00:00:00"/>
        <d v="2023-03-12T00:00:00"/>
        <d v="2023-11-24T00:00:00"/>
        <d v="2022-09-13T00:00:00"/>
        <d v="2020-10-01T00:00:00"/>
        <d v="2022-01-19T00:00:00"/>
        <d v="2024-04-12T00:00:00"/>
        <d v="2022-09-26T00:00:00"/>
        <d v="2020-11-05T00:00:00"/>
        <d v="2022-08-30T00:00:00"/>
        <d v="2024-02-26T00:00:00"/>
        <d v="2024-03-17T00:00:00"/>
        <d v="2020-04-19T00:00:00"/>
        <d v="2021-05-07T00:00:00"/>
        <d v="2022-11-11T00:00:00"/>
        <d v="2021-08-19T00:00:00"/>
        <d v="2023-09-23T00:00:00"/>
        <d v="2020-06-25T00:00:00"/>
        <d v="2021-10-08T00:00:00"/>
        <d v="2021-02-05T00:00:00"/>
        <d v="2020-05-01T00:00:00"/>
        <d v="2021-01-10T00:00:00"/>
        <d v="2023-12-28T00:00:00"/>
        <d v="2021-08-31T00:00:00"/>
        <d v="2022-07-03T00:00:00"/>
        <d v="2023-09-07T00:00:00"/>
        <d v="2021-08-13T00:00:00"/>
        <d v="2021-07-29T00:00:00"/>
        <d v="2022-10-27T00:00:00"/>
        <d v="2021-08-25T00:00:00"/>
        <d v="2021-10-22T00:00:00"/>
        <d v="2022-09-06T00:00:00"/>
        <d v="2021-07-08T00:00:00"/>
        <d v="2024-04-18T00:00:00"/>
        <d v="2021-01-24T00:00:00"/>
        <d v="2023-12-29T00:00:00"/>
        <d v="2022-02-19T00:00:00"/>
        <d v="2020-11-29T00:00:00"/>
        <d v="2020-09-11T00:00:00"/>
        <d v="2022-01-12T00:00:00"/>
        <d v="2023-03-30T00:00:00"/>
        <d v="2023-05-04T00:00:00"/>
        <d v="2020-08-05T00:00:00"/>
        <d v="2023-01-24T00:00:00"/>
        <d v="2021-08-23T00:00:00"/>
        <d v="2020-12-20T00:00:00"/>
        <d v="2023-03-10T00:00:00"/>
        <d v="2021-01-25T00:00:00"/>
        <d v="2024-05-05T00:00:00"/>
        <d v="2021-12-23T00:00:00"/>
        <d v="2020-04-06T00:00:00"/>
        <d v="2021-04-15T00:00:00"/>
        <d v="2023-04-19T00:00:00"/>
        <d v="2021-09-22T00:00:00"/>
        <d v="2022-04-15T00:00:00"/>
        <d v="2023-04-01T00:00:00"/>
        <d v="2020-09-10T00:00:00"/>
        <d v="2022-03-23T00:00:00"/>
        <d v="2022-10-08T00:00:00"/>
        <d v="2022-05-27T00:00:00"/>
      </sharedItems>
      <fieldGroup par="16"/>
    </cacheField>
    <cacheField name="Time to Resolution" numFmtId="22">
      <sharedItems containsSemiMixedTypes="0" containsNonDate="0" containsDate="1" containsString="0" minDate="2020-01-14T00:00:00" maxDate="2024-05-18T00:00:00"/>
    </cacheField>
    <cacheField name="Customer Satisfaction Rating" numFmtId="0">
      <sharedItems containsString="0" containsBlank="1" containsNumber="1" containsInteger="1" minValue="1" maxValue="5"/>
    </cacheField>
    <cacheField name="Resolution Duration Hours" numFmtId="0">
      <sharedItems containsSemiMixedTypes="0" containsString="0" containsNumber="1" containsInteger="1" minValue="0" maxValue="1368"/>
    </cacheField>
    <cacheField name="SLA_Target_Hours" numFmtId="0">
      <sharedItems containsSemiMixedTypes="0" containsString="0" containsNumber="1" containsInteger="1" minValue="24" maxValue="168"/>
    </cacheField>
    <cacheField name="SLA_Met" numFmtId="0">
      <sharedItems count="2">
        <s v="Yes"/>
        <s v="No"/>
      </sharedItems>
    </cacheField>
    <cacheField name="Months (First Response Time)" numFmtId="0" databaseField="0">
      <fieldGroup base="10">
        <rangePr groupBy="months" startDate="2020-01-13T00:00:00" endDate="2024-05-15T00:00:00"/>
        <groupItems count="14">
          <s v="&lt;13-01-2020"/>
          <s v="Jan"/>
          <s v="Feb"/>
          <s v="Mar"/>
          <s v="Apr"/>
          <s v="May"/>
          <s v="Jun"/>
          <s v="Jul"/>
          <s v="Aug"/>
          <s v="Sep"/>
          <s v="Oct"/>
          <s v="Nov"/>
          <s v="Dec"/>
          <s v="&gt;15-05-2024"/>
        </groupItems>
      </fieldGroup>
    </cacheField>
  </cacheFields>
  <extLst>
    <ext xmlns:x14="http://schemas.microsoft.com/office/spreadsheetml/2009/9/main" uri="{725AE2AE-9491-48be-B2B4-4EB974FC3084}">
      <x14:pivotCacheDefinition pivotCacheId="19338395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n v="1"/>
    <s v="Allison Hill"/>
    <x v="0"/>
    <x v="0"/>
    <d v="2022-04-27T00:00:00"/>
    <x v="0"/>
    <x v="0"/>
    <x v="0"/>
    <x v="0"/>
    <x v="0"/>
    <x v="0"/>
    <d v="2022-05-11T00:00:00"/>
    <m/>
    <n v="48"/>
    <n v="48"/>
    <x v="0"/>
  </r>
  <r>
    <n v="2"/>
    <s v="Javier Johnson"/>
    <x v="1"/>
    <x v="1"/>
    <d v="2020-11-04T00:00:00"/>
    <x v="0"/>
    <x v="1"/>
    <x v="1"/>
    <x v="0"/>
    <x v="0"/>
    <x v="1"/>
    <d v="2021-06-09T00:00:00"/>
    <n v="5"/>
    <n v="24"/>
    <n v="48"/>
    <x v="0"/>
  </r>
  <r>
    <n v="3"/>
    <s v="Meredith Barnes"/>
    <x v="2"/>
    <x v="1"/>
    <d v="2023-03-24T00:00:00"/>
    <x v="1"/>
    <x v="0"/>
    <x v="1"/>
    <x v="1"/>
    <x v="1"/>
    <x v="2"/>
    <d v="2023-08-14T00:00:00"/>
    <n v="4"/>
    <n v="24"/>
    <n v="24"/>
    <x v="0"/>
  </r>
  <r>
    <n v="4"/>
    <s v="Melissa Peterson"/>
    <x v="3"/>
    <x v="0"/>
    <d v="2020-05-24T00:00:00"/>
    <x v="2"/>
    <x v="0"/>
    <x v="1"/>
    <x v="2"/>
    <x v="2"/>
    <x v="3"/>
    <d v="2020-11-26T00:00:00"/>
    <n v="5"/>
    <n v="72"/>
    <n v="120"/>
    <x v="0"/>
  </r>
  <r>
    <n v="5"/>
    <s v="Ian Cooper"/>
    <x v="4"/>
    <x v="2"/>
    <d v="2021-08-11T00:00:00"/>
    <x v="3"/>
    <x v="1"/>
    <x v="2"/>
    <x v="1"/>
    <x v="2"/>
    <x v="4"/>
    <d v="2022-06-03T00:00:00"/>
    <n v="4"/>
    <n v="24"/>
    <n v="24"/>
    <x v="0"/>
  </r>
  <r>
    <n v="6"/>
    <s v="Edward Fuller"/>
    <x v="5"/>
    <x v="2"/>
    <d v="2020-12-20T00:00:00"/>
    <x v="4"/>
    <x v="2"/>
    <x v="1"/>
    <x v="0"/>
    <x v="3"/>
    <x v="5"/>
    <d v="2021-03-15T00:00:00"/>
    <n v="4"/>
    <n v="48"/>
    <n v="48"/>
    <x v="0"/>
  </r>
  <r>
    <n v="7"/>
    <s v="Victoria Wyatt"/>
    <x v="6"/>
    <x v="3"/>
    <d v="2020-09-09T00:00:00"/>
    <x v="3"/>
    <x v="3"/>
    <x v="1"/>
    <x v="3"/>
    <x v="0"/>
    <x v="6"/>
    <d v="2021-05-08T00:00:00"/>
    <n v="4"/>
    <n v="120"/>
    <n v="168"/>
    <x v="0"/>
  </r>
  <r>
    <n v="8"/>
    <s v="Daniel Adams"/>
    <x v="7"/>
    <x v="4"/>
    <d v="2021-01-15T00:00:00"/>
    <x v="2"/>
    <x v="4"/>
    <x v="1"/>
    <x v="0"/>
    <x v="3"/>
    <x v="7"/>
    <d v="2021-08-08T00:00:00"/>
    <m/>
    <n v="0"/>
    <n v="48"/>
    <x v="0"/>
  </r>
  <r>
    <n v="9"/>
    <s v="James Mayo"/>
    <x v="8"/>
    <x v="5"/>
    <d v="2020-12-21T00:00:00"/>
    <x v="2"/>
    <x v="5"/>
    <x v="1"/>
    <x v="0"/>
    <x v="2"/>
    <x v="8"/>
    <d v="2021-03-04T00:00:00"/>
    <n v="4"/>
    <n v="0"/>
    <n v="48"/>
    <x v="0"/>
  </r>
  <r>
    <n v="10"/>
    <s v="Renee Morales"/>
    <x v="9"/>
    <x v="6"/>
    <d v="2021-05-03T00:00:00"/>
    <x v="0"/>
    <x v="0"/>
    <x v="1"/>
    <x v="3"/>
    <x v="3"/>
    <x v="9"/>
    <d v="2022-01-22T00:00:00"/>
    <n v="4"/>
    <n v="96"/>
    <n v="168"/>
    <x v="0"/>
  </r>
  <r>
    <n v="11"/>
    <s v="Jonathan Wilkerson"/>
    <x v="10"/>
    <x v="5"/>
    <d v="2023-03-03T00:00:00"/>
    <x v="1"/>
    <x v="6"/>
    <x v="1"/>
    <x v="2"/>
    <x v="2"/>
    <x v="10"/>
    <d v="2023-11-30T00:00:00"/>
    <n v="3"/>
    <n v="48"/>
    <n v="120"/>
    <x v="0"/>
  </r>
  <r>
    <n v="12"/>
    <s v="Deborah Richards"/>
    <x v="11"/>
    <x v="0"/>
    <d v="2022-02-05T00:00:00"/>
    <x v="4"/>
    <x v="2"/>
    <x v="1"/>
    <x v="2"/>
    <x v="3"/>
    <x v="11"/>
    <d v="2022-07-11T00:00:00"/>
    <m/>
    <n v="144"/>
    <n v="120"/>
    <x v="1"/>
  </r>
  <r>
    <n v="13"/>
    <s v="Anthony Rodriguez"/>
    <x v="12"/>
    <x v="7"/>
    <d v="2021-08-20T00:00:00"/>
    <x v="3"/>
    <x v="7"/>
    <x v="2"/>
    <x v="0"/>
    <x v="2"/>
    <x v="12"/>
    <d v="2022-07-14T00:00:00"/>
    <n v="4"/>
    <n v="24"/>
    <n v="48"/>
    <x v="0"/>
  </r>
  <r>
    <n v="14"/>
    <s v="Zachary Rice"/>
    <x v="13"/>
    <x v="8"/>
    <d v="2023-03-12T00:00:00"/>
    <x v="3"/>
    <x v="0"/>
    <x v="1"/>
    <x v="3"/>
    <x v="2"/>
    <x v="13"/>
    <d v="2023-05-11T00:00:00"/>
    <n v="4"/>
    <n v="72"/>
    <n v="168"/>
    <x v="0"/>
  </r>
  <r>
    <n v="15"/>
    <s v="Martin Rodriguez"/>
    <x v="14"/>
    <x v="9"/>
    <d v="2023-01-22T00:00:00"/>
    <x v="2"/>
    <x v="3"/>
    <x v="1"/>
    <x v="0"/>
    <x v="2"/>
    <x v="14"/>
    <d v="2023-10-23T00:00:00"/>
    <m/>
    <n v="48"/>
    <n v="48"/>
    <x v="0"/>
  </r>
  <r>
    <n v="16"/>
    <s v="Jonathan White"/>
    <x v="15"/>
    <x v="10"/>
    <d v="2022-02-27T00:00:00"/>
    <x v="4"/>
    <x v="0"/>
    <x v="1"/>
    <x v="3"/>
    <x v="1"/>
    <x v="15"/>
    <d v="2023-03-02T00:00:00"/>
    <n v="4"/>
    <n v="72"/>
    <n v="168"/>
    <x v="0"/>
  </r>
  <r>
    <n v="17"/>
    <s v="Brittany Farmer"/>
    <x v="16"/>
    <x v="1"/>
    <d v="2021-07-17T00:00:00"/>
    <x v="1"/>
    <x v="0"/>
    <x v="1"/>
    <x v="0"/>
    <x v="2"/>
    <x v="16"/>
    <d v="2022-04-27T00:00:00"/>
    <n v="4"/>
    <n v="24"/>
    <n v="48"/>
    <x v="0"/>
  </r>
  <r>
    <n v="18"/>
    <s v="Sandra Parker"/>
    <x v="17"/>
    <x v="11"/>
    <d v="2020-05-13T00:00:00"/>
    <x v="2"/>
    <x v="6"/>
    <x v="1"/>
    <x v="2"/>
    <x v="1"/>
    <x v="17"/>
    <d v="2021-04-23T00:00:00"/>
    <n v="5"/>
    <n v="72"/>
    <n v="120"/>
    <x v="0"/>
  </r>
  <r>
    <n v="19"/>
    <s v="Rose Spence"/>
    <x v="18"/>
    <x v="0"/>
    <d v="2020-09-13T00:00:00"/>
    <x v="3"/>
    <x v="8"/>
    <x v="1"/>
    <x v="2"/>
    <x v="3"/>
    <x v="18"/>
    <d v="2020-11-04T00:00:00"/>
    <n v="3"/>
    <n v="72"/>
    <n v="120"/>
    <x v="0"/>
  </r>
  <r>
    <n v="20"/>
    <s v="Shane Henderson"/>
    <x v="19"/>
    <x v="4"/>
    <d v="2020-11-08T00:00:00"/>
    <x v="3"/>
    <x v="9"/>
    <x v="1"/>
    <x v="0"/>
    <x v="1"/>
    <x v="19"/>
    <d v="2021-01-04T00:00:00"/>
    <n v="3"/>
    <n v="48"/>
    <n v="48"/>
    <x v="0"/>
  </r>
  <r>
    <n v="21"/>
    <s v="Jennifer Powers"/>
    <x v="20"/>
    <x v="12"/>
    <d v="2021-01-20T00:00:00"/>
    <x v="4"/>
    <x v="1"/>
    <x v="3"/>
    <x v="3"/>
    <x v="0"/>
    <x v="20"/>
    <d v="2021-03-18T00:00:00"/>
    <m/>
    <n v="168"/>
    <n v="168"/>
    <x v="0"/>
  </r>
  <r>
    <n v="22"/>
    <s v="George Chapman"/>
    <x v="21"/>
    <x v="13"/>
    <d v="2022-09-07T00:00:00"/>
    <x v="2"/>
    <x v="10"/>
    <x v="2"/>
    <x v="2"/>
    <x v="1"/>
    <x v="21"/>
    <d v="2023-05-11T00:00:00"/>
    <n v="3"/>
    <n v="0"/>
    <n v="120"/>
    <x v="0"/>
  </r>
  <r>
    <n v="23"/>
    <s v="Austin Johnson"/>
    <x v="22"/>
    <x v="12"/>
    <d v="2022-01-24T00:00:00"/>
    <x v="1"/>
    <x v="8"/>
    <x v="1"/>
    <x v="0"/>
    <x v="3"/>
    <x v="22"/>
    <d v="2022-12-30T00:00:00"/>
    <n v="5"/>
    <n v="48"/>
    <n v="48"/>
    <x v="0"/>
  </r>
  <r>
    <n v="24"/>
    <s v="Carlos Walls"/>
    <x v="23"/>
    <x v="13"/>
    <d v="2020-10-22T00:00:00"/>
    <x v="3"/>
    <x v="11"/>
    <x v="3"/>
    <x v="2"/>
    <x v="1"/>
    <x v="23"/>
    <d v="2021-07-10T00:00:00"/>
    <m/>
    <n v="96"/>
    <n v="120"/>
    <x v="0"/>
  </r>
  <r>
    <n v="25"/>
    <s v="Matthew Gomez"/>
    <x v="24"/>
    <x v="14"/>
    <d v="2022-11-12T00:00:00"/>
    <x v="0"/>
    <x v="7"/>
    <x v="1"/>
    <x v="3"/>
    <x v="1"/>
    <x v="24"/>
    <d v="2023-06-12T00:00:00"/>
    <n v="4"/>
    <n v="144"/>
    <n v="168"/>
    <x v="0"/>
  </r>
  <r>
    <n v="26"/>
    <s v="Maria Brown"/>
    <x v="25"/>
    <x v="11"/>
    <d v="2020-10-22T00:00:00"/>
    <x v="2"/>
    <x v="5"/>
    <x v="0"/>
    <x v="2"/>
    <x v="3"/>
    <x v="25"/>
    <d v="2021-02-04T00:00:00"/>
    <m/>
    <n v="24"/>
    <n v="120"/>
    <x v="0"/>
  </r>
  <r>
    <n v="27"/>
    <s v="Brenda White"/>
    <x v="26"/>
    <x v="9"/>
    <d v="2022-05-04T00:00:00"/>
    <x v="1"/>
    <x v="12"/>
    <x v="0"/>
    <x v="3"/>
    <x v="1"/>
    <x v="26"/>
    <d v="2022-05-12T00:00:00"/>
    <m/>
    <n v="96"/>
    <n v="168"/>
    <x v="0"/>
  </r>
  <r>
    <n v="28"/>
    <s v="Matthew Fernandez"/>
    <x v="27"/>
    <x v="2"/>
    <d v="2020-09-15T00:00:00"/>
    <x v="0"/>
    <x v="8"/>
    <x v="1"/>
    <x v="2"/>
    <x v="3"/>
    <x v="27"/>
    <d v="2020-10-23T00:00:00"/>
    <n v="5"/>
    <n v="72"/>
    <n v="120"/>
    <x v="0"/>
  </r>
  <r>
    <n v="29"/>
    <s v="John Hancock"/>
    <x v="28"/>
    <x v="12"/>
    <d v="2021-02-15T00:00:00"/>
    <x v="4"/>
    <x v="10"/>
    <x v="3"/>
    <x v="0"/>
    <x v="0"/>
    <x v="28"/>
    <d v="2021-07-20T00:00:00"/>
    <m/>
    <n v="48"/>
    <n v="48"/>
    <x v="0"/>
  </r>
  <r>
    <n v="30"/>
    <s v="Rachel Mitchell"/>
    <x v="29"/>
    <x v="7"/>
    <d v="2020-03-31T00:00:00"/>
    <x v="3"/>
    <x v="0"/>
    <x v="1"/>
    <x v="2"/>
    <x v="1"/>
    <x v="25"/>
    <d v="2021-02-04T00:00:00"/>
    <n v="4"/>
    <n v="24"/>
    <n v="120"/>
    <x v="0"/>
  </r>
  <r>
    <n v="31"/>
    <s v="Kimberly Adkins"/>
    <x v="30"/>
    <x v="11"/>
    <d v="2020-09-01T00:00:00"/>
    <x v="2"/>
    <x v="2"/>
    <x v="1"/>
    <x v="3"/>
    <x v="3"/>
    <x v="29"/>
    <d v="2020-09-28T00:00:00"/>
    <n v="3"/>
    <n v="120"/>
    <n v="168"/>
    <x v="0"/>
  </r>
  <r>
    <n v="32"/>
    <s v="Jordan York"/>
    <x v="31"/>
    <x v="9"/>
    <d v="2021-09-19T00:00:00"/>
    <x v="1"/>
    <x v="5"/>
    <x v="1"/>
    <x v="2"/>
    <x v="1"/>
    <x v="30"/>
    <d v="2022-09-11T00:00:00"/>
    <m/>
    <n v="96"/>
    <n v="120"/>
    <x v="0"/>
  </r>
  <r>
    <n v="33"/>
    <s v="Steve Sanchez"/>
    <x v="32"/>
    <x v="15"/>
    <d v="2022-05-28T00:00:00"/>
    <x v="0"/>
    <x v="13"/>
    <x v="3"/>
    <x v="0"/>
    <x v="1"/>
    <x v="31"/>
    <d v="2022-11-29T00:00:00"/>
    <m/>
    <n v="48"/>
    <n v="48"/>
    <x v="0"/>
  </r>
  <r>
    <n v="34"/>
    <s v="Taylor Harris"/>
    <x v="33"/>
    <x v="6"/>
    <d v="2022-09-29T00:00:00"/>
    <x v="1"/>
    <x v="6"/>
    <x v="0"/>
    <x v="3"/>
    <x v="0"/>
    <x v="32"/>
    <d v="2023-02-06T00:00:00"/>
    <m/>
    <n v="216"/>
    <n v="168"/>
    <x v="1"/>
  </r>
  <r>
    <n v="35"/>
    <s v="Eugene Walton"/>
    <x v="34"/>
    <x v="16"/>
    <d v="2020-06-04T00:00:00"/>
    <x v="2"/>
    <x v="3"/>
    <x v="1"/>
    <x v="3"/>
    <x v="2"/>
    <x v="33"/>
    <d v="2021-05-16T00:00:00"/>
    <n v="4"/>
    <n v="96"/>
    <n v="168"/>
    <x v="0"/>
  </r>
  <r>
    <n v="36"/>
    <s v="Daniel Baker"/>
    <x v="35"/>
    <x v="5"/>
    <d v="2020-09-02T00:00:00"/>
    <x v="1"/>
    <x v="10"/>
    <x v="0"/>
    <x v="3"/>
    <x v="1"/>
    <x v="34"/>
    <d v="2021-03-07T00:00:00"/>
    <m/>
    <n v="168"/>
    <n v="168"/>
    <x v="0"/>
  </r>
  <r>
    <n v="37"/>
    <s v="Joshua Turner"/>
    <x v="36"/>
    <x v="9"/>
    <d v="2020-06-09T00:00:00"/>
    <x v="1"/>
    <x v="12"/>
    <x v="1"/>
    <x v="2"/>
    <x v="1"/>
    <x v="35"/>
    <d v="2020-11-03T00:00:00"/>
    <n v="4"/>
    <n v="120"/>
    <n v="120"/>
    <x v="0"/>
  </r>
  <r>
    <n v="38"/>
    <s v="Brandy Wilson"/>
    <x v="37"/>
    <x v="11"/>
    <d v="2022-07-28T00:00:00"/>
    <x v="2"/>
    <x v="4"/>
    <x v="1"/>
    <x v="2"/>
    <x v="3"/>
    <x v="36"/>
    <d v="2022-08-19T00:00:00"/>
    <n v="3"/>
    <n v="72"/>
    <n v="120"/>
    <x v="0"/>
  </r>
  <r>
    <n v="39"/>
    <s v="Grant Watts"/>
    <x v="38"/>
    <x v="11"/>
    <d v="2022-09-12T00:00:00"/>
    <x v="4"/>
    <x v="5"/>
    <x v="1"/>
    <x v="1"/>
    <x v="0"/>
    <x v="37"/>
    <d v="2022-10-04T00:00:00"/>
    <n v="5"/>
    <n v="0"/>
    <n v="24"/>
    <x v="0"/>
  </r>
  <r>
    <n v="40"/>
    <s v="Donald Smith"/>
    <x v="39"/>
    <x v="4"/>
    <d v="2021-11-17T00:00:00"/>
    <x v="2"/>
    <x v="13"/>
    <x v="1"/>
    <x v="3"/>
    <x v="1"/>
    <x v="38"/>
    <d v="2022-10-12T00:00:00"/>
    <n v="4"/>
    <n v="240"/>
    <n v="168"/>
    <x v="1"/>
  </r>
  <r>
    <n v="41"/>
    <s v="Jessica Smith"/>
    <x v="40"/>
    <x v="6"/>
    <d v="2022-04-27T00:00:00"/>
    <x v="0"/>
    <x v="14"/>
    <x v="1"/>
    <x v="3"/>
    <x v="1"/>
    <x v="39"/>
    <d v="2022-08-12T00:00:00"/>
    <n v="4"/>
    <n v="216"/>
    <n v="168"/>
    <x v="1"/>
  </r>
  <r>
    <n v="42"/>
    <s v="Jacob Tran"/>
    <x v="41"/>
    <x v="7"/>
    <d v="2023-05-21T00:00:00"/>
    <x v="2"/>
    <x v="6"/>
    <x v="1"/>
    <x v="2"/>
    <x v="1"/>
    <x v="40"/>
    <d v="2023-09-07T00:00:00"/>
    <m/>
    <n v="48"/>
    <n v="120"/>
    <x v="0"/>
  </r>
  <r>
    <n v="43"/>
    <s v="Amanda Howard"/>
    <x v="42"/>
    <x v="3"/>
    <d v="2021-09-23T00:00:00"/>
    <x v="1"/>
    <x v="3"/>
    <x v="3"/>
    <x v="2"/>
    <x v="0"/>
    <x v="41"/>
    <d v="2022-08-30T00:00:00"/>
    <m/>
    <n v="96"/>
    <n v="120"/>
    <x v="0"/>
  </r>
  <r>
    <n v="44"/>
    <s v="Nicole Frost"/>
    <x v="43"/>
    <x v="10"/>
    <d v="2021-10-02T00:00:00"/>
    <x v="0"/>
    <x v="3"/>
    <x v="1"/>
    <x v="0"/>
    <x v="1"/>
    <x v="42"/>
    <d v="2021-12-19T00:00:00"/>
    <n v="4"/>
    <n v="72"/>
    <n v="48"/>
    <x v="1"/>
  </r>
  <r>
    <n v="45"/>
    <s v="Norman Cook"/>
    <x v="44"/>
    <x v="17"/>
    <d v="2021-02-18T00:00:00"/>
    <x v="2"/>
    <x v="3"/>
    <x v="3"/>
    <x v="0"/>
    <x v="2"/>
    <x v="43"/>
    <d v="2021-11-01T00:00:00"/>
    <m/>
    <n v="72"/>
    <n v="48"/>
    <x v="1"/>
  </r>
  <r>
    <n v="46"/>
    <s v="Michael Reyes"/>
    <x v="45"/>
    <x v="3"/>
    <d v="2021-06-27T00:00:00"/>
    <x v="0"/>
    <x v="2"/>
    <x v="1"/>
    <x v="1"/>
    <x v="0"/>
    <x v="44"/>
    <d v="2022-06-18T00:00:00"/>
    <n v="5"/>
    <n v="0"/>
    <n v="24"/>
    <x v="0"/>
  </r>
  <r>
    <n v="47"/>
    <s v="Robert Perez"/>
    <x v="46"/>
    <x v="5"/>
    <d v="2020-04-17T00:00:00"/>
    <x v="2"/>
    <x v="9"/>
    <x v="1"/>
    <x v="3"/>
    <x v="1"/>
    <x v="45"/>
    <d v="2021-03-03T00:00:00"/>
    <n v="4"/>
    <n v="168"/>
    <n v="168"/>
    <x v="0"/>
  </r>
  <r>
    <n v="48"/>
    <s v="Diana May"/>
    <x v="47"/>
    <x v="14"/>
    <d v="2020-02-12T00:00:00"/>
    <x v="4"/>
    <x v="10"/>
    <x v="1"/>
    <x v="3"/>
    <x v="0"/>
    <x v="46"/>
    <d v="2021-01-10T00:00:00"/>
    <n v="2"/>
    <n v="168"/>
    <n v="168"/>
    <x v="0"/>
  </r>
  <r>
    <n v="49"/>
    <s v="Wesley White"/>
    <x v="48"/>
    <x v="12"/>
    <d v="2023-02-05T00:00:00"/>
    <x v="0"/>
    <x v="9"/>
    <x v="1"/>
    <x v="0"/>
    <x v="1"/>
    <x v="47"/>
    <d v="2023-03-19T00:00:00"/>
    <n v="4"/>
    <n v="24"/>
    <n v="48"/>
    <x v="0"/>
  </r>
  <r>
    <n v="50"/>
    <s v="Jessica Joyce"/>
    <x v="49"/>
    <x v="10"/>
    <d v="2020-03-09T00:00:00"/>
    <x v="0"/>
    <x v="1"/>
    <x v="0"/>
    <x v="3"/>
    <x v="2"/>
    <x v="48"/>
    <d v="2020-10-21T00:00:00"/>
    <m/>
    <n v="264"/>
    <n v="168"/>
    <x v="1"/>
  </r>
  <r>
    <n v="51"/>
    <s v="April Frost"/>
    <x v="50"/>
    <x v="13"/>
    <d v="2021-05-27T00:00:00"/>
    <x v="0"/>
    <x v="6"/>
    <x v="3"/>
    <x v="2"/>
    <x v="3"/>
    <x v="49"/>
    <d v="2021-06-02T00:00:00"/>
    <m/>
    <n v="72"/>
    <n v="120"/>
    <x v="0"/>
  </r>
  <r>
    <n v="52"/>
    <s v="Mary Martinez"/>
    <x v="51"/>
    <x v="14"/>
    <d v="2022-12-19T00:00:00"/>
    <x v="4"/>
    <x v="14"/>
    <x v="1"/>
    <x v="2"/>
    <x v="1"/>
    <x v="50"/>
    <d v="2023-08-27T00:00:00"/>
    <n v="4"/>
    <n v="48"/>
    <n v="120"/>
    <x v="0"/>
  </r>
  <r>
    <n v="53"/>
    <s v="Cameron Fisher"/>
    <x v="52"/>
    <x v="6"/>
    <d v="2022-06-03T00:00:00"/>
    <x v="2"/>
    <x v="12"/>
    <x v="1"/>
    <x v="3"/>
    <x v="1"/>
    <x v="51"/>
    <d v="2023-04-26T00:00:00"/>
    <n v="4"/>
    <n v="216"/>
    <n v="168"/>
    <x v="1"/>
  </r>
  <r>
    <n v="54"/>
    <s v="Joshua Smith"/>
    <x v="53"/>
    <x v="17"/>
    <d v="2021-05-15T00:00:00"/>
    <x v="1"/>
    <x v="14"/>
    <x v="3"/>
    <x v="2"/>
    <x v="0"/>
    <x v="43"/>
    <d v="2021-11-01T00:00:00"/>
    <m/>
    <n v="72"/>
    <n v="120"/>
    <x v="0"/>
  </r>
  <r>
    <n v="55"/>
    <s v="Jeremy Lewis"/>
    <x v="54"/>
    <x v="9"/>
    <d v="2020-09-20T00:00:00"/>
    <x v="3"/>
    <x v="6"/>
    <x v="1"/>
    <x v="2"/>
    <x v="0"/>
    <x v="52"/>
    <d v="2021-05-22T00:00:00"/>
    <n v="4"/>
    <n v="96"/>
    <n v="120"/>
    <x v="0"/>
  </r>
  <r>
    <n v="56"/>
    <s v="Diane Beck"/>
    <x v="55"/>
    <x v="14"/>
    <d v="2020-11-05T00:00:00"/>
    <x v="2"/>
    <x v="13"/>
    <x v="1"/>
    <x v="2"/>
    <x v="2"/>
    <x v="53"/>
    <d v="2021-02-20T00:00:00"/>
    <n v="3"/>
    <n v="120"/>
    <n v="120"/>
    <x v="0"/>
  </r>
  <r>
    <n v="57"/>
    <s v="Angel Riggs"/>
    <x v="56"/>
    <x v="2"/>
    <d v="2020-10-29T00:00:00"/>
    <x v="0"/>
    <x v="8"/>
    <x v="1"/>
    <x v="3"/>
    <x v="1"/>
    <x v="54"/>
    <d v="2021-01-28T00:00:00"/>
    <m/>
    <n v="144"/>
    <n v="168"/>
    <x v="0"/>
  </r>
  <r>
    <n v="58"/>
    <s v="Janet Ross"/>
    <x v="57"/>
    <x v="1"/>
    <d v="2023-04-24T00:00:00"/>
    <x v="4"/>
    <x v="0"/>
    <x v="1"/>
    <x v="2"/>
    <x v="0"/>
    <x v="55"/>
    <d v="2024-04-07T00:00:00"/>
    <n v="3"/>
    <n v="72"/>
    <n v="120"/>
    <x v="0"/>
  </r>
  <r>
    <n v="59"/>
    <s v="Christopher Rubio"/>
    <x v="58"/>
    <x v="7"/>
    <d v="2021-12-10T00:00:00"/>
    <x v="1"/>
    <x v="0"/>
    <x v="1"/>
    <x v="0"/>
    <x v="1"/>
    <x v="56"/>
    <d v="2022-11-27T00:00:00"/>
    <n v="4"/>
    <n v="48"/>
    <n v="48"/>
    <x v="0"/>
  </r>
  <r>
    <n v="60"/>
    <s v="John Schmidt"/>
    <x v="59"/>
    <x v="4"/>
    <d v="2022-02-23T00:00:00"/>
    <x v="4"/>
    <x v="1"/>
    <x v="1"/>
    <x v="3"/>
    <x v="0"/>
    <x v="57"/>
    <d v="2022-03-08T00:00:00"/>
    <n v="4"/>
    <n v="168"/>
    <n v="168"/>
    <x v="0"/>
  </r>
  <r>
    <n v="61"/>
    <s v="Terry Griffin"/>
    <x v="60"/>
    <x v="18"/>
    <d v="2023-03-13T00:00:00"/>
    <x v="1"/>
    <x v="5"/>
    <x v="1"/>
    <x v="3"/>
    <x v="0"/>
    <x v="58"/>
    <d v="2024-02-12T00:00:00"/>
    <m/>
    <n v="72"/>
    <n v="168"/>
    <x v="0"/>
  </r>
  <r>
    <n v="62"/>
    <s v="Mark Cannon"/>
    <x v="61"/>
    <x v="9"/>
    <d v="2020-04-30T00:00:00"/>
    <x v="1"/>
    <x v="12"/>
    <x v="1"/>
    <x v="0"/>
    <x v="1"/>
    <x v="59"/>
    <d v="2020-09-20T00:00:00"/>
    <n v="4"/>
    <n v="24"/>
    <n v="48"/>
    <x v="0"/>
  </r>
  <r>
    <n v="63"/>
    <s v="Cynthia Rogers"/>
    <x v="62"/>
    <x v="2"/>
    <d v="2020-08-25T00:00:00"/>
    <x v="3"/>
    <x v="3"/>
    <x v="0"/>
    <x v="3"/>
    <x v="2"/>
    <x v="60"/>
    <d v="2021-01-08T00:00:00"/>
    <m/>
    <n v="96"/>
    <n v="168"/>
    <x v="0"/>
  </r>
  <r>
    <n v="64"/>
    <s v="Amy Russell"/>
    <x v="63"/>
    <x v="16"/>
    <d v="2021-08-28T00:00:00"/>
    <x v="1"/>
    <x v="3"/>
    <x v="1"/>
    <x v="0"/>
    <x v="1"/>
    <x v="61"/>
    <d v="2022-05-06T00:00:00"/>
    <n v="4"/>
    <n v="24"/>
    <n v="48"/>
    <x v="0"/>
  </r>
  <r>
    <n v="65"/>
    <s v="Lauren Dominguez"/>
    <x v="64"/>
    <x v="14"/>
    <d v="2023-03-16T00:00:00"/>
    <x v="1"/>
    <x v="13"/>
    <x v="2"/>
    <x v="2"/>
    <x v="3"/>
    <x v="62"/>
    <d v="2023-08-26T00:00:00"/>
    <n v="4"/>
    <n v="168"/>
    <n v="120"/>
    <x v="1"/>
  </r>
  <r>
    <n v="66"/>
    <s v="Steven Houston"/>
    <x v="65"/>
    <x v="7"/>
    <d v="2020-02-15T00:00:00"/>
    <x v="4"/>
    <x v="3"/>
    <x v="2"/>
    <x v="3"/>
    <x v="3"/>
    <x v="63"/>
    <d v="2020-06-29T00:00:00"/>
    <n v="4"/>
    <n v="168"/>
    <n v="168"/>
    <x v="0"/>
  </r>
  <r>
    <n v="67"/>
    <s v="Michael Yates"/>
    <x v="66"/>
    <x v="11"/>
    <d v="2022-04-09T00:00:00"/>
    <x v="4"/>
    <x v="5"/>
    <x v="0"/>
    <x v="2"/>
    <x v="1"/>
    <x v="64"/>
    <d v="2023-02-05T00:00:00"/>
    <m/>
    <n v="0"/>
    <n v="120"/>
    <x v="0"/>
  </r>
  <r>
    <n v="68"/>
    <s v="James Elliott"/>
    <x v="67"/>
    <x v="3"/>
    <d v="2020-10-09T00:00:00"/>
    <x v="4"/>
    <x v="11"/>
    <x v="1"/>
    <x v="2"/>
    <x v="3"/>
    <x v="65"/>
    <d v="2021-03-15T00:00:00"/>
    <m/>
    <n v="72"/>
    <n v="120"/>
    <x v="0"/>
  </r>
  <r>
    <n v="69"/>
    <s v="James Lewis"/>
    <x v="68"/>
    <x v="13"/>
    <d v="2021-01-26T00:00:00"/>
    <x v="2"/>
    <x v="0"/>
    <x v="1"/>
    <x v="2"/>
    <x v="1"/>
    <x v="66"/>
    <d v="2021-03-23T00:00:00"/>
    <n v="5"/>
    <n v="96"/>
    <n v="120"/>
    <x v="0"/>
  </r>
  <r>
    <n v="70"/>
    <s v="Julie Curry"/>
    <x v="69"/>
    <x v="17"/>
    <d v="2020-04-16T00:00:00"/>
    <x v="1"/>
    <x v="0"/>
    <x v="0"/>
    <x v="2"/>
    <x v="3"/>
    <x v="67"/>
    <d v="2020-12-26T00:00:00"/>
    <m/>
    <n v="72"/>
    <n v="120"/>
    <x v="0"/>
  </r>
  <r>
    <n v="71"/>
    <s v="Marissa Webster"/>
    <x v="70"/>
    <x v="14"/>
    <d v="2021-01-05T00:00:00"/>
    <x v="2"/>
    <x v="10"/>
    <x v="3"/>
    <x v="2"/>
    <x v="1"/>
    <x v="68"/>
    <d v="2021-03-10T00:00:00"/>
    <m/>
    <n v="96"/>
    <n v="120"/>
    <x v="0"/>
  </r>
  <r>
    <n v="72"/>
    <s v="Michael Elliott"/>
    <x v="71"/>
    <x v="1"/>
    <d v="2020-09-17T00:00:00"/>
    <x v="4"/>
    <x v="10"/>
    <x v="2"/>
    <x v="2"/>
    <x v="1"/>
    <x v="69"/>
    <d v="2021-04-27T00:00:00"/>
    <n v="3"/>
    <n v="72"/>
    <n v="120"/>
    <x v="0"/>
  </r>
  <r>
    <n v="73"/>
    <s v="Tracey Higgins"/>
    <x v="72"/>
    <x v="3"/>
    <d v="2021-04-29T00:00:00"/>
    <x v="1"/>
    <x v="13"/>
    <x v="1"/>
    <x v="0"/>
    <x v="1"/>
    <x v="70"/>
    <d v="2021-09-12T00:00:00"/>
    <n v="5"/>
    <n v="336"/>
    <n v="48"/>
    <x v="1"/>
  </r>
  <r>
    <n v="74"/>
    <s v="Susan Brooks"/>
    <x v="73"/>
    <x v="5"/>
    <d v="2021-01-12T00:00:00"/>
    <x v="2"/>
    <x v="0"/>
    <x v="1"/>
    <x v="3"/>
    <x v="2"/>
    <x v="71"/>
    <d v="2021-02-26T00:00:00"/>
    <n v="3"/>
    <n v="216"/>
    <n v="168"/>
    <x v="1"/>
  </r>
  <r>
    <n v="75"/>
    <s v="Raymond Jefferson"/>
    <x v="74"/>
    <x v="6"/>
    <d v="2021-06-23T00:00:00"/>
    <x v="1"/>
    <x v="9"/>
    <x v="1"/>
    <x v="0"/>
    <x v="3"/>
    <x v="72"/>
    <d v="2021-11-09T00:00:00"/>
    <n v="3"/>
    <n v="72"/>
    <n v="48"/>
    <x v="1"/>
  </r>
  <r>
    <n v="76"/>
    <s v="Mary Jones"/>
    <x v="75"/>
    <x v="7"/>
    <d v="2021-11-04T00:00:00"/>
    <x v="1"/>
    <x v="7"/>
    <x v="1"/>
    <x v="2"/>
    <x v="2"/>
    <x v="73"/>
    <d v="2022-11-01T00:00:00"/>
    <n v="5"/>
    <n v="96"/>
    <n v="120"/>
    <x v="0"/>
  </r>
  <r>
    <n v="77"/>
    <s v="Madison Poole"/>
    <x v="76"/>
    <x v="9"/>
    <d v="2021-02-23T00:00:00"/>
    <x v="1"/>
    <x v="7"/>
    <x v="2"/>
    <x v="3"/>
    <x v="3"/>
    <x v="74"/>
    <d v="2021-06-25T00:00:00"/>
    <n v="4"/>
    <n v="96"/>
    <n v="168"/>
    <x v="0"/>
  </r>
  <r>
    <n v="78"/>
    <s v="Tamara Hampton"/>
    <x v="77"/>
    <x v="3"/>
    <d v="2021-02-20T00:00:00"/>
    <x v="3"/>
    <x v="9"/>
    <x v="1"/>
    <x v="2"/>
    <x v="0"/>
    <x v="75"/>
    <d v="2021-10-22T00:00:00"/>
    <n v="4"/>
    <n v="96"/>
    <n v="120"/>
    <x v="0"/>
  </r>
  <r>
    <n v="79"/>
    <s v="David Michael"/>
    <x v="78"/>
    <x v="4"/>
    <d v="2022-08-06T00:00:00"/>
    <x v="0"/>
    <x v="8"/>
    <x v="1"/>
    <x v="3"/>
    <x v="2"/>
    <x v="76"/>
    <d v="2023-01-19T00:00:00"/>
    <n v="4"/>
    <n v="48"/>
    <n v="168"/>
    <x v="0"/>
  </r>
  <r>
    <n v="80"/>
    <s v="Gabrielle Snyder"/>
    <x v="79"/>
    <x v="4"/>
    <d v="2021-06-12T00:00:00"/>
    <x v="0"/>
    <x v="9"/>
    <x v="2"/>
    <x v="3"/>
    <x v="3"/>
    <x v="77"/>
    <d v="2021-10-23T00:00:00"/>
    <n v="4"/>
    <n v="96"/>
    <n v="168"/>
    <x v="0"/>
  </r>
  <r>
    <n v="81"/>
    <s v="Kyle Beard"/>
    <x v="80"/>
    <x v="10"/>
    <d v="2023-01-23T00:00:00"/>
    <x v="1"/>
    <x v="9"/>
    <x v="1"/>
    <x v="3"/>
    <x v="3"/>
    <x v="78"/>
    <d v="2023-10-19T00:00:00"/>
    <m/>
    <n v="96"/>
    <n v="168"/>
    <x v="0"/>
  </r>
  <r>
    <n v="82"/>
    <s v="Justin Allen"/>
    <x v="81"/>
    <x v="13"/>
    <d v="2023-05-16T00:00:00"/>
    <x v="2"/>
    <x v="0"/>
    <x v="1"/>
    <x v="2"/>
    <x v="1"/>
    <x v="79"/>
    <d v="2023-07-23T00:00:00"/>
    <n v="3"/>
    <n v="144"/>
    <n v="120"/>
    <x v="1"/>
  </r>
  <r>
    <n v="83"/>
    <s v="Edward Sullivan"/>
    <x v="82"/>
    <x v="0"/>
    <d v="2022-05-09T00:00:00"/>
    <x v="2"/>
    <x v="14"/>
    <x v="1"/>
    <x v="2"/>
    <x v="0"/>
    <x v="80"/>
    <d v="2023-01-03T00:00:00"/>
    <n v="5"/>
    <n v="72"/>
    <n v="120"/>
    <x v="0"/>
  </r>
  <r>
    <n v="84"/>
    <s v="Jessica Reese"/>
    <x v="83"/>
    <x v="13"/>
    <d v="2021-01-25T00:00:00"/>
    <x v="3"/>
    <x v="10"/>
    <x v="1"/>
    <x v="0"/>
    <x v="1"/>
    <x v="81"/>
    <d v="2021-05-30T00:00:00"/>
    <n v="4"/>
    <n v="24"/>
    <n v="48"/>
    <x v="0"/>
  </r>
  <r>
    <n v="85"/>
    <s v="Nathan Stewart"/>
    <x v="84"/>
    <x v="16"/>
    <d v="2023-01-30T00:00:00"/>
    <x v="2"/>
    <x v="14"/>
    <x v="1"/>
    <x v="2"/>
    <x v="3"/>
    <x v="82"/>
    <d v="2023-07-29T00:00:00"/>
    <n v="3"/>
    <n v="144"/>
    <n v="120"/>
    <x v="1"/>
  </r>
  <r>
    <n v="86"/>
    <s v="Paige Carlson"/>
    <x v="85"/>
    <x v="12"/>
    <d v="2020-10-05T00:00:00"/>
    <x v="4"/>
    <x v="7"/>
    <x v="1"/>
    <x v="2"/>
    <x v="1"/>
    <x v="83"/>
    <d v="2021-06-13T00:00:00"/>
    <n v="4"/>
    <n v="96"/>
    <n v="120"/>
    <x v="0"/>
  </r>
  <r>
    <n v="87"/>
    <s v="Michael Martinez"/>
    <x v="86"/>
    <x v="16"/>
    <d v="2020-07-15T00:00:00"/>
    <x v="4"/>
    <x v="9"/>
    <x v="2"/>
    <x v="2"/>
    <x v="0"/>
    <x v="84"/>
    <d v="2020-08-11T00:00:00"/>
    <m/>
    <n v="120"/>
    <n v="120"/>
    <x v="0"/>
  </r>
  <r>
    <n v="88"/>
    <s v="Nicole Garcia"/>
    <x v="87"/>
    <x v="6"/>
    <d v="2021-06-13T00:00:00"/>
    <x v="3"/>
    <x v="13"/>
    <x v="1"/>
    <x v="2"/>
    <x v="2"/>
    <x v="85"/>
    <d v="2022-02-28T00:00:00"/>
    <n v="3"/>
    <n v="48"/>
    <n v="120"/>
    <x v="0"/>
  </r>
  <r>
    <n v="89"/>
    <s v="Anthony Everett"/>
    <x v="88"/>
    <x v="6"/>
    <d v="2022-02-02T00:00:00"/>
    <x v="0"/>
    <x v="1"/>
    <x v="1"/>
    <x v="3"/>
    <x v="2"/>
    <x v="86"/>
    <d v="2022-03-20T00:00:00"/>
    <m/>
    <n v="192"/>
    <n v="168"/>
    <x v="1"/>
  </r>
  <r>
    <n v="90"/>
    <s v="Mark Brown"/>
    <x v="89"/>
    <x v="13"/>
    <d v="2021-01-20T00:00:00"/>
    <x v="2"/>
    <x v="0"/>
    <x v="2"/>
    <x v="1"/>
    <x v="0"/>
    <x v="87"/>
    <d v="2021-10-25T00:00:00"/>
    <n v="4"/>
    <n v="24"/>
    <n v="24"/>
    <x v="0"/>
  </r>
  <r>
    <n v="91"/>
    <s v="Phillip Obrien"/>
    <x v="90"/>
    <x v="0"/>
    <d v="2021-04-06T00:00:00"/>
    <x v="2"/>
    <x v="12"/>
    <x v="1"/>
    <x v="2"/>
    <x v="1"/>
    <x v="88"/>
    <d v="2021-11-23T00:00:00"/>
    <n v="3"/>
    <n v="96"/>
    <n v="120"/>
    <x v="0"/>
  </r>
  <r>
    <n v="92"/>
    <s v="Wanda Torres"/>
    <x v="91"/>
    <x v="16"/>
    <d v="2022-08-29T00:00:00"/>
    <x v="2"/>
    <x v="4"/>
    <x v="1"/>
    <x v="0"/>
    <x v="3"/>
    <x v="89"/>
    <d v="2023-06-16T00:00:00"/>
    <n v="4"/>
    <n v="48"/>
    <n v="48"/>
    <x v="0"/>
  </r>
  <r>
    <n v="93"/>
    <s v="Matthew Moore"/>
    <x v="92"/>
    <x v="14"/>
    <d v="2021-11-30T00:00:00"/>
    <x v="0"/>
    <x v="12"/>
    <x v="1"/>
    <x v="2"/>
    <x v="1"/>
    <x v="90"/>
    <d v="2022-07-26T00:00:00"/>
    <n v="5"/>
    <n v="48"/>
    <n v="120"/>
    <x v="0"/>
  </r>
  <r>
    <n v="94"/>
    <s v="Julie Johnson"/>
    <x v="93"/>
    <x v="2"/>
    <d v="2020-12-28T00:00:00"/>
    <x v="2"/>
    <x v="0"/>
    <x v="1"/>
    <x v="3"/>
    <x v="2"/>
    <x v="87"/>
    <d v="2021-11-01T00:00:00"/>
    <n v="3"/>
    <n v="192"/>
    <n v="168"/>
    <x v="1"/>
  </r>
  <r>
    <n v="95"/>
    <s v="Rachel Weber"/>
    <x v="94"/>
    <x v="1"/>
    <d v="2020-08-19T00:00:00"/>
    <x v="0"/>
    <x v="14"/>
    <x v="1"/>
    <x v="3"/>
    <x v="1"/>
    <x v="91"/>
    <d v="2021-02-26T00:00:00"/>
    <n v="3"/>
    <n v="192"/>
    <n v="168"/>
    <x v="1"/>
  </r>
  <r>
    <n v="96"/>
    <s v="Samantha Jones"/>
    <x v="95"/>
    <x v="15"/>
    <d v="2021-03-24T00:00:00"/>
    <x v="4"/>
    <x v="11"/>
    <x v="1"/>
    <x v="3"/>
    <x v="0"/>
    <x v="92"/>
    <d v="2022-02-06T00:00:00"/>
    <n v="5"/>
    <n v="216"/>
    <n v="168"/>
    <x v="1"/>
  </r>
  <r>
    <n v="97"/>
    <s v="John Torres"/>
    <x v="96"/>
    <x v="11"/>
    <d v="2022-02-06T00:00:00"/>
    <x v="3"/>
    <x v="10"/>
    <x v="0"/>
    <x v="3"/>
    <x v="1"/>
    <x v="93"/>
    <d v="2023-01-23T00:00:00"/>
    <m/>
    <n v="96"/>
    <n v="168"/>
    <x v="0"/>
  </r>
  <r>
    <n v="98"/>
    <s v="Kyle Preston"/>
    <x v="97"/>
    <x v="5"/>
    <d v="2022-11-13T00:00:00"/>
    <x v="4"/>
    <x v="6"/>
    <x v="1"/>
    <x v="3"/>
    <x v="1"/>
    <x v="94"/>
    <d v="2022-12-09T00:00:00"/>
    <n v="4"/>
    <n v="216"/>
    <n v="168"/>
    <x v="1"/>
  </r>
  <r>
    <n v="99"/>
    <s v="Laura Sampson"/>
    <x v="98"/>
    <x v="2"/>
    <d v="2022-10-09T00:00:00"/>
    <x v="1"/>
    <x v="13"/>
    <x v="2"/>
    <x v="2"/>
    <x v="2"/>
    <x v="95"/>
    <d v="2023-07-12T00:00:00"/>
    <m/>
    <n v="120"/>
    <n v="120"/>
    <x v="0"/>
  </r>
  <r>
    <n v="100"/>
    <s v="Donald Shea"/>
    <x v="99"/>
    <x v="0"/>
    <d v="2021-12-31T00:00:00"/>
    <x v="0"/>
    <x v="5"/>
    <x v="1"/>
    <x v="0"/>
    <x v="2"/>
    <x v="96"/>
    <d v="2022-08-31T00:00:00"/>
    <n v="4"/>
    <n v="72"/>
    <n v="48"/>
    <x v="1"/>
  </r>
  <r>
    <n v="101"/>
    <s v="Gary Santiago"/>
    <x v="100"/>
    <x v="17"/>
    <d v="2022-10-26T00:00:00"/>
    <x v="1"/>
    <x v="0"/>
    <x v="1"/>
    <x v="0"/>
    <x v="1"/>
    <x v="97"/>
    <d v="2022-11-03T00:00:00"/>
    <n v="3"/>
    <n v="24"/>
    <n v="48"/>
    <x v="0"/>
  </r>
  <r>
    <n v="102"/>
    <s v="Robin Pierce"/>
    <x v="101"/>
    <x v="13"/>
    <d v="2020-06-29T00:00:00"/>
    <x v="2"/>
    <x v="4"/>
    <x v="1"/>
    <x v="3"/>
    <x v="3"/>
    <x v="98"/>
    <d v="2020-07-15T00:00:00"/>
    <n v="4"/>
    <n v="96"/>
    <n v="168"/>
    <x v="0"/>
  </r>
  <r>
    <n v="103"/>
    <s v="Jennifer Robertson"/>
    <x v="102"/>
    <x v="16"/>
    <d v="2020-03-25T00:00:00"/>
    <x v="4"/>
    <x v="1"/>
    <x v="1"/>
    <x v="3"/>
    <x v="2"/>
    <x v="99"/>
    <d v="2020-05-30T00:00:00"/>
    <n v="4"/>
    <n v="168"/>
    <n v="168"/>
    <x v="0"/>
  </r>
  <r>
    <n v="104"/>
    <s v="Isaiah Avila"/>
    <x v="103"/>
    <x v="12"/>
    <d v="2022-05-03T00:00:00"/>
    <x v="1"/>
    <x v="8"/>
    <x v="3"/>
    <x v="3"/>
    <x v="3"/>
    <x v="100"/>
    <d v="2022-12-12T00:00:00"/>
    <m/>
    <n v="216"/>
    <n v="168"/>
    <x v="1"/>
  </r>
  <r>
    <n v="105"/>
    <s v="Dwayne Gilmore"/>
    <x v="104"/>
    <x v="2"/>
    <d v="2023-05-26T00:00:00"/>
    <x v="0"/>
    <x v="4"/>
    <x v="0"/>
    <x v="3"/>
    <x v="3"/>
    <x v="101"/>
    <d v="2023-09-21T00:00:00"/>
    <m/>
    <n v="168"/>
    <n v="168"/>
    <x v="0"/>
  </r>
  <r>
    <n v="106"/>
    <s v="Christopher Pierce"/>
    <x v="105"/>
    <x v="2"/>
    <d v="2020-07-01T00:00:00"/>
    <x v="0"/>
    <x v="8"/>
    <x v="1"/>
    <x v="0"/>
    <x v="3"/>
    <x v="102"/>
    <d v="2020-08-04T00:00:00"/>
    <n v="4"/>
    <n v="72"/>
    <n v="48"/>
    <x v="1"/>
  </r>
  <r>
    <n v="107"/>
    <s v="Brittany Cantu"/>
    <x v="106"/>
    <x v="4"/>
    <d v="2022-01-03T00:00:00"/>
    <x v="4"/>
    <x v="5"/>
    <x v="1"/>
    <x v="3"/>
    <x v="3"/>
    <x v="26"/>
    <d v="2022-05-22T00:00:00"/>
    <n v="5"/>
    <n v="336"/>
    <n v="168"/>
    <x v="1"/>
  </r>
  <r>
    <n v="108"/>
    <s v="Juan Reyes"/>
    <x v="107"/>
    <x v="8"/>
    <d v="2021-06-11T00:00:00"/>
    <x v="3"/>
    <x v="12"/>
    <x v="1"/>
    <x v="0"/>
    <x v="3"/>
    <x v="103"/>
    <d v="2021-10-31T00:00:00"/>
    <n v="3"/>
    <n v="24"/>
    <n v="48"/>
    <x v="0"/>
  </r>
  <r>
    <n v="109"/>
    <s v="Katie Hoover"/>
    <x v="108"/>
    <x v="14"/>
    <d v="2022-01-30T00:00:00"/>
    <x v="2"/>
    <x v="9"/>
    <x v="1"/>
    <x v="0"/>
    <x v="0"/>
    <x v="31"/>
    <d v="2022-11-29T00:00:00"/>
    <n v="4"/>
    <n v="48"/>
    <n v="48"/>
    <x v="0"/>
  </r>
  <r>
    <n v="110"/>
    <s v="Jill Washington"/>
    <x v="109"/>
    <x v="18"/>
    <d v="2021-05-14T00:00:00"/>
    <x v="0"/>
    <x v="10"/>
    <x v="0"/>
    <x v="2"/>
    <x v="0"/>
    <x v="104"/>
    <d v="2022-03-18T00:00:00"/>
    <m/>
    <n v="120"/>
    <n v="120"/>
    <x v="0"/>
  </r>
  <r>
    <n v="111"/>
    <s v="Veronica Allen"/>
    <x v="110"/>
    <x v="5"/>
    <d v="2020-03-08T00:00:00"/>
    <x v="2"/>
    <x v="0"/>
    <x v="1"/>
    <x v="1"/>
    <x v="3"/>
    <x v="105"/>
    <d v="2021-02-02T00:00:00"/>
    <m/>
    <n v="24"/>
    <n v="24"/>
    <x v="0"/>
  </r>
  <r>
    <n v="112"/>
    <s v="John Mcintyre"/>
    <x v="111"/>
    <x v="4"/>
    <d v="2020-08-24T00:00:00"/>
    <x v="0"/>
    <x v="2"/>
    <x v="1"/>
    <x v="0"/>
    <x v="1"/>
    <x v="106"/>
    <d v="2021-07-02T00:00:00"/>
    <n v="3"/>
    <n v="24"/>
    <n v="48"/>
    <x v="0"/>
  </r>
  <r>
    <n v="113"/>
    <s v="Andrew Shaw MD"/>
    <x v="112"/>
    <x v="18"/>
    <d v="2021-12-10T00:00:00"/>
    <x v="4"/>
    <x v="1"/>
    <x v="3"/>
    <x v="3"/>
    <x v="3"/>
    <x v="107"/>
    <d v="2022-10-17T00:00:00"/>
    <m/>
    <n v="48"/>
    <n v="168"/>
    <x v="0"/>
  </r>
  <r>
    <n v="114"/>
    <s v="Charles Pitts"/>
    <x v="113"/>
    <x v="5"/>
    <d v="2021-06-09T00:00:00"/>
    <x v="1"/>
    <x v="5"/>
    <x v="1"/>
    <x v="3"/>
    <x v="1"/>
    <x v="108"/>
    <d v="2021-10-08T00:00:00"/>
    <m/>
    <n v="120"/>
    <n v="168"/>
    <x v="0"/>
  </r>
  <r>
    <n v="115"/>
    <s v="Jennifer Miller"/>
    <x v="114"/>
    <x v="13"/>
    <d v="2022-08-31T00:00:00"/>
    <x v="3"/>
    <x v="7"/>
    <x v="1"/>
    <x v="0"/>
    <x v="1"/>
    <x v="37"/>
    <d v="2022-10-06T00:00:00"/>
    <m/>
    <n v="48"/>
    <n v="48"/>
    <x v="0"/>
  </r>
  <r>
    <n v="116"/>
    <s v="Olivia Brennan"/>
    <x v="115"/>
    <x v="12"/>
    <d v="2021-03-22T00:00:00"/>
    <x v="3"/>
    <x v="10"/>
    <x v="1"/>
    <x v="2"/>
    <x v="2"/>
    <x v="109"/>
    <d v="2021-09-10T00:00:00"/>
    <n v="3"/>
    <n v="96"/>
    <n v="120"/>
    <x v="0"/>
  </r>
  <r>
    <n v="117"/>
    <s v="Nicole Hamilton MD"/>
    <x v="116"/>
    <x v="2"/>
    <d v="2020-03-12T00:00:00"/>
    <x v="1"/>
    <x v="0"/>
    <x v="1"/>
    <x v="0"/>
    <x v="0"/>
    <x v="110"/>
    <d v="2020-05-06T00:00:00"/>
    <n v="4"/>
    <n v="48"/>
    <n v="48"/>
    <x v="0"/>
  </r>
  <r>
    <n v="118"/>
    <s v="Anthony Howard"/>
    <x v="117"/>
    <x v="1"/>
    <d v="2022-05-29T00:00:00"/>
    <x v="3"/>
    <x v="7"/>
    <x v="1"/>
    <x v="3"/>
    <x v="3"/>
    <x v="111"/>
    <d v="2022-09-25T00:00:00"/>
    <m/>
    <n v="96"/>
    <n v="168"/>
    <x v="0"/>
  </r>
  <r>
    <n v="119"/>
    <s v="Catherine Thompson"/>
    <x v="118"/>
    <x v="11"/>
    <d v="2022-06-24T00:00:00"/>
    <x v="0"/>
    <x v="11"/>
    <x v="0"/>
    <x v="3"/>
    <x v="2"/>
    <x v="112"/>
    <d v="2022-07-15T00:00:00"/>
    <m/>
    <n v="168"/>
    <n v="168"/>
    <x v="0"/>
  </r>
  <r>
    <n v="120"/>
    <s v="Joel King"/>
    <x v="119"/>
    <x v="17"/>
    <d v="2022-04-29T00:00:00"/>
    <x v="1"/>
    <x v="12"/>
    <x v="1"/>
    <x v="2"/>
    <x v="1"/>
    <x v="113"/>
    <d v="2022-06-07T00:00:00"/>
    <n v="3"/>
    <n v="96"/>
    <n v="120"/>
    <x v="0"/>
  </r>
  <r>
    <n v="121"/>
    <s v="Jeremy Reed"/>
    <x v="120"/>
    <x v="4"/>
    <d v="2021-04-14T00:00:00"/>
    <x v="2"/>
    <x v="11"/>
    <x v="0"/>
    <x v="3"/>
    <x v="1"/>
    <x v="114"/>
    <d v="2022-02-06T00:00:00"/>
    <m/>
    <n v="192"/>
    <n v="168"/>
    <x v="1"/>
  </r>
  <r>
    <n v="122"/>
    <s v="James Webb"/>
    <x v="121"/>
    <x v="16"/>
    <d v="2022-12-22T00:00:00"/>
    <x v="0"/>
    <x v="9"/>
    <x v="1"/>
    <x v="2"/>
    <x v="1"/>
    <x v="115"/>
    <d v="2023-08-31T00:00:00"/>
    <n v="5"/>
    <n v="96"/>
    <n v="120"/>
    <x v="0"/>
  </r>
  <r>
    <n v="123"/>
    <s v="William Barrett"/>
    <x v="122"/>
    <x v="7"/>
    <d v="2022-02-10T00:00:00"/>
    <x v="1"/>
    <x v="10"/>
    <x v="2"/>
    <x v="3"/>
    <x v="0"/>
    <x v="116"/>
    <d v="2022-03-14T00:00:00"/>
    <n v="3"/>
    <n v="216"/>
    <n v="168"/>
    <x v="1"/>
  </r>
  <r>
    <n v="124"/>
    <s v="Stephanie Parsons"/>
    <x v="123"/>
    <x v="8"/>
    <d v="2020-10-22T00:00:00"/>
    <x v="1"/>
    <x v="0"/>
    <x v="1"/>
    <x v="0"/>
    <x v="0"/>
    <x v="117"/>
    <d v="2021-07-04T00:00:00"/>
    <n v="4"/>
    <n v="24"/>
    <n v="48"/>
    <x v="0"/>
  </r>
  <r>
    <n v="125"/>
    <s v="Megan Le"/>
    <x v="124"/>
    <x v="15"/>
    <d v="2020-03-02T00:00:00"/>
    <x v="2"/>
    <x v="10"/>
    <x v="1"/>
    <x v="3"/>
    <x v="0"/>
    <x v="118"/>
    <d v="2020-10-19T00:00:00"/>
    <n v="4"/>
    <n v="192"/>
    <n v="168"/>
    <x v="1"/>
  </r>
  <r>
    <n v="126"/>
    <s v="Jeremiah Riley"/>
    <x v="125"/>
    <x v="8"/>
    <d v="2021-10-07T00:00:00"/>
    <x v="3"/>
    <x v="3"/>
    <x v="1"/>
    <x v="3"/>
    <x v="1"/>
    <x v="119"/>
    <d v="2022-04-08T00:00:00"/>
    <n v="4"/>
    <n v="408"/>
    <n v="168"/>
    <x v="1"/>
  </r>
  <r>
    <n v="127"/>
    <s v="Carlos Ryan"/>
    <x v="126"/>
    <x v="17"/>
    <d v="2022-01-18T00:00:00"/>
    <x v="3"/>
    <x v="2"/>
    <x v="3"/>
    <x v="3"/>
    <x v="1"/>
    <x v="120"/>
    <d v="2022-10-23T00:00:00"/>
    <m/>
    <n v="240"/>
    <n v="168"/>
    <x v="1"/>
  </r>
  <r>
    <n v="128"/>
    <s v="Elizabeth Harrell"/>
    <x v="127"/>
    <x v="18"/>
    <d v="2022-11-16T00:00:00"/>
    <x v="4"/>
    <x v="10"/>
    <x v="3"/>
    <x v="2"/>
    <x v="1"/>
    <x v="121"/>
    <d v="2023-02-28T00:00:00"/>
    <m/>
    <n v="120"/>
    <n v="120"/>
    <x v="0"/>
  </r>
  <r>
    <n v="129"/>
    <s v="Veronica Coffey"/>
    <x v="128"/>
    <x v="10"/>
    <d v="2022-04-13T00:00:00"/>
    <x v="0"/>
    <x v="6"/>
    <x v="3"/>
    <x v="3"/>
    <x v="3"/>
    <x v="122"/>
    <d v="2022-07-18T00:00:00"/>
    <m/>
    <n v="192"/>
    <n v="168"/>
    <x v="1"/>
  </r>
  <r>
    <n v="130"/>
    <s v="Jacob Curry"/>
    <x v="129"/>
    <x v="1"/>
    <d v="2020-12-29T00:00:00"/>
    <x v="1"/>
    <x v="12"/>
    <x v="1"/>
    <x v="3"/>
    <x v="2"/>
    <x v="123"/>
    <d v="2021-08-21T00:00:00"/>
    <n v="5"/>
    <n v="144"/>
    <n v="168"/>
    <x v="0"/>
  </r>
  <r>
    <n v="131"/>
    <s v="Manuel Hahn"/>
    <x v="130"/>
    <x v="13"/>
    <d v="2021-12-22T00:00:00"/>
    <x v="3"/>
    <x v="8"/>
    <x v="1"/>
    <x v="3"/>
    <x v="3"/>
    <x v="124"/>
    <d v="2022-08-09T00:00:00"/>
    <n v="4"/>
    <n v="96"/>
    <n v="168"/>
    <x v="0"/>
  </r>
  <r>
    <n v="132"/>
    <s v="Elizabeth Ortiz"/>
    <x v="131"/>
    <x v="7"/>
    <d v="2020-06-29T00:00:00"/>
    <x v="3"/>
    <x v="9"/>
    <x v="1"/>
    <x v="3"/>
    <x v="3"/>
    <x v="125"/>
    <d v="2020-08-12T00:00:00"/>
    <m/>
    <n v="120"/>
    <n v="168"/>
    <x v="0"/>
  </r>
  <r>
    <n v="133"/>
    <s v="Stephen Taylor"/>
    <x v="132"/>
    <x v="1"/>
    <d v="2022-04-19T00:00:00"/>
    <x v="1"/>
    <x v="13"/>
    <x v="1"/>
    <x v="2"/>
    <x v="0"/>
    <x v="47"/>
    <d v="2023-03-22T00:00:00"/>
    <n v="5"/>
    <n v="96"/>
    <n v="120"/>
    <x v="0"/>
  </r>
  <r>
    <n v="134"/>
    <s v="Patrick Moore"/>
    <x v="133"/>
    <x v="3"/>
    <d v="2021-09-25T00:00:00"/>
    <x v="1"/>
    <x v="1"/>
    <x v="1"/>
    <x v="2"/>
    <x v="1"/>
    <x v="126"/>
    <d v="2021-10-16T00:00:00"/>
    <n v="5"/>
    <n v="24"/>
    <n v="120"/>
    <x v="0"/>
  </r>
  <r>
    <n v="135"/>
    <s v="Diana Vaughn"/>
    <x v="134"/>
    <x v="4"/>
    <d v="2020-06-03T00:00:00"/>
    <x v="2"/>
    <x v="10"/>
    <x v="0"/>
    <x v="3"/>
    <x v="1"/>
    <x v="127"/>
    <d v="2021-05-18T00:00:00"/>
    <m/>
    <n v="48"/>
    <n v="168"/>
    <x v="0"/>
  </r>
  <r>
    <n v="136"/>
    <s v="Mrs. Stephanie Newman"/>
    <x v="135"/>
    <x v="11"/>
    <d v="2021-12-07T00:00:00"/>
    <x v="1"/>
    <x v="10"/>
    <x v="0"/>
    <x v="2"/>
    <x v="3"/>
    <x v="128"/>
    <d v="2022-11-12T00:00:00"/>
    <m/>
    <n v="72"/>
    <n v="120"/>
    <x v="0"/>
  </r>
  <r>
    <n v="137"/>
    <s v="Daniel Fowler"/>
    <x v="136"/>
    <x v="17"/>
    <d v="2023-05-07T00:00:00"/>
    <x v="0"/>
    <x v="0"/>
    <x v="3"/>
    <x v="3"/>
    <x v="0"/>
    <x v="129"/>
    <d v="2023-07-22T00:00:00"/>
    <m/>
    <n v="240"/>
    <n v="168"/>
    <x v="1"/>
  </r>
  <r>
    <n v="138"/>
    <s v="Andrea Hubbard"/>
    <x v="137"/>
    <x v="16"/>
    <d v="2021-05-25T00:00:00"/>
    <x v="4"/>
    <x v="12"/>
    <x v="2"/>
    <x v="2"/>
    <x v="3"/>
    <x v="130"/>
    <d v="2022-02-13T00:00:00"/>
    <n v="3"/>
    <n v="96"/>
    <n v="120"/>
    <x v="0"/>
  </r>
  <r>
    <n v="139"/>
    <s v="Rachel Carlson"/>
    <x v="138"/>
    <x v="7"/>
    <d v="2021-01-24T00:00:00"/>
    <x v="0"/>
    <x v="12"/>
    <x v="1"/>
    <x v="2"/>
    <x v="2"/>
    <x v="131"/>
    <d v="2021-03-18T00:00:00"/>
    <n v="5"/>
    <n v="48"/>
    <n v="120"/>
    <x v="0"/>
  </r>
  <r>
    <n v="140"/>
    <s v="Ashley Delacruz"/>
    <x v="139"/>
    <x v="6"/>
    <d v="2022-07-03T00:00:00"/>
    <x v="1"/>
    <x v="11"/>
    <x v="1"/>
    <x v="3"/>
    <x v="1"/>
    <x v="132"/>
    <d v="2022-09-28T00:00:00"/>
    <n v="4"/>
    <n v="96"/>
    <n v="168"/>
    <x v="0"/>
  </r>
  <r>
    <n v="141"/>
    <s v="Christopher Williams"/>
    <x v="140"/>
    <x v="5"/>
    <d v="2022-01-09T00:00:00"/>
    <x v="2"/>
    <x v="4"/>
    <x v="1"/>
    <x v="3"/>
    <x v="0"/>
    <x v="133"/>
    <d v="2022-11-24T00:00:00"/>
    <n v="3"/>
    <n v="168"/>
    <n v="168"/>
    <x v="0"/>
  </r>
  <r>
    <n v="142"/>
    <s v="Ivan Wheeler"/>
    <x v="141"/>
    <x v="2"/>
    <d v="2023-02-03T00:00:00"/>
    <x v="4"/>
    <x v="14"/>
    <x v="1"/>
    <x v="3"/>
    <x v="3"/>
    <x v="134"/>
    <d v="2024-01-29T00:00:00"/>
    <n v="5"/>
    <n v="312"/>
    <n v="168"/>
    <x v="1"/>
  </r>
  <r>
    <n v="143"/>
    <s v="Sharon Boyd"/>
    <x v="142"/>
    <x v="6"/>
    <d v="2022-01-14T00:00:00"/>
    <x v="3"/>
    <x v="10"/>
    <x v="1"/>
    <x v="2"/>
    <x v="3"/>
    <x v="135"/>
    <d v="2022-05-22T00:00:00"/>
    <n v="4"/>
    <n v="0"/>
    <n v="120"/>
    <x v="0"/>
  </r>
  <r>
    <n v="144"/>
    <s v="Jessica Rodriguez"/>
    <x v="143"/>
    <x v="3"/>
    <d v="2022-08-02T00:00:00"/>
    <x v="2"/>
    <x v="4"/>
    <x v="0"/>
    <x v="2"/>
    <x v="2"/>
    <x v="136"/>
    <d v="2022-12-21T00:00:00"/>
    <m/>
    <n v="48"/>
    <n v="120"/>
    <x v="0"/>
  </r>
  <r>
    <n v="145"/>
    <s v="Cameron Weber"/>
    <x v="144"/>
    <x v="2"/>
    <d v="2021-12-05T00:00:00"/>
    <x v="1"/>
    <x v="4"/>
    <x v="1"/>
    <x v="2"/>
    <x v="1"/>
    <x v="137"/>
    <d v="2021-12-23T00:00:00"/>
    <n v="3"/>
    <n v="120"/>
    <n v="120"/>
    <x v="0"/>
  </r>
  <r>
    <n v="146"/>
    <s v="Jessica Mcguire"/>
    <x v="145"/>
    <x v="4"/>
    <d v="2023-01-24T00:00:00"/>
    <x v="2"/>
    <x v="7"/>
    <x v="1"/>
    <x v="2"/>
    <x v="0"/>
    <x v="138"/>
    <d v="2023-04-11T00:00:00"/>
    <n v="4"/>
    <n v="72"/>
    <n v="120"/>
    <x v="0"/>
  </r>
  <r>
    <n v="147"/>
    <s v="Jessica Beasley"/>
    <x v="146"/>
    <x v="9"/>
    <d v="2021-10-08T00:00:00"/>
    <x v="1"/>
    <x v="3"/>
    <x v="1"/>
    <x v="3"/>
    <x v="1"/>
    <x v="139"/>
    <d v="2021-10-26T00:00:00"/>
    <n v="3"/>
    <n v="216"/>
    <n v="168"/>
    <x v="1"/>
  </r>
  <r>
    <n v="148"/>
    <s v="Emily Edwards"/>
    <x v="147"/>
    <x v="15"/>
    <d v="2020-05-21T00:00:00"/>
    <x v="0"/>
    <x v="2"/>
    <x v="0"/>
    <x v="3"/>
    <x v="2"/>
    <x v="140"/>
    <d v="2020-09-26T00:00:00"/>
    <m/>
    <n v="144"/>
    <n v="168"/>
    <x v="0"/>
  </r>
  <r>
    <n v="149"/>
    <s v="Anna Davis"/>
    <x v="148"/>
    <x v="8"/>
    <d v="2022-05-22T00:00:00"/>
    <x v="2"/>
    <x v="12"/>
    <x v="1"/>
    <x v="0"/>
    <x v="1"/>
    <x v="141"/>
    <d v="2023-04-11T00:00:00"/>
    <n v="3"/>
    <n v="24"/>
    <n v="48"/>
    <x v="0"/>
  </r>
  <r>
    <n v="150"/>
    <s v="Meagan Jenkins"/>
    <x v="149"/>
    <x v="9"/>
    <d v="2021-03-22T00:00:00"/>
    <x v="2"/>
    <x v="14"/>
    <x v="2"/>
    <x v="1"/>
    <x v="3"/>
    <x v="42"/>
    <d v="2021-12-17T00:00:00"/>
    <n v="4"/>
    <n v="24"/>
    <n v="24"/>
    <x v="0"/>
  </r>
  <r>
    <n v="151"/>
    <s v="Heather Lane"/>
    <x v="150"/>
    <x v="17"/>
    <d v="2021-06-27T00:00:00"/>
    <x v="0"/>
    <x v="13"/>
    <x v="1"/>
    <x v="1"/>
    <x v="3"/>
    <x v="142"/>
    <d v="2022-01-04T00:00:00"/>
    <n v="5"/>
    <n v="0"/>
    <n v="24"/>
    <x v="0"/>
  </r>
  <r>
    <n v="152"/>
    <s v="Holly Farmer"/>
    <x v="151"/>
    <x v="6"/>
    <d v="2022-08-11T00:00:00"/>
    <x v="2"/>
    <x v="11"/>
    <x v="1"/>
    <x v="2"/>
    <x v="2"/>
    <x v="143"/>
    <d v="2022-09-09T00:00:00"/>
    <n v="5"/>
    <n v="168"/>
    <n v="120"/>
    <x v="1"/>
  </r>
  <r>
    <n v="153"/>
    <s v="Kristin Lynch"/>
    <x v="152"/>
    <x v="6"/>
    <d v="2021-06-29T00:00:00"/>
    <x v="1"/>
    <x v="4"/>
    <x v="3"/>
    <x v="3"/>
    <x v="2"/>
    <x v="144"/>
    <d v="2021-08-02T00:00:00"/>
    <m/>
    <n v="48"/>
    <n v="168"/>
    <x v="0"/>
  </r>
  <r>
    <n v="154"/>
    <s v="Sergio Knight"/>
    <x v="153"/>
    <x v="7"/>
    <d v="2020-02-17T00:00:00"/>
    <x v="1"/>
    <x v="5"/>
    <x v="0"/>
    <x v="3"/>
    <x v="3"/>
    <x v="145"/>
    <d v="2020-11-11T00:00:00"/>
    <m/>
    <n v="120"/>
    <n v="168"/>
    <x v="0"/>
  </r>
  <r>
    <n v="155"/>
    <s v="Joseph Bennett"/>
    <x v="154"/>
    <x v="15"/>
    <d v="2023-01-25T00:00:00"/>
    <x v="2"/>
    <x v="5"/>
    <x v="1"/>
    <x v="0"/>
    <x v="2"/>
    <x v="146"/>
    <d v="2023-12-29T00:00:00"/>
    <m/>
    <n v="72"/>
    <n v="48"/>
    <x v="1"/>
  </r>
  <r>
    <n v="156"/>
    <s v="Todd Carlson"/>
    <x v="155"/>
    <x v="13"/>
    <d v="2022-11-12T00:00:00"/>
    <x v="0"/>
    <x v="14"/>
    <x v="1"/>
    <x v="3"/>
    <x v="1"/>
    <x v="147"/>
    <d v="2023-11-06T00:00:00"/>
    <n v="4"/>
    <n v="120"/>
    <n v="168"/>
    <x v="0"/>
  </r>
  <r>
    <n v="157"/>
    <s v="Jeremy Coleman"/>
    <x v="156"/>
    <x v="7"/>
    <d v="2020-06-25T00:00:00"/>
    <x v="2"/>
    <x v="5"/>
    <x v="1"/>
    <x v="2"/>
    <x v="1"/>
    <x v="148"/>
    <d v="2020-12-11T00:00:00"/>
    <n v="3"/>
    <n v="120"/>
    <n v="120"/>
    <x v="0"/>
  </r>
  <r>
    <n v="158"/>
    <s v="Brian Gregory"/>
    <x v="157"/>
    <x v="2"/>
    <d v="2020-12-08T00:00:00"/>
    <x v="1"/>
    <x v="2"/>
    <x v="1"/>
    <x v="2"/>
    <x v="3"/>
    <x v="149"/>
    <d v="2021-10-23T00:00:00"/>
    <n v="1"/>
    <n v="72"/>
    <n v="120"/>
    <x v="0"/>
  </r>
  <r>
    <n v="159"/>
    <s v="Kyle Smith"/>
    <x v="158"/>
    <x v="3"/>
    <d v="2021-05-24T00:00:00"/>
    <x v="1"/>
    <x v="5"/>
    <x v="0"/>
    <x v="2"/>
    <x v="1"/>
    <x v="1"/>
    <d v="2021-06-10T00:00:00"/>
    <m/>
    <n v="48"/>
    <n v="120"/>
    <x v="0"/>
  </r>
  <r>
    <n v="160"/>
    <s v="Jonathan Jordan"/>
    <x v="159"/>
    <x v="17"/>
    <d v="2022-05-17T00:00:00"/>
    <x v="4"/>
    <x v="2"/>
    <x v="1"/>
    <x v="0"/>
    <x v="1"/>
    <x v="150"/>
    <d v="2023-03-04T00:00:00"/>
    <n v="3"/>
    <n v="24"/>
    <n v="48"/>
    <x v="0"/>
  </r>
  <r>
    <n v="161"/>
    <s v="Renee Jones"/>
    <x v="160"/>
    <x v="4"/>
    <d v="2021-05-01T00:00:00"/>
    <x v="3"/>
    <x v="10"/>
    <x v="1"/>
    <x v="3"/>
    <x v="2"/>
    <x v="151"/>
    <d v="2022-04-09T00:00:00"/>
    <n v="3"/>
    <n v="264"/>
    <n v="168"/>
    <x v="1"/>
  </r>
  <r>
    <n v="162"/>
    <s v="Laura Mckinney"/>
    <x v="161"/>
    <x v="5"/>
    <d v="2021-05-19T00:00:00"/>
    <x v="2"/>
    <x v="12"/>
    <x v="1"/>
    <x v="2"/>
    <x v="2"/>
    <x v="109"/>
    <d v="2021-09-09T00:00:00"/>
    <m/>
    <n v="72"/>
    <n v="120"/>
    <x v="0"/>
  </r>
  <r>
    <n v="163"/>
    <s v="Travis Stevens"/>
    <x v="162"/>
    <x v="5"/>
    <d v="2022-07-03T00:00:00"/>
    <x v="1"/>
    <x v="4"/>
    <x v="1"/>
    <x v="3"/>
    <x v="3"/>
    <x v="36"/>
    <d v="2022-08-23T00:00:00"/>
    <n v="5"/>
    <n v="168"/>
    <n v="168"/>
    <x v="0"/>
  </r>
  <r>
    <n v="164"/>
    <s v="Blake Harrell"/>
    <x v="163"/>
    <x v="3"/>
    <d v="2022-09-10T00:00:00"/>
    <x v="4"/>
    <x v="3"/>
    <x v="1"/>
    <x v="3"/>
    <x v="2"/>
    <x v="152"/>
    <d v="2023-09-11T00:00:00"/>
    <n v="5"/>
    <n v="48"/>
    <n v="168"/>
    <x v="0"/>
  </r>
  <r>
    <n v="165"/>
    <s v="Jordan Bullock"/>
    <x v="164"/>
    <x v="8"/>
    <d v="2020-08-15T00:00:00"/>
    <x v="1"/>
    <x v="1"/>
    <x v="1"/>
    <x v="2"/>
    <x v="1"/>
    <x v="53"/>
    <d v="2021-02-19T00:00:00"/>
    <m/>
    <n v="96"/>
    <n v="120"/>
    <x v="0"/>
  </r>
  <r>
    <n v="166"/>
    <s v="Christopher Hernandez"/>
    <x v="165"/>
    <x v="13"/>
    <d v="2021-12-21T00:00:00"/>
    <x v="3"/>
    <x v="9"/>
    <x v="0"/>
    <x v="2"/>
    <x v="1"/>
    <x v="153"/>
    <d v="2022-09-18T00:00:00"/>
    <m/>
    <n v="48"/>
    <n v="120"/>
    <x v="0"/>
  </r>
  <r>
    <n v="167"/>
    <s v="Olivia Cole"/>
    <x v="166"/>
    <x v="5"/>
    <d v="2020-04-16T00:00:00"/>
    <x v="4"/>
    <x v="1"/>
    <x v="1"/>
    <x v="0"/>
    <x v="0"/>
    <x v="154"/>
    <d v="2021-04-01T00:00:00"/>
    <n v="4"/>
    <n v="48"/>
    <n v="48"/>
    <x v="0"/>
  </r>
  <r>
    <n v="168"/>
    <s v="Mark Hogan"/>
    <x v="167"/>
    <x v="15"/>
    <d v="2021-12-03T00:00:00"/>
    <x v="0"/>
    <x v="4"/>
    <x v="1"/>
    <x v="2"/>
    <x v="2"/>
    <x v="155"/>
    <d v="2022-02-07T00:00:00"/>
    <n v="4"/>
    <n v="72"/>
    <n v="120"/>
    <x v="0"/>
  </r>
  <r>
    <n v="169"/>
    <s v="Jacob Mitchell"/>
    <x v="168"/>
    <x v="9"/>
    <d v="2022-06-20T00:00:00"/>
    <x v="4"/>
    <x v="7"/>
    <x v="1"/>
    <x v="3"/>
    <x v="1"/>
    <x v="156"/>
    <d v="2022-10-31T00:00:00"/>
    <m/>
    <n v="120"/>
    <n v="168"/>
    <x v="0"/>
  </r>
  <r>
    <n v="170"/>
    <s v="Rebecca Huang"/>
    <x v="169"/>
    <x v="6"/>
    <d v="2020-10-19T00:00:00"/>
    <x v="3"/>
    <x v="0"/>
    <x v="1"/>
    <x v="3"/>
    <x v="0"/>
    <x v="157"/>
    <d v="2021-01-21T00:00:00"/>
    <n v="5"/>
    <n v="168"/>
    <n v="168"/>
    <x v="0"/>
  </r>
  <r>
    <n v="171"/>
    <s v="John Hernandez"/>
    <x v="170"/>
    <x v="1"/>
    <d v="2023-01-14T00:00:00"/>
    <x v="1"/>
    <x v="11"/>
    <x v="1"/>
    <x v="3"/>
    <x v="3"/>
    <x v="158"/>
    <d v="2023-06-09T00:00:00"/>
    <m/>
    <n v="264"/>
    <n v="168"/>
    <x v="1"/>
  </r>
  <r>
    <n v="172"/>
    <s v="Matthew Williams"/>
    <x v="171"/>
    <x v="13"/>
    <d v="2022-08-05T00:00:00"/>
    <x v="2"/>
    <x v="1"/>
    <x v="0"/>
    <x v="3"/>
    <x v="1"/>
    <x v="159"/>
    <d v="2022-12-11T00:00:00"/>
    <m/>
    <n v="72"/>
    <n v="168"/>
    <x v="0"/>
  </r>
  <r>
    <n v="173"/>
    <s v="Jake Campbell"/>
    <x v="172"/>
    <x v="13"/>
    <d v="2020-03-22T00:00:00"/>
    <x v="2"/>
    <x v="12"/>
    <x v="1"/>
    <x v="2"/>
    <x v="2"/>
    <x v="160"/>
    <d v="2020-11-21T00:00:00"/>
    <n v="2"/>
    <n v="168"/>
    <n v="120"/>
    <x v="1"/>
  </r>
  <r>
    <n v="174"/>
    <s v="Maria Jones"/>
    <x v="173"/>
    <x v="18"/>
    <d v="2023-01-29T00:00:00"/>
    <x v="2"/>
    <x v="14"/>
    <x v="1"/>
    <x v="0"/>
    <x v="1"/>
    <x v="161"/>
    <d v="2023-11-13T00:00:00"/>
    <n v="4"/>
    <n v="24"/>
    <n v="48"/>
    <x v="0"/>
  </r>
  <r>
    <n v="175"/>
    <s v="Tracey Morrison"/>
    <x v="174"/>
    <x v="14"/>
    <d v="2021-06-27T00:00:00"/>
    <x v="2"/>
    <x v="9"/>
    <x v="1"/>
    <x v="3"/>
    <x v="2"/>
    <x v="162"/>
    <d v="2021-09-23T00:00:00"/>
    <m/>
    <n v="168"/>
    <n v="168"/>
    <x v="0"/>
  </r>
  <r>
    <n v="176"/>
    <s v="Matthew Bates"/>
    <x v="175"/>
    <x v="13"/>
    <d v="2022-05-18T00:00:00"/>
    <x v="1"/>
    <x v="9"/>
    <x v="1"/>
    <x v="2"/>
    <x v="1"/>
    <x v="163"/>
    <d v="2022-06-01T00:00:00"/>
    <n v="4"/>
    <n v="72"/>
    <n v="120"/>
    <x v="0"/>
  </r>
  <r>
    <n v="177"/>
    <s v="Rickey Li"/>
    <x v="176"/>
    <x v="13"/>
    <d v="2020-01-29T00:00:00"/>
    <x v="1"/>
    <x v="8"/>
    <x v="1"/>
    <x v="3"/>
    <x v="0"/>
    <x v="164"/>
    <d v="2020-06-28T00:00:00"/>
    <n v="4"/>
    <n v="120"/>
    <n v="168"/>
    <x v="0"/>
  </r>
  <r>
    <n v="178"/>
    <s v="Christopher Lewis"/>
    <x v="177"/>
    <x v="1"/>
    <d v="2020-04-29T00:00:00"/>
    <x v="0"/>
    <x v="11"/>
    <x v="3"/>
    <x v="2"/>
    <x v="1"/>
    <x v="165"/>
    <d v="2021-02-15T00:00:00"/>
    <m/>
    <n v="120"/>
    <n v="120"/>
    <x v="0"/>
  </r>
  <r>
    <n v="179"/>
    <s v="Richard Romero"/>
    <x v="178"/>
    <x v="0"/>
    <d v="2020-07-22T00:00:00"/>
    <x v="4"/>
    <x v="7"/>
    <x v="2"/>
    <x v="2"/>
    <x v="0"/>
    <x v="166"/>
    <d v="2020-09-30T00:00:00"/>
    <n v="3"/>
    <n v="96"/>
    <n v="120"/>
    <x v="0"/>
  </r>
  <r>
    <n v="180"/>
    <s v="Brittany White"/>
    <x v="179"/>
    <x v="18"/>
    <d v="2022-11-16T00:00:00"/>
    <x v="0"/>
    <x v="12"/>
    <x v="1"/>
    <x v="0"/>
    <x v="3"/>
    <x v="167"/>
    <d v="2022-12-08T00:00:00"/>
    <n v="4"/>
    <n v="48"/>
    <n v="48"/>
    <x v="0"/>
  </r>
  <r>
    <n v="181"/>
    <s v="Tracy Bishop"/>
    <x v="180"/>
    <x v="4"/>
    <d v="2023-05-03T00:00:00"/>
    <x v="2"/>
    <x v="13"/>
    <x v="1"/>
    <x v="2"/>
    <x v="3"/>
    <x v="168"/>
    <d v="2023-07-30T00:00:00"/>
    <n v="5"/>
    <n v="120"/>
    <n v="120"/>
    <x v="0"/>
  </r>
  <r>
    <n v="182"/>
    <s v="Russell Richardson"/>
    <x v="181"/>
    <x v="13"/>
    <d v="2022-02-20T00:00:00"/>
    <x v="3"/>
    <x v="7"/>
    <x v="3"/>
    <x v="3"/>
    <x v="0"/>
    <x v="169"/>
    <d v="2022-03-04T00:00:00"/>
    <m/>
    <n v="96"/>
    <n v="168"/>
    <x v="0"/>
  </r>
  <r>
    <n v="183"/>
    <s v="Tracy Montoya"/>
    <x v="182"/>
    <x v="13"/>
    <d v="2021-07-30T00:00:00"/>
    <x v="4"/>
    <x v="2"/>
    <x v="1"/>
    <x v="3"/>
    <x v="3"/>
    <x v="170"/>
    <d v="2021-12-18T00:00:00"/>
    <n v="5"/>
    <n v="120"/>
    <n v="168"/>
    <x v="0"/>
  </r>
  <r>
    <n v="184"/>
    <s v="Ashley Singleton"/>
    <x v="183"/>
    <x v="17"/>
    <d v="2021-11-28T00:00:00"/>
    <x v="2"/>
    <x v="12"/>
    <x v="1"/>
    <x v="0"/>
    <x v="1"/>
    <x v="171"/>
    <d v="2022-02-13T00:00:00"/>
    <n v="4"/>
    <n v="48"/>
    <n v="48"/>
    <x v="0"/>
  </r>
  <r>
    <n v="185"/>
    <s v="Brittany Kim"/>
    <x v="184"/>
    <x v="10"/>
    <d v="2021-10-06T00:00:00"/>
    <x v="0"/>
    <x v="3"/>
    <x v="1"/>
    <x v="2"/>
    <x v="0"/>
    <x v="172"/>
    <d v="2022-05-08T00:00:00"/>
    <n v="5"/>
    <n v="96"/>
    <n v="120"/>
    <x v="0"/>
  </r>
  <r>
    <n v="186"/>
    <s v="Jonathan Young"/>
    <x v="185"/>
    <x v="13"/>
    <d v="2023-01-15T00:00:00"/>
    <x v="1"/>
    <x v="7"/>
    <x v="1"/>
    <x v="3"/>
    <x v="3"/>
    <x v="173"/>
    <d v="2023-10-16T00:00:00"/>
    <n v="4"/>
    <n v="120"/>
    <n v="168"/>
    <x v="0"/>
  </r>
  <r>
    <n v="187"/>
    <s v="Raven Taylor"/>
    <x v="186"/>
    <x v="14"/>
    <d v="2021-12-29T00:00:00"/>
    <x v="2"/>
    <x v="5"/>
    <x v="1"/>
    <x v="0"/>
    <x v="1"/>
    <x v="174"/>
    <d v="2022-05-21T00:00:00"/>
    <n v="4"/>
    <n v="24"/>
    <n v="48"/>
    <x v="0"/>
  </r>
  <r>
    <n v="188"/>
    <s v="Aaron Miller"/>
    <x v="187"/>
    <x v="12"/>
    <d v="2022-08-03T00:00:00"/>
    <x v="4"/>
    <x v="10"/>
    <x v="1"/>
    <x v="2"/>
    <x v="1"/>
    <x v="175"/>
    <d v="2022-12-26T00:00:00"/>
    <n v="5"/>
    <n v="120"/>
    <n v="120"/>
    <x v="0"/>
  </r>
  <r>
    <n v="189"/>
    <s v="Ashley Roberts"/>
    <x v="188"/>
    <x v="9"/>
    <d v="2023-05-18T00:00:00"/>
    <x v="0"/>
    <x v="13"/>
    <x v="3"/>
    <x v="3"/>
    <x v="1"/>
    <x v="176"/>
    <d v="2023-11-20T00:00:00"/>
    <m/>
    <n v="216"/>
    <n v="168"/>
    <x v="1"/>
  </r>
  <r>
    <n v="190"/>
    <s v="Amy Copeland"/>
    <x v="189"/>
    <x v="11"/>
    <d v="2022-03-11T00:00:00"/>
    <x v="4"/>
    <x v="11"/>
    <x v="0"/>
    <x v="3"/>
    <x v="2"/>
    <x v="174"/>
    <d v="2022-05-30T00:00:00"/>
    <m/>
    <n v="240"/>
    <n v="168"/>
    <x v="1"/>
  </r>
  <r>
    <n v="191"/>
    <s v="Michelle Carter"/>
    <x v="190"/>
    <x v="14"/>
    <d v="2020-10-17T00:00:00"/>
    <x v="4"/>
    <x v="1"/>
    <x v="1"/>
    <x v="2"/>
    <x v="2"/>
    <x v="177"/>
    <d v="2020-11-16T00:00:00"/>
    <n v="5"/>
    <n v="96"/>
    <n v="120"/>
    <x v="0"/>
  </r>
  <r>
    <n v="192"/>
    <s v="Angela Villegas"/>
    <x v="191"/>
    <x v="13"/>
    <d v="2022-05-10T00:00:00"/>
    <x v="0"/>
    <x v="3"/>
    <x v="1"/>
    <x v="3"/>
    <x v="0"/>
    <x v="178"/>
    <d v="2023-01-15T00:00:00"/>
    <n v="4"/>
    <n v="144"/>
    <n v="168"/>
    <x v="0"/>
  </r>
  <r>
    <n v="193"/>
    <s v="Shane Williams"/>
    <x v="192"/>
    <x v="15"/>
    <d v="2020-01-26T00:00:00"/>
    <x v="2"/>
    <x v="12"/>
    <x v="0"/>
    <x v="3"/>
    <x v="0"/>
    <x v="179"/>
    <d v="2020-04-30T00:00:00"/>
    <m/>
    <n v="144"/>
    <n v="168"/>
    <x v="0"/>
  </r>
  <r>
    <n v="194"/>
    <s v="Austin Allen"/>
    <x v="193"/>
    <x v="7"/>
    <d v="2020-07-26T00:00:00"/>
    <x v="0"/>
    <x v="2"/>
    <x v="1"/>
    <x v="2"/>
    <x v="2"/>
    <x v="180"/>
    <d v="2020-08-18T00:00:00"/>
    <n v="4"/>
    <n v="96"/>
    <n v="120"/>
    <x v="0"/>
  </r>
  <r>
    <n v="195"/>
    <s v="Joshua Li"/>
    <x v="194"/>
    <x v="6"/>
    <d v="2022-01-13T00:00:00"/>
    <x v="4"/>
    <x v="8"/>
    <x v="1"/>
    <x v="0"/>
    <x v="1"/>
    <x v="181"/>
    <d v="2022-09-29T00:00:00"/>
    <n v="5"/>
    <n v="24"/>
    <n v="48"/>
    <x v="0"/>
  </r>
  <r>
    <n v="196"/>
    <s v="Robin Brown"/>
    <x v="195"/>
    <x v="7"/>
    <d v="2023-05-13T00:00:00"/>
    <x v="1"/>
    <x v="0"/>
    <x v="1"/>
    <x v="0"/>
    <x v="1"/>
    <x v="182"/>
    <d v="2024-02-28T00:00:00"/>
    <n v="3"/>
    <n v="24"/>
    <n v="48"/>
    <x v="0"/>
  </r>
  <r>
    <n v="197"/>
    <s v="Andrew Mahoney"/>
    <x v="196"/>
    <x v="0"/>
    <d v="2021-01-28T00:00:00"/>
    <x v="2"/>
    <x v="6"/>
    <x v="0"/>
    <x v="2"/>
    <x v="1"/>
    <x v="6"/>
    <d v="2021-05-08T00:00:00"/>
    <m/>
    <n v="120"/>
    <n v="120"/>
    <x v="0"/>
  </r>
  <r>
    <n v="198"/>
    <s v="Matthew Mitchell"/>
    <x v="197"/>
    <x v="11"/>
    <d v="2023-05-26T00:00:00"/>
    <x v="1"/>
    <x v="12"/>
    <x v="1"/>
    <x v="3"/>
    <x v="1"/>
    <x v="183"/>
    <d v="2023-12-16T00:00:00"/>
    <n v="4"/>
    <n v="864"/>
    <n v="168"/>
    <x v="1"/>
  </r>
  <r>
    <n v="199"/>
    <s v="Steve Paul"/>
    <x v="198"/>
    <x v="18"/>
    <d v="2022-12-11T00:00:00"/>
    <x v="4"/>
    <x v="9"/>
    <x v="1"/>
    <x v="3"/>
    <x v="1"/>
    <x v="184"/>
    <d v="2023-12-14T00:00:00"/>
    <n v="4"/>
    <n v="192"/>
    <n v="168"/>
    <x v="1"/>
  </r>
  <r>
    <n v="200"/>
    <s v="Tim Stone PhD"/>
    <x v="199"/>
    <x v="2"/>
    <d v="2022-04-27T00:00:00"/>
    <x v="0"/>
    <x v="14"/>
    <x v="3"/>
    <x v="3"/>
    <x v="0"/>
    <x v="56"/>
    <d v="2022-11-29T00:00:00"/>
    <m/>
    <n v="96"/>
    <n v="168"/>
    <x v="0"/>
  </r>
  <r>
    <n v="201"/>
    <s v="Brian Murphy"/>
    <x v="200"/>
    <x v="9"/>
    <d v="2022-12-07T00:00:00"/>
    <x v="0"/>
    <x v="3"/>
    <x v="1"/>
    <x v="3"/>
    <x v="3"/>
    <x v="185"/>
    <d v="2023-09-09T00:00:00"/>
    <n v="3"/>
    <n v="168"/>
    <n v="168"/>
    <x v="0"/>
  </r>
  <r>
    <n v="202"/>
    <s v="Jeremy Acosta"/>
    <x v="201"/>
    <x v="6"/>
    <d v="2023-05-14T00:00:00"/>
    <x v="0"/>
    <x v="9"/>
    <x v="1"/>
    <x v="2"/>
    <x v="1"/>
    <x v="186"/>
    <d v="2023-08-11T00:00:00"/>
    <n v="4"/>
    <n v="120"/>
    <n v="120"/>
    <x v="0"/>
  </r>
  <r>
    <n v="203"/>
    <s v="Angela Walsh"/>
    <x v="202"/>
    <x v="5"/>
    <d v="2022-08-01T00:00:00"/>
    <x v="2"/>
    <x v="10"/>
    <x v="3"/>
    <x v="2"/>
    <x v="0"/>
    <x v="187"/>
    <d v="2022-10-09T00:00:00"/>
    <m/>
    <n v="48"/>
    <n v="120"/>
    <x v="0"/>
  </r>
  <r>
    <n v="204"/>
    <s v="Jessica Martinez"/>
    <x v="203"/>
    <x v="8"/>
    <d v="2022-05-31T00:00:00"/>
    <x v="3"/>
    <x v="4"/>
    <x v="0"/>
    <x v="1"/>
    <x v="2"/>
    <x v="188"/>
    <d v="2022-09-19T00:00:00"/>
    <m/>
    <n v="0"/>
    <n v="24"/>
    <x v="0"/>
  </r>
  <r>
    <n v="205"/>
    <s v="Christian Cole"/>
    <x v="204"/>
    <x v="13"/>
    <d v="2022-04-02T00:00:00"/>
    <x v="1"/>
    <x v="4"/>
    <x v="1"/>
    <x v="0"/>
    <x v="2"/>
    <x v="189"/>
    <d v="2022-04-20T00:00:00"/>
    <n v="4"/>
    <n v="48"/>
    <n v="48"/>
    <x v="0"/>
  </r>
  <r>
    <n v="206"/>
    <s v="Ernest Ramirez"/>
    <x v="205"/>
    <x v="17"/>
    <d v="2021-08-24T00:00:00"/>
    <x v="3"/>
    <x v="12"/>
    <x v="0"/>
    <x v="3"/>
    <x v="2"/>
    <x v="190"/>
    <d v="2022-03-08T00:00:00"/>
    <m/>
    <n v="96"/>
    <n v="168"/>
    <x v="0"/>
  </r>
  <r>
    <n v="207"/>
    <s v="Autumn Hampton"/>
    <x v="206"/>
    <x v="12"/>
    <d v="2022-12-14T00:00:00"/>
    <x v="1"/>
    <x v="9"/>
    <x v="0"/>
    <x v="3"/>
    <x v="1"/>
    <x v="191"/>
    <d v="2023-07-10T00:00:00"/>
    <m/>
    <n v="168"/>
    <n v="168"/>
    <x v="0"/>
  </r>
  <r>
    <n v="208"/>
    <s v="Katherine Martinez"/>
    <x v="207"/>
    <x v="12"/>
    <d v="2020-05-16T00:00:00"/>
    <x v="3"/>
    <x v="8"/>
    <x v="1"/>
    <x v="3"/>
    <x v="2"/>
    <x v="192"/>
    <d v="2020-12-26T00:00:00"/>
    <n v="4"/>
    <n v="168"/>
    <n v="168"/>
    <x v="0"/>
  </r>
  <r>
    <n v="209"/>
    <s v="Tracy Downs"/>
    <x v="208"/>
    <x v="16"/>
    <d v="2021-04-10T00:00:00"/>
    <x v="2"/>
    <x v="7"/>
    <x v="0"/>
    <x v="3"/>
    <x v="3"/>
    <x v="193"/>
    <d v="2022-03-07T00:00:00"/>
    <m/>
    <n v="408"/>
    <n v="168"/>
    <x v="1"/>
  </r>
  <r>
    <n v="210"/>
    <s v="Michelle Ho"/>
    <x v="209"/>
    <x v="15"/>
    <d v="2020-11-08T00:00:00"/>
    <x v="0"/>
    <x v="10"/>
    <x v="3"/>
    <x v="2"/>
    <x v="1"/>
    <x v="5"/>
    <d v="2021-03-17T00:00:00"/>
    <m/>
    <n v="96"/>
    <n v="120"/>
    <x v="0"/>
  </r>
  <r>
    <n v="211"/>
    <s v="Cynthia Snyder"/>
    <x v="210"/>
    <x v="14"/>
    <d v="2020-07-20T00:00:00"/>
    <x v="0"/>
    <x v="3"/>
    <x v="1"/>
    <x v="2"/>
    <x v="1"/>
    <x v="194"/>
    <d v="2021-05-11T00:00:00"/>
    <n v="3"/>
    <n v="24"/>
    <n v="120"/>
    <x v="0"/>
  </r>
  <r>
    <n v="212"/>
    <s v="Angelica Parker"/>
    <x v="211"/>
    <x v="11"/>
    <d v="2022-06-12T00:00:00"/>
    <x v="3"/>
    <x v="5"/>
    <x v="1"/>
    <x v="2"/>
    <x v="3"/>
    <x v="12"/>
    <d v="2022-07-15T00:00:00"/>
    <m/>
    <n v="48"/>
    <n v="120"/>
    <x v="0"/>
  </r>
  <r>
    <n v="213"/>
    <s v="William Day"/>
    <x v="212"/>
    <x v="17"/>
    <d v="2020-07-18T00:00:00"/>
    <x v="4"/>
    <x v="10"/>
    <x v="3"/>
    <x v="2"/>
    <x v="3"/>
    <x v="195"/>
    <d v="2021-04-15T00:00:00"/>
    <m/>
    <n v="72"/>
    <n v="120"/>
    <x v="0"/>
  </r>
  <r>
    <n v="214"/>
    <s v="Penny Bowman"/>
    <x v="213"/>
    <x v="6"/>
    <d v="2020-03-27T00:00:00"/>
    <x v="4"/>
    <x v="5"/>
    <x v="1"/>
    <x v="2"/>
    <x v="1"/>
    <x v="196"/>
    <d v="2020-11-23T00:00:00"/>
    <n v="5"/>
    <n v="96"/>
    <n v="120"/>
    <x v="0"/>
  </r>
  <r>
    <n v="215"/>
    <s v="Kelly Torres"/>
    <x v="214"/>
    <x v="5"/>
    <d v="2022-03-17T00:00:00"/>
    <x v="3"/>
    <x v="3"/>
    <x v="1"/>
    <x v="3"/>
    <x v="3"/>
    <x v="197"/>
    <d v="2022-10-01T00:00:00"/>
    <n v="4"/>
    <n v="216"/>
    <n v="168"/>
    <x v="1"/>
  </r>
  <r>
    <n v="216"/>
    <s v="Sarah King"/>
    <x v="215"/>
    <x v="1"/>
    <d v="2020-05-25T00:00:00"/>
    <x v="4"/>
    <x v="13"/>
    <x v="2"/>
    <x v="2"/>
    <x v="1"/>
    <x v="6"/>
    <d v="2021-05-06T00:00:00"/>
    <n v="3"/>
    <n v="72"/>
    <n v="120"/>
    <x v="0"/>
  </r>
  <r>
    <n v="217"/>
    <s v="Caroline David"/>
    <x v="216"/>
    <x v="13"/>
    <d v="2021-06-08T00:00:00"/>
    <x v="2"/>
    <x v="2"/>
    <x v="1"/>
    <x v="3"/>
    <x v="1"/>
    <x v="198"/>
    <d v="2021-10-16T00:00:00"/>
    <n v="4"/>
    <n v="144"/>
    <n v="168"/>
    <x v="0"/>
  </r>
  <r>
    <n v="218"/>
    <s v="Kristy Bryan"/>
    <x v="217"/>
    <x v="7"/>
    <d v="2021-02-15T00:00:00"/>
    <x v="1"/>
    <x v="4"/>
    <x v="1"/>
    <x v="3"/>
    <x v="0"/>
    <x v="199"/>
    <d v="2021-07-05T00:00:00"/>
    <n v="3"/>
    <n v="168"/>
    <n v="168"/>
    <x v="0"/>
  </r>
  <r>
    <n v="219"/>
    <s v="Pamela Butler"/>
    <x v="218"/>
    <x v="4"/>
    <d v="2022-09-24T00:00:00"/>
    <x v="0"/>
    <x v="7"/>
    <x v="0"/>
    <x v="3"/>
    <x v="3"/>
    <x v="200"/>
    <d v="2023-05-01T00:00:00"/>
    <m/>
    <n v="192"/>
    <n v="168"/>
    <x v="1"/>
  </r>
  <r>
    <n v="220"/>
    <s v="Karen Ballard"/>
    <x v="219"/>
    <x v="16"/>
    <d v="2020-04-03T00:00:00"/>
    <x v="1"/>
    <x v="10"/>
    <x v="1"/>
    <x v="2"/>
    <x v="3"/>
    <x v="201"/>
    <d v="2020-09-07T00:00:00"/>
    <n v="4"/>
    <n v="144"/>
    <n v="120"/>
    <x v="1"/>
  </r>
  <r>
    <n v="221"/>
    <s v="Jason Marshall"/>
    <x v="220"/>
    <x v="13"/>
    <d v="2021-06-20T00:00:00"/>
    <x v="4"/>
    <x v="4"/>
    <x v="1"/>
    <x v="2"/>
    <x v="3"/>
    <x v="202"/>
    <d v="2022-05-18T00:00:00"/>
    <m/>
    <n v="96"/>
    <n v="120"/>
    <x v="0"/>
  </r>
  <r>
    <n v="222"/>
    <s v="Bianca Wood"/>
    <x v="221"/>
    <x v="15"/>
    <d v="2021-11-29T00:00:00"/>
    <x v="4"/>
    <x v="0"/>
    <x v="3"/>
    <x v="3"/>
    <x v="1"/>
    <x v="203"/>
    <d v="2022-09-01T00:00:00"/>
    <m/>
    <n v="192"/>
    <n v="168"/>
    <x v="1"/>
  </r>
  <r>
    <n v="223"/>
    <s v="Brent Roberts"/>
    <x v="222"/>
    <x v="6"/>
    <d v="2020-09-05T00:00:00"/>
    <x v="2"/>
    <x v="8"/>
    <x v="2"/>
    <x v="2"/>
    <x v="2"/>
    <x v="204"/>
    <d v="2020-09-12T00:00:00"/>
    <n v="4"/>
    <n v="72"/>
    <n v="120"/>
    <x v="0"/>
  </r>
  <r>
    <n v="224"/>
    <s v="Taylor Griffith"/>
    <x v="223"/>
    <x v="12"/>
    <d v="2021-12-26T00:00:00"/>
    <x v="2"/>
    <x v="6"/>
    <x v="0"/>
    <x v="2"/>
    <x v="0"/>
    <x v="90"/>
    <d v="2022-07-28T00:00:00"/>
    <m/>
    <n v="96"/>
    <n v="120"/>
    <x v="0"/>
  </r>
  <r>
    <n v="225"/>
    <s v="Mr. Alexander Landry MD"/>
    <x v="224"/>
    <x v="3"/>
    <d v="2021-03-13T00:00:00"/>
    <x v="2"/>
    <x v="0"/>
    <x v="1"/>
    <x v="2"/>
    <x v="1"/>
    <x v="205"/>
    <d v="2021-05-10T00:00:00"/>
    <n v="3"/>
    <n v="96"/>
    <n v="120"/>
    <x v="0"/>
  </r>
  <r>
    <n v="226"/>
    <s v="Stephen Pena MD"/>
    <x v="225"/>
    <x v="17"/>
    <d v="2023-02-04T00:00:00"/>
    <x v="3"/>
    <x v="0"/>
    <x v="3"/>
    <x v="3"/>
    <x v="3"/>
    <x v="206"/>
    <d v="2023-10-04T00:00:00"/>
    <m/>
    <n v="168"/>
    <n v="168"/>
    <x v="0"/>
  </r>
  <r>
    <n v="227"/>
    <s v="Jamie Williams"/>
    <x v="226"/>
    <x v="17"/>
    <d v="2021-03-24T00:00:00"/>
    <x v="1"/>
    <x v="7"/>
    <x v="1"/>
    <x v="2"/>
    <x v="0"/>
    <x v="207"/>
    <d v="2021-10-08T00:00:00"/>
    <m/>
    <n v="96"/>
    <n v="120"/>
    <x v="0"/>
  </r>
  <r>
    <n v="228"/>
    <s v="Jonathan Duran"/>
    <x v="227"/>
    <x v="0"/>
    <d v="2020-07-18T00:00:00"/>
    <x v="3"/>
    <x v="11"/>
    <x v="1"/>
    <x v="0"/>
    <x v="1"/>
    <x v="208"/>
    <d v="2021-04-17T00:00:00"/>
    <m/>
    <n v="72"/>
    <n v="48"/>
    <x v="1"/>
  </r>
  <r>
    <n v="229"/>
    <s v="Jennifer Norton"/>
    <x v="228"/>
    <x v="12"/>
    <d v="2022-07-24T00:00:00"/>
    <x v="4"/>
    <x v="6"/>
    <x v="0"/>
    <x v="0"/>
    <x v="1"/>
    <x v="13"/>
    <d v="2023-05-10T00:00:00"/>
    <m/>
    <n v="48"/>
    <n v="48"/>
    <x v="0"/>
  </r>
  <r>
    <n v="230"/>
    <s v="Kathryn Williams"/>
    <x v="229"/>
    <x v="17"/>
    <d v="2021-12-10T00:00:00"/>
    <x v="2"/>
    <x v="6"/>
    <x v="1"/>
    <x v="2"/>
    <x v="3"/>
    <x v="9"/>
    <d v="2022-01-25T00:00:00"/>
    <n v="3"/>
    <n v="168"/>
    <n v="120"/>
    <x v="1"/>
  </r>
  <r>
    <n v="231"/>
    <s v="Steven Taylor"/>
    <x v="230"/>
    <x v="9"/>
    <d v="2021-06-06T00:00:00"/>
    <x v="0"/>
    <x v="7"/>
    <x v="1"/>
    <x v="2"/>
    <x v="3"/>
    <x v="209"/>
    <d v="2022-02-22T00:00:00"/>
    <n v="4"/>
    <n v="120"/>
    <n v="120"/>
    <x v="0"/>
  </r>
  <r>
    <n v="232"/>
    <s v="Katrina Burns"/>
    <x v="231"/>
    <x v="4"/>
    <d v="2022-11-12T00:00:00"/>
    <x v="4"/>
    <x v="11"/>
    <x v="1"/>
    <x v="3"/>
    <x v="1"/>
    <x v="31"/>
    <d v="2022-12-10T00:00:00"/>
    <n v="3"/>
    <n v="312"/>
    <n v="168"/>
    <x v="1"/>
  </r>
  <r>
    <n v="233"/>
    <s v="Jason Parker"/>
    <x v="232"/>
    <x v="17"/>
    <d v="2023-05-01T00:00:00"/>
    <x v="2"/>
    <x v="13"/>
    <x v="0"/>
    <x v="2"/>
    <x v="1"/>
    <x v="210"/>
    <d v="2023-06-15T00:00:00"/>
    <m/>
    <n v="48"/>
    <n v="120"/>
    <x v="0"/>
  </r>
  <r>
    <n v="234"/>
    <s v="Laura Perez"/>
    <x v="233"/>
    <x v="6"/>
    <d v="2023-01-25T00:00:00"/>
    <x v="3"/>
    <x v="12"/>
    <x v="3"/>
    <x v="0"/>
    <x v="1"/>
    <x v="211"/>
    <d v="2023-08-18T00:00:00"/>
    <m/>
    <n v="144"/>
    <n v="48"/>
    <x v="1"/>
  </r>
  <r>
    <n v="235"/>
    <s v="Sarah Hernandez"/>
    <x v="234"/>
    <x v="16"/>
    <d v="2020-10-23T00:00:00"/>
    <x v="0"/>
    <x v="7"/>
    <x v="0"/>
    <x v="2"/>
    <x v="3"/>
    <x v="83"/>
    <d v="2021-06-09T00:00:00"/>
    <m/>
    <n v="0"/>
    <n v="120"/>
    <x v="0"/>
  </r>
  <r>
    <n v="236"/>
    <s v="Erik Hernandez"/>
    <x v="235"/>
    <x v="4"/>
    <d v="2023-02-17T00:00:00"/>
    <x v="4"/>
    <x v="7"/>
    <x v="1"/>
    <x v="2"/>
    <x v="2"/>
    <x v="185"/>
    <d v="2023-09-05T00:00:00"/>
    <n v="3"/>
    <n v="72"/>
    <n v="120"/>
    <x v="0"/>
  </r>
  <r>
    <n v="237"/>
    <s v="Michele Stone"/>
    <x v="236"/>
    <x v="17"/>
    <d v="2021-05-02T00:00:00"/>
    <x v="2"/>
    <x v="10"/>
    <x v="0"/>
    <x v="2"/>
    <x v="1"/>
    <x v="212"/>
    <d v="2021-07-31T00:00:00"/>
    <m/>
    <n v="96"/>
    <n v="120"/>
    <x v="0"/>
  </r>
  <r>
    <n v="238"/>
    <s v="Julia Patel"/>
    <x v="237"/>
    <x v="13"/>
    <d v="2020-10-25T00:00:00"/>
    <x v="4"/>
    <x v="10"/>
    <x v="1"/>
    <x v="3"/>
    <x v="3"/>
    <x v="213"/>
    <d v="2020-12-10T00:00:00"/>
    <n v="5"/>
    <n v="168"/>
    <n v="168"/>
    <x v="0"/>
  </r>
  <r>
    <n v="239"/>
    <s v="Diana Evans"/>
    <x v="238"/>
    <x v="17"/>
    <d v="2022-01-15T00:00:00"/>
    <x v="0"/>
    <x v="12"/>
    <x v="1"/>
    <x v="2"/>
    <x v="0"/>
    <x v="214"/>
    <d v="2022-07-09T00:00:00"/>
    <n v="4"/>
    <n v="120"/>
    <n v="120"/>
    <x v="0"/>
  </r>
  <r>
    <n v="240"/>
    <s v="Timothy Pope"/>
    <x v="239"/>
    <x v="10"/>
    <d v="2021-09-04T00:00:00"/>
    <x v="0"/>
    <x v="6"/>
    <x v="1"/>
    <x v="3"/>
    <x v="3"/>
    <x v="215"/>
    <d v="2022-05-11T00:00:00"/>
    <n v="4"/>
    <n v="96"/>
    <n v="168"/>
    <x v="0"/>
  </r>
  <r>
    <n v="241"/>
    <s v="Tina Ballard"/>
    <x v="240"/>
    <x v="17"/>
    <d v="2022-10-16T00:00:00"/>
    <x v="0"/>
    <x v="8"/>
    <x v="1"/>
    <x v="2"/>
    <x v="3"/>
    <x v="216"/>
    <d v="2023-03-09T00:00:00"/>
    <m/>
    <n v="24"/>
    <n v="120"/>
    <x v="0"/>
  </r>
  <r>
    <n v="242"/>
    <s v="John Harris"/>
    <x v="241"/>
    <x v="5"/>
    <d v="2022-08-14T00:00:00"/>
    <x v="2"/>
    <x v="11"/>
    <x v="0"/>
    <x v="3"/>
    <x v="0"/>
    <x v="217"/>
    <d v="2023-08-23T00:00:00"/>
    <m/>
    <n v="288"/>
    <n v="168"/>
    <x v="1"/>
  </r>
  <r>
    <n v="243"/>
    <s v="Cynthia Williams"/>
    <x v="242"/>
    <x v="13"/>
    <d v="2021-05-28T00:00:00"/>
    <x v="0"/>
    <x v="9"/>
    <x v="3"/>
    <x v="0"/>
    <x v="1"/>
    <x v="218"/>
    <d v="2021-08-09T00:00:00"/>
    <m/>
    <n v="48"/>
    <n v="48"/>
    <x v="0"/>
  </r>
  <r>
    <n v="244"/>
    <s v="Ashlee Townsend"/>
    <x v="243"/>
    <x v="1"/>
    <d v="2021-09-24T00:00:00"/>
    <x v="0"/>
    <x v="7"/>
    <x v="0"/>
    <x v="3"/>
    <x v="2"/>
    <x v="219"/>
    <d v="2022-04-22T00:00:00"/>
    <m/>
    <n v="120"/>
    <n v="168"/>
    <x v="0"/>
  </r>
  <r>
    <n v="245"/>
    <s v="Shirley Alvarez"/>
    <x v="244"/>
    <x v="9"/>
    <d v="2022-09-30T00:00:00"/>
    <x v="2"/>
    <x v="6"/>
    <x v="0"/>
    <x v="3"/>
    <x v="2"/>
    <x v="220"/>
    <d v="2022-11-26T00:00:00"/>
    <m/>
    <n v="48"/>
    <n v="168"/>
    <x v="0"/>
  </r>
  <r>
    <n v="246"/>
    <s v="Randy Pearson"/>
    <x v="245"/>
    <x v="4"/>
    <d v="2020-09-28T00:00:00"/>
    <x v="4"/>
    <x v="9"/>
    <x v="1"/>
    <x v="0"/>
    <x v="3"/>
    <x v="205"/>
    <d v="2021-05-09T00:00:00"/>
    <n v="4"/>
    <n v="72"/>
    <n v="48"/>
    <x v="1"/>
  </r>
  <r>
    <n v="247"/>
    <s v="Ryan Peck"/>
    <x v="246"/>
    <x v="5"/>
    <d v="2020-10-16T00:00:00"/>
    <x v="2"/>
    <x v="4"/>
    <x v="0"/>
    <x v="2"/>
    <x v="1"/>
    <x v="221"/>
    <d v="2021-10-03T00:00:00"/>
    <m/>
    <n v="120"/>
    <n v="120"/>
    <x v="0"/>
  </r>
  <r>
    <n v="248"/>
    <s v="Tonya Howe"/>
    <x v="247"/>
    <x v="9"/>
    <d v="2021-06-04T00:00:00"/>
    <x v="1"/>
    <x v="9"/>
    <x v="3"/>
    <x v="3"/>
    <x v="3"/>
    <x v="222"/>
    <d v="2021-08-04T00:00:00"/>
    <m/>
    <n v="48"/>
    <n v="168"/>
    <x v="0"/>
  </r>
  <r>
    <n v="249"/>
    <s v="William Daniels"/>
    <x v="248"/>
    <x v="0"/>
    <d v="2021-12-28T00:00:00"/>
    <x v="3"/>
    <x v="14"/>
    <x v="0"/>
    <x v="2"/>
    <x v="0"/>
    <x v="223"/>
    <d v="2022-08-12T00:00:00"/>
    <m/>
    <n v="72"/>
    <n v="120"/>
    <x v="0"/>
  </r>
  <r>
    <n v="250"/>
    <s v="Robert Rivera"/>
    <x v="249"/>
    <x v="4"/>
    <d v="2020-01-22T00:00:00"/>
    <x v="1"/>
    <x v="2"/>
    <x v="1"/>
    <x v="3"/>
    <x v="3"/>
    <x v="224"/>
    <d v="2020-12-25T00:00:00"/>
    <n v="4"/>
    <n v="168"/>
    <n v="168"/>
    <x v="0"/>
  </r>
  <r>
    <n v="251"/>
    <s v="Rachel Bradley"/>
    <x v="250"/>
    <x v="5"/>
    <d v="2021-10-26T00:00:00"/>
    <x v="4"/>
    <x v="9"/>
    <x v="1"/>
    <x v="2"/>
    <x v="0"/>
    <x v="225"/>
    <d v="2022-02-24T00:00:00"/>
    <n v="4"/>
    <n v="72"/>
    <n v="120"/>
    <x v="0"/>
  </r>
  <r>
    <n v="252"/>
    <s v="Angie Caldwell"/>
    <x v="251"/>
    <x v="17"/>
    <d v="2020-01-11T00:00:00"/>
    <x v="0"/>
    <x v="12"/>
    <x v="1"/>
    <x v="0"/>
    <x v="1"/>
    <x v="226"/>
    <d v="2020-01-14T00:00:00"/>
    <n v="4"/>
    <n v="24"/>
    <n v="48"/>
    <x v="0"/>
  </r>
  <r>
    <n v="253"/>
    <s v="David Molina"/>
    <x v="252"/>
    <x v="10"/>
    <d v="2022-10-12T00:00:00"/>
    <x v="2"/>
    <x v="7"/>
    <x v="1"/>
    <x v="3"/>
    <x v="1"/>
    <x v="227"/>
    <d v="2023-06-10T00:00:00"/>
    <n v="4"/>
    <n v="168"/>
    <n v="168"/>
    <x v="0"/>
  </r>
  <r>
    <n v="254"/>
    <s v="David Contreras"/>
    <x v="253"/>
    <x v="2"/>
    <d v="2022-02-19T00:00:00"/>
    <x v="4"/>
    <x v="5"/>
    <x v="1"/>
    <x v="3"/>
    <x v="1"/>
    <x v="228"/>
    <d v="2022-10-19T00:00:00"/>
    <n v="3"/>
    <n v="192"/>
    <n v="168"/>
    <x v="1"/>
  </r>
  <r>
    <n v="255"/>
    <s v="Stacy Carrillo"/>
    <x v="254"/>
    <x v="7"/>
    <d v="2022-08-12T00:00:00"/>
    <x v="4"/>
    <x v="9"/>
    <x v="1"/>
    <x v="3"/>
    <x v="1"/>
    <x v="229"/>
    <d v="2022-10-12T00:00:00"/>
    <n v="5"/>
    <n v="48"/>
    <n v="168"/>
    <x v="0"/>
  </r>
  <r>
    <n v="256"/>
    <s v="Tyler Mendoza"/>
    <x v="255"/>
    <x v="3"/>
    <d v="2021-10-07T00:00:00"/>
    <x v="3"/>
    <x v="9"/>
    <x v="1"/>
    <x v="2"/>
    <x v="2"/>
    <x v="230"/>
    <d v="2022-07-22T00:00:00"/>
    <n v="3"/>
    <n v="96"/>
    <n v="120"/>
    <x v="0"/>
  </r>
  <r>
    <n v="257"/>
    <s v="Susan Todd"/>
    <x v="256"/>
    <x v="17"/>
    <d v="2023-05-08T00:00:00"/>
    <x v="3"/>
    <x v="7"/>
    <x v="3"/>
    <x v="2"/>
    <x v="3"/>
    <x v="231"/>
    <d v="2024-02-25T00:00:00"/>
    <m/>
    <n v="144"/>
    <n v="120"/>
    <x v="1"/>
  </r>
  <r>
    <n v="258"/>
    <s v="Jeremy Padilla"/>
    <x v="257"/>
    <x v="8"/>
    <d v="2022-02-24T00:00:00"/>
    <x v="2"/>
    <x v="2"/>
    <x v="1"/>
    <x v="2"/>
    <x v="0"/>
    <x v="232"/>
    <d v="2022-06-20T00:00:00"/>
    <n v="5"/>
    <n v="96"/>
    <n v="120"/>
    <x v="0"/>
  </r>
  <r>
    <n v="259"/>
    <s v="Joshua Martin"/>
    <x v="258"/>
    <x v="1"/>
    <d v="2022-06-24T00:00:00"/>
    <x v="2"/>
    <x v="2"/>
    <x v="3"/>
    <x v="2"/>
    <x v="0"/>
    <x v="233"/>
    <d v="2022-08-25T00:00:00"/>
    <m/>
    <n v="96"/>
    <n v="120"/>
    <x v="0"/>
  </r>
  <r>
    <n v="260"/>
    <s v="Steven Griffin Jr."/>
    <x v="259"/>
    <x v="10"/>
    <d v="2022-05-18T00:00:00"/>
    <x v="1"/>
    <x v="14"/>
    <x v="2"/>
    <x v="3"/>
    <x v="1"/>
    <x v="175"/>
    <d v="2023-01-02T00:00:00"/>
    <n v="5"/>
    <n v="288"/>
    <n v="168"/>
    <x v="1"/>
  </r>
  <r>
    <n v="261"/>
    <s v="Robert Cummings"/>
    <x v="260"/>
    <x v="5"/>
    <d v="2020-12-04T00:00:00"/>
    <x v="2"/>
    <x v="12"/>
    <x v="1"/>
    <x v="0"/>
    <x v="0"/>
    <x v="234"/>
    <d v="2021-02-03T00:00:00"/>
    <n v="5"/>
    <n v="24"/>
    <n v="48"/>
    <x v="0"/>
  </r>
  <r>
    <n v="262"/>
    <s v="Amber Cooper"/>
    <x v="261"/>
    <x v="10"/>
    <d v="2022-01-03T00:00:00"/>
    <x v="1"/>
    <x v="10"/>
    <x v="1"/>
    <x v="2"/>
    <x v="2"/>
    <x v="189"/>
    <d v="2022-04-23T00:00:00"/>
    <n v="5"/>
    <n v="120"/>
    <n v="120"/>
    <x v="0"/>
  </r>
  <r>
    <n v="263"/>
    <s v="Jason Mack"/>
    <x v="262"/>
    <x v="18"/>
    <d v="2021-08-09T00:00:00"/>
    <x v="4"/>
    <x v="13"/>
    <x v="1"/>
    <x v="0"/>
    <x v="1"/>
    <x v="235"/>
    <d v="2022-07-23T00:00:00"/>
    <m/>
    <n v="24"/>
    <n v="48"/>
    <x v="0"/>
  </r>
  <r>
    <n v="264"/>
    <s v="Michael Stanley"/>
    <x v="263"/>
    <x v="14"/>
    <d v="2022-04-14T00:00:00"/>
    <x v="1"/>
    <x v="11"/>
    <x v="1"/>
    <x v="3"/>
    <x v="3"/>
    <x v="236"/>
    <d v="2022-07-05T00:00:00"/>
    <n v="5"/>
    <n v="192"/>
    <n v="168"/>
    <x v="1"/>
  </r>
  <r>
    <n v="265"/>
    <s v="Cameron Irwin"/>
    <x v="264"/>
    <x v="5"/>
    <d v="2022-11-12T00:00:00"/>
    <x v="1"/>
    <x v="9"/>
    <x v="1"/>
    <x v="3"/>
    <x v="2"/>
    <x v="237"/>
    <d v="2022-12-22T00:00:00"/>
    <m/>
    <n v="48"/>
    <n v="168"/>
    <x v="0"/>
  </r>
  <r>
    <n v="266"/>
    <s v="Jessica Gray"/>
    <x v="265"/>
    <x v="4"/>
    <d v="2020-10-19T00:00:00"/>
    <x v="1"/>
    <x v="14"/>
    <x v="1"/>
    <x v="3"/>
    <x v="3"/>
    <x v="238"/>
    <d v="2021-08-15T00:00:00"/>
    <n v="2"/>
    <n v="72"/>
    <n v="168"/>
    <x v="0"/>
  </r>
  <r>
    <n v="267"/>
    <s v="Molly Rodriguez"/>
    <x v="266"/>
    <x v="12"/>
    <d v="2020-11-16T00:00:00"/>
    <x v="0"/>
    <x v="12"/>
    <x v="3"/>
    <x v="2"/>
    <x v="1"/>
    <x v="239"/>
    <d v="2021-06-10T00:00:00"/>
    <m/>
    <n v="72"/>
    <n v="120"/>
    <x v="0"/>
  </r>
  <r>
    <n v="268"/>
    <s v="Kirk Griffin"/>
    <x v="267"/>
    <x v="1"/>
    <d v="2020-12-30T00:00:00"/>
    <x v="2"/>
    <x v="8"/>
    <x v="0"/>
    <x v="3"/>
    <x v="3"/>
    <x v="240"/>
    <d v="2021-09-13T00:00:00"/>
    <m/>
    <n v="216"/>
    <n v="168"/>
    <x v="1"/>
  </r>
  <r>
    <n v="269"/>
    <s v="Nicole Parsons"/>
    <x v="268"/>
    <x v="0"/>
    <d v="2022-06-13T00:00:00"/>
    <x v="1"/>
    <x v="12"/>
    <x v="1"/>
    <x v="1"/>
    <x v="1"/>
    <x v="241"/>
    <d v="2022-09-02T00:00:00"/>
    <m/>
    <n v="24"/>
    <n v="24"/>
    <x v="0"/>
  </r>
  <r>
    <n v="270"/>
    <s v="Kyle Chambers"/>
    <x v="269"/>
    <x v="11"/>
    <d v="2021-10-04T00:00:00"/>
    <x v="1"/>
    <x v="13"/>
    <x v="1"/>
    <x v="2"/>
    <x v="1"/>
    <x v="242"/>
    <d v="2021-11-24T00:00:00"/>
    <n v="5"/>
    <n v="96"/>
    <n v="120"/>
    <x v="0"/>
  </r>
  <r>
    <n v="271"/>
    <s v="Antonio Fry"/>
    <x v="270"/>
    <x v="14"/>
    <d v="2020-03-13T00:00:00"/>
    <x v="0"/>
    <x v="11"/>
    <x v="0"/>
    <x v="3"/>
    <x v="3"/>
    <x v="243"/>
    <d v="2020-11-02T00:00:00"/>
    <m/>
    <n v="360"/>
    <n v="168"/>
    <x v="1"/>
  </r>
  <r>
    <n v="272"/>
    <s v="Teresa Powers"/>
    <x v="271"/>
    <x v="5"/>
    <d v="2021-08-07T00:00:00"/>
    <x v="4"/>
    <x v="1"/>
    <x v="1"/>
    <x v="2"/>
    <x v="3"/>
    <x v="244"/>
    <d v="2021-08-12T00:00:00"/>
    <n v="4"/>
    <n v="24"/>
    <n v="120"/>
    <x v="0"/>
  </r>
  <r>
    <n v="273"/>
    <s v="Joshua Allen"/>
    <x v="272"/>
    <x v="0"/>
    <d v="2020-03-30T00:00:00"/>
    <x v="4"/>
    <x v="0"/>
    <x v="3"/>
    <x v="3"/>
    <x v="1"/>
    <x v="245"/>
    <d v="2020-05-29T00:00:00"/>
    <m/>
    <n v="192"/>
    <n v="168"/>
    <x v="1"/>
  </r>
  <r>
    <n v="274"/>
    <s v="Tracy Grant"/>
    <x v="273"/>
    <x v="18"/>
    <d v="2022-10-01T00:00:00"/>
    <x v="2"/>
    <x v="7"/>
    <x v="1"/>
    <x v="3"/>
    <x v="1"/>
    <x v="246"/>
    <d v="2023-07-22T00:00:00"/>
    <n v="2"/>
    <n v="144"/>
    <n v="168"/>
    <x v="0"/>
  </r>
  <r>
    <n v="275"/>
    <s v="Jerry Watson"/>
    <x v="274"/>
    <x v="10"/>
    <d v="2022-07-25T00:00:00"/>
    <x v="4"/>
    <x v="3"/>
    <x v="1"/>
    <x v="0"/>
    <x v="1"/>
    <x v="30"/>
    <d v="2022-09-08T00:00:00"/>
    <n v="3"/>
    <n v="24"/>
    <n v="48"/>
    <x v="0"/>
  </r>
  <r>
    <n v="276"/>
    <s v="Benjamin Ballard"/>
    <x v="275"/>
    <x v="9"/>
    <d v="2021-04-15T00:00:00"/>
    <x v="1"/>
    <x v="3"/>
    <x v="1"/>
    <x v="2"/>
    <x v="0"/>
    <x v="247"/>
    <d v="2021-08-25T00:00:00"/>
    <n v="4"/>
    <n v="120"/>
    <n v="120"/>
    <x v="0"/>
  </r>
  <r>
    <n v="277"/>
    <s v="Alexis Giles"/>
    <x v="276"/>
    <x v="18"/>
    <d v="2022-12-16T00:00:00"/>
    <x v="3"/>
    <x v="3"/>
    <x v="2"/>
    <x v="2"/>
    <x v="3"/>
    <x v="248"/>
    <d v="2023-03-24T00:00:00"/>
    <n v="4"/>
    <n v="48"/>
    <n v="120"/>
    <x v="0"/>
  </r>
  <r>
    <n v="278"/>
    <s v="Christine Herman"/>
    <x v="277"/>
    <x v="9"/>
    <d v="2022-10-04T00:00:00"/>
    <x v="2"/>
    <x v="5"/>
    <x v="1"/>
    <x v="1"/>
    <x v="0"/>
    <x v="249"/>
    <d v="2023-07-01T00:00:00"/>
    <n v="4"/>
    <n v="0"/>
    <n v="24"/>
    <x v="0"/>
  </r>
  <r>
    <n v="279"/>
    <s v="Dennis Hunt"/>
    <x v="278"/>
    <x v="3"/>
    <d v="2021-12-30T00:00:00"/>
    <x v="3"/>
    <x v="6"/>
    <x v="0"/>
    <x v="3"/>
    <x v="1"/>
    <x v="250"/>
    <d v="2022-09-17T00:00:00"/>
    <m/>
    <n v="456"/>
    <n v="168"/>
    <x v="1"/>
  </r>
  <r>
    <n v="280"/>
    <s v="Erica Harris"/>
    <x v="279"/>
    <x v="17"/>
    <d v="2020-08-14T00:00:00"/>
    <x v="0"/>
    <x v="7"/>
    <x v="1"/>
    <x v="3"/>
    <x v="3"/>
    <x v="251"/>
    <d v="2021-05-04T00:00:00"/>
    <n v="4"/>
    <n v="96"/>
    <n v="168"/>
    <x v="0"/>
  </r>
  <r>
    <n v="281"/>
    <s v="Juan Silva"/>
    <x v="280"/>
    <x v="9"/>
    <d v="2020-12-23T00:00:00"/>
    <x v="3"/>
    <x v="10"/>
    <x v="1"/>
    <x v="3"/>
    <x v="3"/>
    <x v="49"/>
    <d v="2021-06-04T00:00:00"/>
    <n v="3"/>
    <n v="120"/>
    <n v="168"/>
    <x v="0"/>
  </r>
  <r>
    <n v="282"/>
    <s v="Roy Porter"/>
    <x v="281"/>
    <x v="14"/>
    <d v="2020-09-18T00:00:00"/>
    <x v="4"/>
    <x v="0"/>
    <x v="1"/>
    <x v="3"/>
    <x v="3"/>
    <x v="252"/>
    <d v="2020-10-23T00:00:00"/>
    <n v="3"/>
    <n v="144"/>
    <n v="168"/>
    <x v="0"/>
  </r>
  <r>
    <n v="283"/>
    <s v="Heather Taylor"/>
    <x v="282"/>
    <x v="6"/>
    <d v="2020-04-01T00:00:00"/>
    <x v="1"/>
    <x v="12"/>
    <x v="3"/>
    <x v="2"/>
    <x v="1"/>
    <x v="253"/>
    <d v="2021-03-29T00:00:00"/>
    <m/>
    <n v="72"/>
    <n v="120"/>
    <x v="0"/>
  </r>
  <r>
    <n v="284"/>
    <s v="Sara Jones"/>
    <x v="283"/>
    <x v="11"/>
    <d v="2020-12-25T00:00:00"/>
    <x v="0"/>
    <x v="11"/>
    <x v="1"/>
    <x v="1"/>
    <x v="0"/>
    <x v="254"/>
    <d v="2021-02-23T00:00:00"/>
    <n v="5"/>
    <n v="0"/>
    <n v="24"/>
    <x v="0"/>
  </r>
  <r>
    <n v="285"/>
    <s v="Chris Robinson"/>
    <x v="284"/>
    <x v="5"/>
    <d v="2022-11-01T00:00:00"/>
    <x v="0"/>
    <x v="11"/>
    <x v="1"/>
    <x v="2"/>
    <x v="1"/>
    <x v="255"/>
    <d v="2023-07-24T00:00:00"/>
    <n v="3"/>
    <n v="96"/>
    <n v="120"/>
    <x v="0"/>
  </r>
  <r>
    <n v="286"/>
    <s v="Susan Hopkins"/>
    <x v="285"/>
    <x v="14"/>
    <d v="2020-01-26T00:00:00"/>
    <x v="3"/>
    <x v="2"/>
    <x v="1"/>
    <x v="3"/>
    <x v="1"/>
    <x v="256"/>
    <d v="2020-10-27T00:00:00"/>
    <n v="4"/>
    <n v="360"/>
    <n v="168"/>
    <x v="1"/>
  </r>
  <r>
    <n v="287"/>
    <s v="Denise Madden"/>
    <x v="286"/>
    <x v="16"/>
    <d v="2020-10-05T00:00:00"/>
    <x v="0"/>
    <x v="11"/>
    <x v="1"/>
    <x v="2"/>
    <x v="1"/>
    <x v="257"/>
    <d v="2021-01-30T00:00:00"/>
    <m/>
    <n v="72"/>
    <n v="120"/>
    <x v="0"/>
  </r>
  <r>
    <n v="288"/>
    <s v="Brent Hernandez"/>
    <x v="287"/>
    <x v="3"/>
    <d v="2021-02-19T00:00:00"/>
    <x v="1"/>
    <x v="6"/>
    <x v="0"/>
    <x v="3"/>
    <x v="3"/>
    <x v="258"/>
    <d v="2021-06-21T00:00:00"/>
    <m/>
    <n v="192"/>
    <n v="168"/>
    <x v="1"/>
  </r>
  <r>
    <n v="289"/>
    <s v="Angela Chung"/>
    <x v="288"/>
    <x v="7"/>
    <d v="2021-04-10T00:00:00"/>
    <x v="4"/>
    <x v="9"/>
    <x v="3"/>
    <x v="2"/>
    <x v="0"/>
    <x v="259"/>
    <d v="2021-09-29T00:00:00"/>
    <m/>
    <n v="120"/>
    <n v="120"/>
    <x v="0"/>
  </r>
  <r>
    <n v="290"/>
    <s v="Sarah Valdez"/>
    <x v="289"/>
    <x v="2"/>
    <d v="2022-01-09T00:00:00"/>
    <x v="4"/>
    <x v="8"/>
    <x v="1"/>
    <x v="3"/>
    <x v="0"/>
    <x v="260"/>
    <d v="2022-11-13T00:00:00"/>
    <m/>
    <n v="120"/>
    <n v="168"/>
    <x v="0"/>
  </r>
  <r>
    <n v="291"/>
    <s v="Adam Jackson"/>
    <x v="290"/>
    <x v="8"/>
    <d v="2022-05-29T00:00:00"/>
    <x v="2"/>
    <x v="14"/>
    <x v="0"/>
    <x v="2"/>
    <x v="1"/>
    <x v="261"/>
    <d v="2022-09-28T00:00:00"/>
    <m/>
    <n v="72"/>
    <n v="120"/>
    <x v="0"/>
  </r>
  <r>
    <n v="292"/>
    <s v="Valerie Jacobson"/>
    <x v="291"/>
    <x v="7"/>
    <d v="2022-05-30T00:00:00"/>
    <x v="1"/>
    <x v="0"/>
    <x v="2"/>
    <x v="3"/>
    <x v="1"/>
    <x v="235"/>
    <d v="2022-07-28T00:00:00"/>
    <n v="2"/>
    <n v="144"/>
    <n v="168"/>
    <x v="0"/>
  </r>
  <r>
    <n v="293"/>
    <s v="Anthony Jones"/>
    <x v="292"/>
    <x v="14"/>
    <d v="2021-05-03T00:00:00"/>
    <x v="2"/>
    <x v="0"/>
    <x v="1"/>
    <x v="3"/>
    <x v="3"/>
    <x v="262"/>
    <d v="2022-01-26T00:00:00"/>
    <n v="5"/>
    <n v="48"/>
    <n v="168"/>
    <x v="0"/>
  </r>
  <r>
    <n v="294"/>
    <s v="Daniel Thomas"/>
    <x v="293"/>
    <x v="15"/>
    <d v="2022-05-26T00:00:00"/>
    <x v="1"/>
    <x v="5"/>
    <x v="3"/>
    <x v="0"/>
    <x v="1"/>
    <x v="263"/>
    <d v="2023-01-06T00:00:00"/>
    <m/>
    <n v="72"/>
    <n v="48"/>
    <x v="1"/>
  </r>
  <r>
    <n v="295"/>
    <s v="Ruben Price"/>
    <x v="294"/>
    <x v="5"/>
    <d v="2023-03-04T00:00:00"/>
    <x v="2"/>
    <x v="9"/>
    <x v="1"/>
    <x v="3"/>
    <x v="1"/>
    <x v="264"/>
    <d v="2023-07-27T00:00:00"/>
    <n v="4"/>
    <n v="144"/>
    <n v="168"/>
    <x v="0"/>
  </r>
  <r>
    <n v="296"/>
    <s v="Amy Kim"/>
    <x v="295"/>
    <x v="0"/>
    <d v="2021-09-08T00:00:00"/>
    <x v="1"/>
    <x v="14"/>
    <x v="3"/>
    <x v="3"/>
    <x v="1"/>
    <x v="265"/>
    <d v="2022-06-16T00:00:00"/>
    <m/>
    <n v="168"/>
    <n v="168"/>
    <x v="0"/>
  </r>
  <r>
    <n v="297"/>
    <s v="Erin Walters"/>
    <x v="296"/>
    <x v="15"/>
    <d v="2021-08-06T00:00:00"/>
    <x v="1"/>
    <x v="10"/>
    <x v="1"/>
    <x v="2"/>
    <x v="3"/>
    <x v="266"/>
    <d v="2021-12-02T00:00:00"/>
    <n v="5"/>
    <n v="192"/>
    <n v="120"/>
    <x v="1"/>
  </r>
  <r>
    <n v="298"/>
    <s v="Michael Guerrero"/>
    <x v="297"/>
    <x v="3"/>
    <d v="2023-01-12T00:00:00"/>
    <x v="4"/>
    <x v="0"/>
    <x v="1"/>
    <x v="3"/>
    <x v="1"/>
    <x v="32"/>
    <d v="2023-02-03T00:00:00"/>
    <n v="3"/>
    <n v="144"/>
    <n v="168"/>
    <x v="0"/>
  </r>
  <r>
    <n v="299"/>
    <s v="Derrick James"/>
    <x v="298"/>
    <x v="14"/>
    <d v="2020-05-22T00:00:00"/>
    <x v="3"/>
    <x v="8"/>
    <x v="1"/>
    <x v="2"/>
    <x v="3"/>
    <x v="267"/>
    <d v="2020-07-28T00:00:00"/>
    <m/>
    <n v="24"/>
    <n v="120"/>
    <x v="0"/>
  </r>
  <r>
    <n v="300"/>
    <s v="Eric Ward"/>
    <x v="299"/>
    <x v="10"/>
    <d v="2021-11-28T00:00:00"/>
    <x v="2"/>
    <x v="8"/>
    <x v="1"/>
    <x v="0"/>
    <x v="1"/>
    <x v="268"/>
    <d v="2022-10-26T00:00:00"/>
    <n v="3"/>
    <n v="48"/>
    <n v="48"/>
    <x v="0"/>
  </r>
  <r>
    <n v="301"/>
    <s v="Kayla Garcia"/>
    <x v="300"/>
    <x v="1"/>
    <d v="2023-05-03T00:00:00"/>
    <x v="4"/>
    <x v="10"/>
    <x v="1"/>
    <x v="2"/>
    <x v="1"/>
    <x v="269"/>
    <d v="2023-12-11T00:00:00"/>
    <n v="3"/>
    <n v="24"/>
    <n v="120"/>
    <x v="0"/>
  </r>
  <r>
    <n v="302"/>
    <s v="James Carter"/>
    <x v="301"/>
    <x v="6"/>
    <d v="2021-01-12T00:00:00"/>
    <x v="3"/>
    <x v="10"/>
    <x v="3"/>
    <x v="2"/>
    <x v="3"/>
    <x v="270"/>
    <d v="2021-01-31T00:00:00"/>
    <m/>
    <n v="48"/>
    <n v="120"/>
    <x v="0"/>
  </r>
  <r>
    <n v="303"/>
    <s v="Carolyn James"/>
    <x v="302"/>
    <x v="17"/>
    <d v="2020-04-08T00:00:00"/>
    <x v="3"/>
    <x v="1"/>
    <x v="2"/>
    <x v="2"/>
    <x v="3"/>
    <x v="271"/>
    <d v="2020-06-23T00:00:00"/>
    <n v="5"/>
    <n v="144"/>
    <n v="120"/>
    <x v="1"/>
  </r>
  <r>
    <n v="304"/>
    <s v="Donald Evans"/>
    <x v="303"/>
    <x v="2"/>
    <d v="2022-08-28T00:00:00"/>
    <x v="1"/>
    <x v="7"/>
    <x v="1"/>
    <x v="2"/>
    <x v="1"/>
    <x v="272"/>
    <d v="2023-05-03T00:00:00"/>
    <n v="5"/>
    <n v="72"/>
    <n v="120"/>
    <x v="0"/>
  </r>
  <r>
    <n v="305"/>
    <s v="Luis Ellis Jr."/>
    <x v="304"/>
    <x v="11"/>
    <d v="2021-08-13T00:00:00"/>
    <x v="4"/>
    <x v="11"/>
    <x v="1"/>
    <x v="2"/>
    <x v="1"/>
    <x v="273"/>
    <d v="2021-09-15T00:00:00"/>
    <n v="3"/>
    <n v="96"/>
    <n v="120"/>
    <x v="0"/>
  </r>
  <r>
    <n v="306"/>
    <s v="Erin Cook"/>
    <x v="305"/>
    <x v="12"/>
    <d v="2020-11-08T00:00:00"/>
    <x v="4"/>
    <x v="12"/>
    <x v="1"/>
    <x v="3"/>
    <x v="2"/>
    <x v="148"/>
    <d v="2020-12-17T00:00:00"/>
    <n v="4"/>
    <n v="264"/>
    <n v="168"/>
    <x v="1"/>
  </r>
  <r>
    <n v="307"/>
    <s v="Christopher Sanders"/>
    <x v="306"/>
    <x v="4"/>
    <d v="2021-05-21T00:00:00"/>
    <x v="4"/>
    <x v="14"/>
    <x v="1"/>
    <x v="2"/>
    <x v="1"/>
    <x v="274"/>
    <d v="2022-05-15T00:00:00"/>
    <m/>
    <n v="48"/>
    <n v="120"/>
    <x v="0"/>
  </r>
  <r>
    <n v="308"/>
    <s v="Robert Long"/>
    <x v="307"/>
    <x v="13"/>
    <d v="2020-10-06T00:00:00"/>
    <x v="3"/>
    <x v="5"/>
    <x v="1"/>
    <x v="2"/>
    <x v="3"/>
    <x v="275"/>
    <d v="2021-07-13T00:00:00"/>
    <m/>
    <n v="72"/>
    <n v="120"/>
    <x v="0"/>
  </r>
  <r>
    <n v="309"/>
    <s v="Krista Benton"/>
    <x v="308"/>
    <x v="10"/>
    <d v="2023-05-24T00:00:00"/>
    <x v="4"/>
    <x v="6"/>
    <x v="1"/>
    <x v="0"/>
    <x v="1"/>
    <x v="276"/>
    <d v="2023-07-30T00:00:00"/>
    <n v="3"/>
    <n v="24"/>
    <n v="48"/>
    <x v="0"/>
  </r>
  <r>
    <n v="310"/>
    <s v="Michael Fuentes"/>
    <x v="309"/>
    <x v="18"/>
    <d v="2021-04-15T00:00:00"/>
    <x v="4"/>
    <x v="12"/>
    <x v="1"/>
    <x v="2"/>
    <x v="1"/>
    <x v="77"/>
    <d v="2021-10-24T00:00:00"/>
    <n v="5"/>
    <n v="120"/>
    <n v="120"/>
    <x v="0"/>
  </r>
  <r>
    <n v="311"/>
    <s v="Matthew Espinoza"/>
    <x v="310"/>
    <x v="16"/>
    <d v="2022-06-23T00:00:00"/>
    <x v="1"/>
    <x v="3"/>
    <x v="1"/>
    <x v="2"/>
    <x v="2"/>
    <x v="277"/>
    <d v="2023-05-18T00:00:00"/>
    <n v="4"/>
    <n v="24"/>
    <n v="120"/>
    <x v="0"/>
  </r>
  <r>
    <n v="312"/>
    <s v="Jonathon Knapp"/>
    <x v="311"/>
    <x v="3"/>
    <d v="2022-12-25T00:00:00"/>
    <x v="2"/>
    <x v="14"/>
    <x v="2"/>
    <x v="3"/>
    <x v="2"/>
    <x v="278"/>
    <d v="2023-07-11T00:00:00"/>
    <m/>
    <n v="120"/>
    <n v="168"/>
    <x v="0"/>
  </r>
  <r>
    <n v="313"/>
    <s v="Kimberly Little"/>
    <x v="312"/>
    <x v="1"/>
    <d v="2021-07-05T00:00:00"/>
    <x v="2"/>
    <x v="12"/>
    <x v="1"/>
    <x v="2"/>
    <x v="1"/>
    <x v="279"/>
    <d v="2021-07-24T00:00:00"/>
    <n v="4"/>
    <n v="72"/>
    <n v="120"/>
    <x v="0"/>
  </r>
  <r>
    <n v="314"/>
    <s v="Lonnie Hart"/>
    <x v="313"/>
    <x v="9"/>
    <d v="2020-06-13T00:00:00"/>
    <x v="1"/>
    <x v="9"/>
    <x v="3"/>
    <x v="2"/>
    <x v="3"/>
    <x v="256"/>
    <d v="2020-10-14T00:00:00"/>
    <m/>
    <n v="48"/>
    <n v="120"/>
    <x v="0"/>
  </r>
  <r>
    <n v="315"/>
    <s v="David Dixon"/>
    <x v="314"/>
    <x v="8"/>
    <d v="2022-07-03T00:00:00"/>
    <x v="2"/>
    <x v="13"/>
    <x v="1"/>
    <x v="3"/>
    <x v="1"/>
    <x v="280"/>
    <d v="2022-11-22T00:00:00"/>
    <n v="3"/>
    <n v="168"/>
    <n v="168"/>
    <x v="0"/>
  </r>
  <r>
    <n v="316"/>
    <s v="Brittany Cuevas"/>
    <x v="315"/>
    <x v="3"/>
    <d v="2020-06-29T00:00:00"/>
    <x v="0"/>
    <x v="11"/>
    <x v="0"/>
    <x v="2"/>
    <x v="3"/>
    <x v="281"/>
    <d v="2021-01-30T00:00:00"/>
    <m/>
    <n v="96"/>
    <n v="120"/>
    <x v="0"/>
  </r>
  <r>
    <n v="317"/>
    <s v="Monica Bailey"/>
    <x v="316"/>
    <x v="14"/>
    <d v="2021-06-25T00:00:00"/>
    <x v="3"/>
    <x v="0"/>
    <x v="0"/>
    <x v="3"/>
    <x v="1"/>
    <x v="162"/>
    <d v="2021-09-22T00:00:00"/>
    <m/>
    <n v="144"/>
    <n v="168"/>
    <x v="0"/>
  </r>
  <r>
    <n v="318"/>
    <s v="Jeffrey Horton"/>
    <x v="317"/>
    <x v="4"/>
    <d v="2021-06-16T00:00:00"/>
    <x v="0"/>
    <x v="4"/>
    <x v="2"/>
    <x v="0"/>
    <x v="1"/>
    <x v="273"/>
    <d v="2021-09-12T00:00:00"/>
    <n v="3"/>
    <n v="24"/>
    <n v="48"/>
    <x v="0"/>
  </r>
  <r>
    <n v="319"/>
    <s v="Megan Martin"/>
    <x v="318"/>
    <x v="8"/>
    <d v="2022-05-19T00:00:00"/>
    <x v="4"/>
    <x v="1"/>
    <x v="1"/>
    <x v="0"/>
    <x v="1"/>
    <x v="282"/>
    <d v="2022-12-26T00:00:00"/>
    <n v="5"/>
    <n v="24"/>
    <n v="48"/>
    <x v="0"/>
  </r>
  <r>
    <n v="320"/>
    <s v="Joel Salinas"/>
    <x v="319"/>
    <x v="12"/>
    <d v="2020-02-15T00:00:00"/>
    <x v="3"/>
    <x v="5"/>
    <x v="1"/>
    <x v="2"/>
    <x v="3"/>
    <x v="283"/>
    <d v="2020-07-03T00:00:00"/>
    <n v="3"/>
    <n v="96"/>
    <n v="120"/>
    <x v="0"/>
  </r>
  <r>
    <n v="321"/>
    <s v="Sonya Cole"/>
    <x v="320"/>
    <x v="9"/>
    <d v="2020-11-15T00:00:00"/>
    <x v="1"/>
    <x v="0"/>
    <x v="0"/>
    <x v="2"/>
    <x v="1"/>
    <x v="208"/>
    <d v="2021-04-18T00:00:00"/>
    <m/>
    <n v="96"/>
    <n v="120"/>
    <x v="0"/>
  </r>
  <r>
    <n v="322"/>
    <s v="Michael Flynn"/>
    <x v="321"/>
    <x v="13"/>
    <d v="2021-05-21T00:00:00"/>
    <x v="4"/>
    <x v="5"/>
    <x v="1"/>
    <x v="2"/>
    <x v="3"/>
    <x v="284"/>
    <d v="2021-07-24T00:00:00"/>
    <m/>
    <n v="120"/>
    <n v="120"/>
    <x v="0"/>
  </r>
  <r>
    <n v="323"/>
    <s v="Brian Lambert"/>
    <x v="322"/>
    <x v="2"/>
    <d v="2022-07-16T00:00:00"/>
    <x v="3"/>
    <x v="0"/>
    <x v="1"/>
    <x v="2"/>
    <x v="1"/>
    <x v="285"/>
    <d v="2022-10-20T00:00:00"/>
    <n v="4"/>
    <n v="24"/>
    <n v="120"/>
    <x v="0"/>
  </r>
  <r>
    <n v="324"/>
    <s v="James Wilson"/>
    <x v="323"/>
    <x v="12"/>
    <d v="2023-01-01T00:00:00"/>
    <x v="0"/>
    <x v="11"/>
    <x v="3"/>
    <x v="2"/>
    <x v="1"/>
    <x v="286"/>
    <d v="2023-08-03T00:00:00"/>
    <m/>
    <n v="48"/>
    <n v="120"/>
    <x v="0"/>
  </r>
  <r>
    <n v="325"/>
    <s v="Tamara Lawrence"/>
    <x v="324"/>
    <x v="13"/>
    <d v="2020-10-11T00:00:00"/>
    <x v="0"/>
    <x v="6"/>
    <x v="1"/>
    <x v="2"/>
    <x v="3"/>
    <x v="144"/>
    <d v="2021-08-04T00:00:00"/>
    <n v="3"/>
    <n v="96"/>
    <n v="120"/>
    <x v="0"/>
  </r>
  <r>
    <n v="326"/>
    <s v="Charles Price"/>
    <x v="325"/>
    <x v="6"/>
    <d v="2022-09-14T00:00:00"/>
    <x v="3"/>
    <x v="1"/>
    <x v="1"/>
    <x v="2"/>
    <x v="1"/>
    <x v="287"/>
    <d v="2022-11-15T00:00:00"/>
    <n v="3"/>
    <n v="24"/>
    <n v="120"/>
    <x v="0"/>
  </r>
  <r>
    <n v="327"/>
    <s v="Tamara Arias"/>
    <x v="326"/>
    <x v="16"/>
    <d v="2020-10-17T00:00:00"/>
    <x v="3"/>
    <x v="0"/>
    <x v="3"/>
    <x v="2"/>
    <x v="2"/>
    <x v="270"/>
    <d v="2021-02-02T00:00:00"/>
    <m/>
    <n v="96"/>
    <n v="120"/>
    <x v="0"/>
  </r>
  <r>
    <n v="328"/>
    <s v="Jerry Brown"/>
    <x v="327"/>
    <x v="17"/>
    <d v="2021-08-19T00:00:00"/>
    <x v="0"/>
    <x v="7"/>
    <x v="3"/>
    <x v="2"/>
    <x v="0"/>
    <x v="288"/>
    <d v="2022-06-03T00:00:00"/>
    <m/>
    <n v="96"/>
    <n v="120"/>
    <x v="0"/>
  </r>
  <r>
    <n v="329"/>
    <s v="Kathy Simpson"/>
    <x v="328"/>
    <x v="18"/>
    <d v="2020-09-16T00:00:00"/>
    <x v="3"/>
    <x v="7"/>
    <x v="2"/>
    <x v="0"/>
    <x v="1"/>
    <x v="289"/>
    <d v="2021-04-19T00:00:00"/>
    <n v="5"/>
    <n v="24"/>
    <n v="48"/>
    <x v="0"/>
  </r>
  <r>
    <n v="330"/>
    <s v="Andre Juarez"/>
    <x v="329"/>
    <x v="7"/>
    <d v="2020-09-18T00:00:00"/>
    <x v="4"/>
    <x v="10"/>
    <x v="1"/>
    <x v="3"/>
    <x v="3"/>
    <x v="290"/>
    <d v="2021-06-21T00:00:00"/>
    <n v="4"/>
    <n v="48"/>
    <n v="168"/>
    <x v="0"/>
  </r>
  <r>
    <n v="331"/>
    <s v="Krystal Barton"/>
    <x v="330"/>
    <x v="17"/>
    <d v="2020-06-26T00:00:00"/>
    <x v="1"/>
    <x v="4"/>
    <x v="0"/>
    <x v="3"/>
    <x v="3"/>
    <x v="291"/>
    <d v="2020-07-18T00:00:00"/>
    <m/>
    <n v="72"/>
    <n v="168"/>
    <x v="0"/>
  </r>
  <r>
    <n v="332"/>
    <s v="Joshua Ritter"/>
    <x v="331"/>
    <x v="2"/>
    <d v="2021-10-22T00:00:00"/>
    <x v="4"/>
    <x v="12"/>
    <x v="3"/>
    <x v="3"/>
    <x v="3"/>
    <x v="292"/>
    <d v="2021-11-06T00:00:00"/>
    <m/>
    <n v="120"/>
    <n v="168"/>
    <x v="0"/>
  </r>
  <r>
    <n v="333"/>
    <s v="Ronald Potter"/>
    <x v="332"/>
    <x v="7"/>
    <d v="2021-06-25T00:00:00"/>
    <x v="2"/>
    <x v="13"/>
    <x v="1"/>
    <x v="2"/>
    <x v="1"/>
    <x v="293"/>
    <d v="2022-02-10T00:00:00"/>
    <n v="3"/>
    <n v="96"/>
    <n v="120"/>
    <x v="0"/>
  </r>
  <r>
    <n v="334"/>
    <s v="Angie Grimes"/>
    <x v="333"/>
    <x v="18"/>
    <d v="2022-07-02T00:00:00"/>
    <x v="0"/>
    <x v="4"/>
    <x v="1"/>
    <x v="2"/>
    <x v="1"/>
    <x v="178"/>
    <d v="2023-01-12T00:00:00"/>
    <n v="5"/>
    <n v="72"/>
    <n v="120"/>
    <x v="0"/>
  </r>
  <r>
    <n v="335"/>
    <s v="Shannon Bishop"/>
    <x v="334"/>
    <x v="3"/>
    <d v="2020-11-17T00:00:00"/>
    <x v="1"/>
    <x v="13"/>
    <x v="0"/>
    <x v="0"/>
    <x v="1"/>
    <x v="254"/>
    <d v="2021-02-24T00:00:00"/>
    <m/>
    <n v="24"/>
    <n v="48"/>
    <x v="0"/>
  </r>
  <r>
    <n v="336"/>
    <s v="Laura Patel"/>
    <x v="335"/>
    <x v="10"/>
    <d v="2022-06-08T00:00:00"/>
    <x v="2"/>
    <x v="7"/>
    <x v="1"/>
    <x v="2"/>
    <x v="1"/>
    <x v="156"/>
    <d v="2022-10-31T00:00:00"/>
    <n v="3"/>
    <n v="120"/>
    <n v="120"/>
    <x v="0"/>
  </r>
  <r>
    <n v="337"/>
    <s v="Scott Duke"/>
    <x v="336"/>
    <x v="13"/>
    <d v="2020-04-02T00:00:00"/>
    <x v="3"/>
    <x v="1"/>
    <x v="3"/>
    <x v="2"/>
    <x v="1"/>
    <x v="257"/>
    <d v="2021-01-31T00:00:00"/>
    <m/>
    <n v="96"/>
    <n v="120"/>
    <x v="0"/>
  </r>
  <r>
    <n v="338"/>
    <s v="Sharon Martinez DVM"/>
    <x v="337"/>
    <x v="15"/>
    <d v="2023-03-28T00:00:00"/>
    <x v="2"/>
    <x v="2"/>
    <x v="1"/>
    <x v="3"/>
    <x v="1"/>
    <x v="294"/>
    <d v="2023-06-30T00:00:00"/>
    <n v="2"/>
    <n v="264"/>
    <n v="168"/>
    <x v="1"/>
  </r>
  <r>
    <n v="339"/>
    <s v="Jenna Thomas"/>
    <x v="338"/>
    <x v="8"/>
    <d v="2022-09-11T00:00:00"/>
    <x v="1"/>
    <x v="13"/>
    <x v="0"/>
    <x v="2"/>
    <x v="1"/>
    <x v="21"/>
    <d v="2023-05-13T00:00:00"/>
    <m/>
    <n v="48"/>
    <n v="120"/>
    <x v="0"/>
  </r>
  <r>
    <n v="340"/>
    <s v="Patricia Powell"/>
    <x v="339"/>
    <x v="11"/>
    <d v="2021-05-23T00:00:00"/>
    <x v="0"/>
    <x v="1"/>
    <x v="1"/>
    <x v="3"/>
    <x v="3"/>
    <x v="295"/>
    <d v="2022-01-02T00:00:00"/>
    <n v="4"/>
    <n v="192"/>
    <n v="168"/>
    <x v="1"/>
  </r>
  <r>
    <n v="341"/>
    <s v="Sheila Boone"/>
    <x v="340"/>
    <x v="8"/>
    <d v="2022-12-19T00:00:00"/>
    <x v="3"/>
    <x v="9"/>
    <x v="1"/>
    <x v="3"/>
    <x v="1"/>
    <x v="296"/>
    <d v="2023-09-16T00:00:00"/>
    <n v="4"/>
    <n v="192"/>
    <n v="168"/>
    <x v="1"/>
  </r>
  <r>
    <n v="342"/>
    <s v="Arthur Ferguson"/>
    <x v="341"/>
    <x v="11"/>
    <d v="2021-02-21T00:00:00"/>
    <x v="0"/>
    <x v="6"/>
    <x v="1"/>
    <x v="2"/>
    <x v="1"/>
    <x v="297"/>
    <d v="2022-01-18T00:00:00"/>
    <n v="4"/>
    <n v="96"/>
    <n v="120"/>
    <x v="0"/>
  </r>
  <r>
    <n v="343"/>
    <s v="Drew Kelley"/>
    <x v="342"/>
    <x v="15"/>
    <d v="2022-11-26T00:00:00"/>
    <x v="1"/>
    <x v="10"/>
    <x v="0"/>
    <x v="2"/>
    <x v="3"/>
    <x v="298"/>
    <d v="2023-10-04T00:00:00"/>
    <m/>
    <n v="120"/>
    <n v="120"/>
    <x v="0"/>
  </r>
  <r>
    <n v="344"/>
    <s v="Amber Sims"/>
    <x v="343"/>
    <x v="16"/>
    <d v="2021-12-10T00:00:00"/>
    <x v="4"/>
    <x v="11"/>
    <x v="1"/>
    <x v="1"/>
    <x v="0"/>
    <x v="11"/>
    <d v="2022-07-06T00:00:00"/>
    <n v="4"/>
    <n v="24"/>
    <n v="24"/>
    <x v="0"/>
  </r>
  <r>
    <n v="345"/>
    <s v="Tyler Harris"/>
    <x v="344"/>
    <x v="13"/>
    <d v="2020-05-24T00:00:00"/>
    <x v="2"/>
    <x v="12"/>
    <x v="1"/>
    <x v="2"/>
    <x v="1"/>
    <x v="299"/>
    <d v="2021-05-05T00:00:00"/>
    <n v="4"/>
    <n v="72"/>
    <n v="120"/>
    <x v="0"/>
  </r>
  <r>
    <n v="346"/>
    <s v="Danielle Watson"/>
    <x v="345"/>
    <x v="12"/>
    <d v="2022-12-22T00:00:00"/>
    <x v="2"/>
    <x v="6"/>
    <x v="1"/>
    <x v="3"/>
    <x v="2"/>
    <x v="300"/>
    <d v="2023-03-30T00:00:00"/>
    <m/>
    <n v="120"/>
    <n v="168"/>
    <x v="0"/>
  </r>
  <r>
    <n v="347"/>
    <s v="Jessica Davis"/>
    <x v="346"/>
    <x v="2"/>
    <d v="2022-07-11T00:00:00"/>
    <x v="0"/>
    <x v="7"/>
    <x v="0"/>
    <x v="2"/>
    <x v="3"/>
    <x v="301"/>
    <d v="2022-11-25T00:00:00"/>
    <m/>
    <n v="96"/>
    <n v="120"/>
    <x v="0"/>
  </r>
  <r>
    <n v="348"/>
    <s v="Michael Smith"/>
    <x v="347"/>
    <x v="9"/>
    <d v="2020-04-20T00:00:00"/>
    <x v="4"/>
    <x v="12"/>
    <x v="1"/>
    <x v="2"/>
    <x v="1"/>
    <x v="302"/>
    <d v="2020-12-20T00:00:00"/>
    <m/>
    <n v="72"/>
    <n v="120"/>
    <x v="0"/>
  </r>
  <r>
    <n v="349"/>
    <s v="Brandon Shaffer"/>
    <x v="348"/>
    <x v="4"/>
    <d v="2021-08-17T00:00:00"/>
    <x v="4"/>
    <x v="6"/>
    <x v="0"/>
    <x v="3"/>
    <x v="2"/>
    <x v="303"/>
    <d v="2022-03-22T00:00:00"/>
    <m/>
    <n v="168"/>
    <n v="168"/>
    <x v="0"/>
  </r>
  <r>
    <n v="350"/>
    <s v="Nicole Anderson"/>
    <x v="349"/>
    <x v="9"/>
    <d v="2022-10-06T00:00:00"/>
    <x v="4"/>
    <x v="6"/>
    <x v="0"/>
    <x v="3"/>
    <x v="3"/>
    <x v="304"/>
    <d v="2023-06-24T00:00:00"/>
    <m/>
    <n v="288"/>
    <n v="168"/>
    <x v="1"/>
  </r>
  <r>
    <n v="351"/>
    <s v="Gregory Lewis"/>
    <x v="350"/>
    <x v="3"/>
    <d v="2020-12-03T00:00:00"/>
    <x v="2"/>
    <x v="1"/>
    <x v="0"/>
    <x v="2"/>
    <x v="3"/>
    <x v="259"/>
    <d v="2021-09-29T00:00:00"/>
    <m/>
    <n v="120"/>
    <n v="120"/>
    <x v="0"/>
  </r>
  <r>
    <n v="352"/>
    <s v="Brian Goodwin"/>
    <x v="351"/>
    <x v="16"/>
    <d v="2023-05-13T00:00:00"/>
    <x v="0"/>
    <x v="3"/>
    <x v="0"/>
    <x v="1"/>
    <x v="1"/>
    <x v="305"/>
    <d v="2024-01-12T00:00:00"/>
    <m/>
    <n v="0"/>
    <n v="24"/>
    <x v="0"/>
  </r>
  <r>
    <n v="353"/>
    <s v="Donald Miller"/>
    <x v="352"/>
    <x v="8"/>
    <d v="2022-03-15T00:00:00"/>
    <x v="0"/>
    <x v="7"/>
    <x v="1"/>
    <x v="3"/>
    <x v="1"/>
    <x v="306"/>
    <d v="2023-03-06T00:00:00"/>
    <n v="4"/>
    <n v="240"/>
    <n v="168"/>
    <x v="1"/>
  </r>
  <r>
    <n v="354"/>
    <s v="Chelsea Myers"/>
    <x v="353"/>
    <x v="9"/>
    <d v="2022-02-07T00:00:00"/>
    <x v="4"/>
    <x v="5"/>
    <x v="1"/>
    <x v="2"/>
    <x v="2"/>
    <x v="307"/>
    <d v="2022-03-02T00:00:00"/>
    <m/>
    <n v="0"/>
    <n v="120"/>
    <x v="0"/>
  </r>
  <r>
    <n v="355"/>
    <s v="David Little"/>
    <x v="354"/>
    <x v="13"/>
    <d v="2021-05-06T00:00:00"/>
    <x v="4"/>
    <x v="3"/>
    <x v="0"/>
    <x v="0"/>
    <x v="1"/>
    <x v="308"/>
    <d v="2021-11-06T00:00:00"/>
    <m/>
    <n v="24"/>
    <n v="48"/>
    <x v="0"/>
  </r>
  <r>
    <n v="356"/>
    <s v="Scott Carroll"/>
    <x v="355"/>
    <x v="8"/>
    <d v="2020-01-26T00:00:00"/>
    <x v="0"/>
    <x v="7"/>
    <x v="1"/>
    <x v="0"/>
    <x v="3"/>
    <x v="309"/>
    <d v="2020-11-22T00:00:00"/>
    <n v="4"/>
    <n v="0"/>
    <n v="48"/>
    <x v="0"/>
  </r>
  <r>
    <n v="357"/>
    <s v="Alexis Lewis"/>
    <x v="356"/>
    <x v="15"/>
    <d v="2022-09-03T00:00:00"/>
    <x v="3"/>
    <x v="2"/>
    <x v="0"/>
    <x v="3"/>
    <x v="1"/>
    <x v="310"/>
    <d v="2023-08-14T00:00:00"/>
    <m/>
    <n v="168"/>
    <n v="168"/>
    <x v="0"/>
  </r>
  <r>
    <n v="358"/>
    <s v="Pamela Henderson"/>
    <x v="357"/>
    <x v="11"/>
    <d v="2022-08-14T00:00:00"/>
    <x v="3"/>
    <x v="11"/>
    <x v="0"/>
    <x v="0"/>
    <x v="1"/>
    <x v="311"/>
    <d v="2023-04-16T00:00:00"/>
    <m/>
    <n v="72"/>
    <n v="48"/>
    <x v="1"/>
  </r>
  <r>
    <n v="359"/>
    <s v="Bradley Miller"/>
    <x v="358"/>
    <x v="18"/>
    <d v="2021-08-29T00:00:00"/>
    <x v="1"/>
    <x v="0"/>
    <x v="1"/>
    <x v="3"/>
    <x v="3"/>
    <x v="297"/>
    <d v="2022-01-21T00:00:00"/>
    <n v="4"/>
    <n v="168"/>
    <n v="168"/>
    <x v="0"/>
  </r>
  <r>
    <n v="360"/>
    <s v="Pamela Santos"/>
    <x v="359"/>
    <x v="13"/>
    <d v="2020-03-30T00:00:00"/>
    <x v="4"/>
    <x v="8"/>
    <x v="1"/>
    <x v="3"/>
    <x v="1"/>
    <x v="312"/>
    <d v="2020-07-18T00:00:00"/>
    <n v="2"/>
    <n v="216"/>
    <n v="168"/>
    <x v="1"/>
  </r>
  <r>
    <n v="361"/>
    <s v="Tim Wilson"/>
    <x v="360"/>
    <x v="10"/>
    <d v="2020-09-29T00:00:00"/>
    <x v="4"/>
    <x v="0"/>
    <x v="3"/>
    <x v="2"/>
    <x v="3"/>
    <x v="162"/>
    <d v="2021-09-24T00:00:00"/>
    <m/>
    <n v="192"/>
    <n v="120"/>
    <x v="1"/>
  </r>
  <r>
    <n v="362"/>
    <s v="Michael Miles"/>
    <x v="361"/>
    <x v="18"/>
    <d v="2023-05-01T00:00:00"/>
    <x v="2"/>
    <x v="8"/>
    <x v="2"/>
    <x v="0"/>
    <x v="1"/>
    <x v="313"/>
    <d v="2023-06-10T00:00:00"/>
    <n v="3"/>
    <n v="48"/>
    <n v="48"/>
    <x v="0"/>
  </r>
  <r>
    <n v="363"/>
    <s v="Deanna Watson"/>
    <x v="362"/>
    <x v="3"/>
    <d v="2021-10-28T00:00:00"/>
    <x v="3"/>
    <x v="8"/>
    <x v="1"/>
    <x v="2"/>
    <x v="2"/>
    <x v="314"/>
    <d v="2021-11-22T00:00:00"/>
    <m/>
    <n v="120"/>
    <n v="120"/>
    <x v="0"/>
  </r>
  <r>
    <n v="364"/>
    <s v="Austin Joseph"/>
    <x v="363"/>
    <x v="3"/>
    <d v="2022-02-15T00:00:00"/>
    <x v="4"/>
    <x v="0"/>
    <x v="1"/>
    <x v="2"/>
    <x v="0"/>
    <x v="315"/>
    <d v="2022-08-06T00:00:00"/>
    <n v="4"/>
    <n v="96"/>
    <n v="120"/>
    <x v="0"/>
  </r>
  <r>
    <n v="365"/>
    <s v="Carol Moore"/>
    <x v="364"/>
    <x v="5"/>
    <d v="2020-12-20T00:00:00"/>
    <x v="4"/>
    <x v="13"/>
    <x v="3"/>
    <x v="3"/>
    <x v="1"/>
    <x v="316"/>
    <d v="2021-05-16T00:00:00"/>
    <m/>
    <n v="192"/>
    <n v="168"/>
    <x v="1"/>
  </r>
  <r>
    <n v="366"/>
    <s v="April Trevino"/>
    <x v="365"/>
    <x v="15"/>
    <d v="2020-08-21T00:00:00"/>
    <x v="1"/>
    <x v="7"/>
    <x v="1"/>
    <x v="3"/>
    <x v="3"/>
    <x v="317"/>
    <d v="2020-11-23T00:00:00"/>
    <n v="4"/>
    <n v="312"/>
    <n v="168"/>
    <x v="1"/>
  </r>
  <r>
    <n v="367"/>
    <s v="Tyler Johnson"/>
    <x v="366"/>
    <x v="6"/>
    <d v="2023-01-23T00:00:00"/>
    <x v="1"/>
    <x v="8"/>
    <x v="0"/>
    <x v="0"/>
    <x v="1"/>
    <x v="206"/>
    <d v="2023-09-29T00:00:00"/>
    <m/>
    <n v="48"/>
    <n v="48"/>
    <x v="0"/>
  </r>
  <r>
    <n v="368"/>
    <s v="Roger Duncan"/>
    <x v="367"/>
    <x v="18"/>
    <d v="2020-12-12T00:00:00"/>
    <x v="0"/>
    <x v="0"/>
    <x v="1"/>
    <x v="0"/>
    <x v="3"/>
    <x v="108"/>
    <d v="2021-10-04T00:00:00"/>
    <n v="3"/>
    <n v="24"/>
    <n v="48"/>
    <x v="0"/>
  </r>
  <r>
    <n v="369"/>
    <s v="Vicki Finley"/>
    <x v="368"/>
    <x v="14"/>
    <d v="2021-05-23T00:00:00"/>
    <x v="3"/>
    <x v="8"/>
    <x v="1"/>
    <x v="3"/>
    <x v="2"/>
    <x v="262"/>
    <d v="2022-02-02T00:00:00"/>
    <n v="3"/>
    <n v="216"/>
    <n v="168"/>
    <x v="1"/>
  </r>
  <r>
    <n v="370"/>
    <s v="Jesus Wood"/>
    <x v="369"/>
    <x v="3"/>
    <d v="2021-12-21T00:00:00"/>
    <x v="4"/>
    <x v="5"/>
    <x v="0"/>
    <x v="3"/>
    <x v="3"/>
    <x v="318"/>
    <d v="2022-09-12T00:00:00"/>
    <m/>
    <n v="168"/>
    <n v="168"/>
    <x v="0"/>
  </r>
  <r>
    <n v="371"/>
    <s v="Wesley Cuevas"/>
    <x v="370"/>
    <x v="11"/>
    <d v="2020-08-21T00:00:00"/>
    <x v="0"/>
    <x v="9"/>
    <x v="1"/>
    <x v="2"/>
    <x v="1"/>
    <x v="319"/>
    <d v="2020-09-18T00:00:00"/>
    <n v="4"/>
    <n v="72"/>
    <n v="120"/>
    <x v="0"/>
  </r>
  <r>
    <n v="372"/>
    <s v="Jason Hall"/>
    <x v="371"/>
    <x v="13"/>
    <d v="2023-03-24T00:00:00"/>
    <x v="3"/>
    <x v="2"/>
    <x v="0"/>
    <x v="3"/>
    <x v="1"/>
    <x v="320"/>
    <d v="2023-11-14T00:00:00"/>
    <m/>
    <n v="168"/>
    <n v="168"/>
    <x v="0"/>
  </r>
  <r>
    <n v="373"/>
    <s v="Sarah Acosta"/>
    <x v="372"/>
    <x v="12"/>
    <d v="2022-02-03T00:00:00"/>
    <x v="2"/>
    <x v="5"/>
    <x v="3"/>
    <x v="3"/>
    <x v="3"/>
    <x v="321"/>
    <d v="2022-02-12T00:00:00"/>
    <m/>
    <n v="216"/>
    <n v="168"/>
    <x v="1"/>
  </r>
  <r>
    <n v="374"/>
    <s v="Valerie Thomas"/>
    <x v="373"/>
    <x v="2"/>
    <d v="2022-12-24T00:00:00"/>
    <x v="1"/>
    <x v="13"/>
    <x v="1"/>
    <x v="3"/>
    <x v="0"/>
    <x v="322"/>
    <d v="2023-01-25T00:00:00"/>
    <n v="4"/>
    <n v="120"/>
    <n v="168"/>
    <x v="0"/>
  </r>
  <r>
    <n v="375"/>
    <s v="Judy Adkins"/>
    <x v="374"/>
    <x v="0"/>
    <d v="2020-04-26T00:00:00"/>
    <x v="3"/>
    <x v="8"/>
    <x v="1"/>
    <x v="2"/>
    <x v="3"/>
    <x v="323"/>
    <d v="2021-03-31T00:00:00"/>
    <m/>
    <n v="48"/>
    <n v="120"/>
    <x v="0"/>
  </r>
  <r>
    <n v="376"/>
    <s v="Amy Bates"/>
    <x v="375"/>
    <x v="13"/>
    <d v="2023-05-29T00:00:00"/>
    <x v="2"/>
    <x v="3"/>
    <x v="1"/>
    <x v="3"/>
    <x v="1"/>
    <x v="324"/>
    <d v="2023-08-13T00:00:00"/>
    <n v="4"/>
    <n v="120"/>
    <n v="168"/>
    <x v="0"/>
  </r>
  <r>
    <n v="377"/>
    <s v="Ronnie Nguyen"/>
    <x v="376"/>
    <x v="10"/>
    <d v="2020-07-30T00:00:00"/>
    <x v="2"/>
    <x v="9"/>
    <x v="1"/>
    <x v="2"/>
    <x v="0"/>
    <x v="325"/>
    <d v="2021-01-24T00:00:00"/>
    <n v="3"/>
    <n v="120"/>
    <n v="120"/>
    <x v="0"/>
  </r>
  <r>
    <n v="378"/>
    <s v="Lauren Moore"/>
    <x v="377"/>
    <x v="18"/>
    <d v="2022-04-12T00:00:00"/>
    <x v="0"/>
    <x v="6"/>
    <x v="1"/>
    <x v="1"/>
    <x v="3"/>
    <x v="326"/>
    <d v="2022-06-21T00:00:00"/>
    <m/>
    <n v="24"/>
    <n v="24"/>
    <x v="0"/>
  </r>
  <r>
    <n v="379"/>
    <s v="Randy Hayes"/>
    <x v="378"/>
    <x v="3"/>
    <d v="2020-09-01T00:00:00"/>
    <x v="0"/>
    <x v="4"/>
    <x v="1"/>
    <x v="3"/>
    <x v="2"/>
    <x v="327"/>
    <d v="2021-08-31T00:00:00"/>
    <n v="4"/>
    <n v="240"/>
    <n v="168"/>
    <x v="1"/>
  </r>
  <r>
    <n v="380"/>
    <s v="Elizabeth Bush"/>
    <x v="379"/>
    <x v="14"/>
    <d v="2020-05-21T00:00:00"/>
    <x v="0"/>
    <x v="10"/>
    <x v="1"/>
    <x v="2"/>
    <x v="3"/>
    <x v="328"/>
    <d v="2020-10-15T00:00:00"/>
    <n v="3"/>
    <n v="168"/>
    <n v="120"/>
    <x v="1"/>
  </r>
  <r>
    <n v="381"/>
    <s v="Tracy Foster"/>
    <x v="380"/>
    <x v="12"/>
    <d v="2020-02-18T00:00:00"/>
    <x v="1"/>
    <x v="4"/>
    <x v="1"/>
    <x v="3"/>
    <x v="1"/>
    <x v="267"/>
    <d v="2020-07-30T00:00:00"/>
    <n v="3"/>
    <n v="72"/>
    <n v="168"/>
    <x v="0"/>
  </r>
  <r>
    <n v="382"/>
    <s v="Sarah Hawkins"/>
    <x v="381"/>
    <x v="3"/>
    <d v="2020-07-07T00:00:00"/>
    <x v="2"/>
    <x v="11"/>
    <x v="1"/>
    <x v="2"/>
    <x v="3"/>
    <x v="329"/>
    <d v="2021-03-27T00:00:00"/>
    <n v="5"/>
    <n v="144"/>
    <n v="120"/>
    <x v="1"/>
  </r>
  <r>
    <n v="383"/>
    <s v="Ronald Haas"/>
    <x v="382"/>
    <x v="12"/>
    <d v="2022-09-06T00:00:00"/>
    <x v="3"/>
    <x v="3"/>
    <x v="0"/>
    <x v="2"/>
    <x v="1"/>
    <x v="330"/>
    <d v="2023-02-06T00:00:00"/>
    <m/>
    <n v="168"/>
    <n v="120"/>
    <x v="1"/>
  </r>
  <r>
    <n v="384"/>
    <s v="Angela Willis"/>
    <x v="383"/>
    <x v="11"/>
    <d v="2021-11-19T00:00:00"/>
    <x v="4"/>
    <x v="6"/>
    <x v="0"/>
    <x v="3"/>
    <x v="0"/>
    <x v="331"/>
    <d v="2022-02-17T00:00:00"/>
    <m/>
    <n v="168"/>
    <n v="168"/>
    <x v="0"/>
  </r>
  <r>
    <n v="385"/>
    <s v="Anna Boone"/>
    <x v="384"/>
    <x v="12"/>
    <d v="2022-06-10T00:00:00"/>
    <x v="0"/>
    <x v="1"/>
    <x v="1"/>
    <x v="2"/>
    <x v="1"/>
    <x v="332"/>
    <d v="2022-06-28T00:00:00"/>
    <n v="5"/>
    <n v="48"/>
    <n v="120"/>
    <x v="0"/>
  </r>
  <r>
    <n v="386"/>
    <s v="Nathaniel Crawford"/>
    <x v="385"/>
    <x v="7"/>
    <d v="2020-11-29T00:00:00"/>
    <x v="0"/>
    <x v="8"/>
    <x v="2"/>
    <x v="3"/>
    <x v="1"/>
    <x v="333"/>
    <d v="2021-11-25T00:00:00"/>
    <n v="4"/>
    <n v="168"/>
    <n v="168"/>
    <x v="0"/>
  </r>
  <r>
    <n v="387"/>
    <s v="Denise Griffin"/>
    <x v="386"/>
    <x v="11"/>
    <d v="2022-10-02T00:00:00"/>
    <x v="1"/>
    <x v="6"/>
    <x v="3"/>
    <x v="3"/>
    <x v="0"/>
    <x v="334"/>
    <d v="2023-01-22T00:00:00"/>
    <m/>
    <n v="216"/>
    <n v="168"/>
    <x v="1"/>
  </r>
  <r>
    <n v="388"/>
    <s v="Jason Pierce"/>
    <x v="387"/>
    <x v="1"/>
    <d v="2020-11-05T00:00:00"/>
    <x v="3"/>
    <x v="12"/>
    <x v="1"/>
    <x v="0"/>
    <x v="2"/>
    <x v="244"/>
    <d v="2021-08-13T00:00:00"/>
    <m/>
    <n v="48"/>
    <n v="48"/>
    <x v="0"/>
  </r>
  <r>
    <n v="389"/>
    <s v="Rebecca Wright"/>
    <x v="388"/>
    <x v="18"/>
    <d v="2022-01-15T00:00:00"/>
    <x v="1"/>
    <x v="8"/>
    <x v="0"/>
    <x v="2"/>
    <x v="3"/>
    <x v="335"/>
    <d v="2022-03-21T00:00:00"/>
    <m/>
    <n v="96"/>
    <n v="120"/>
    <x v="0"/>
  </r>
  <r>
    <n v="390"/>
    <s v="Kari Durham"/>
    <x v="389"/>
    <x v="4"/>
    <d v="2022-07-16T00:00:00"/>
    <x v="0"/>
    <x v="14"/>
    <x v="1"/>
    <x v="0"/>
    <x v="2"/>
    <x v="336"/>
    <d v="2023-03-12T00:00:00"/>
    <n v="4"/>
    <n v="24"/>
    <n v="48"/>
    <x v="0"/>
  </r>
  <r>
    <n v="391"/>
    <s v="Steven Osborne"/>
    <x v="390"/>
    <x v="13"/>
    <d v="2023-04-06T00:00:00"/>
    <x v="0"/>
    <x v="12"/>
    <x v="2"/>
    <x v="0"/>
    <x v="3"/>
    <x v="337"/>
    <d v="2024-01-27T00:00:00"/>
    <n v="5"/>
    <n v="72"/>
    <n v="48"/>
    <x v="1"/>
  </r>
  <r>
    <n v="392"/>
    <s v="Crystal Moore"/>
    <x v="391"/>
    <x v="12"/>
    <d v="2020-03-27T00:00:00"/>
    <x v="0"/>
    <x v="2"/>
    <x v="1"/>
    <x v="0"/>
    <x v="1"/>
    <x v="338"/>
    <d v="2020-10-22T00:00:00"/>
    <n v="4"/>
    <n v="72"/>
    <n v="48"/>
    <x v="1"/>
  </r>
  <r>
    <n v="393"/>
    <s v="Theresa Johnston"/>
    <x v="392"/>
    <x v="12"/>
    <d v="2021-01-02T00:00:00"/>
    <x v="3"/>
    <x v="11"/>
    <x v="1"/>
    <x v="3"/>
    <x v="3"/>
    <x v="339"/>
    <d v="2021-12-04T00:00:00"/>
    <m/>
    <n v="96"/>
    <n v="168"/>
    <x v="0"/>
  </r>
  <r>
    <n v="394"/>
    <s v="Renee Wolfe"/>
    <x v="393"/>
    <x v="17"/>
    <d v="2022-05-25T00:00:00"/>
    <x v="0"/>
    <x v="9"/>
    <x v="3"/>
    <x v="2"/>
    <x v="1"/>
    <x v="235"/>
    <d v="2022-07-25T00:00:00"/>
    <m/>
    <n v="72"/>
    <n v="120"/>
    <x v="0"/>
  </r>
  <r>
    <n v="395"/>
    <s v="Travis Copeland"/>
    <x v="394"/>
    <x v="13"/>
    <d v="2020-02-28T00:00:00"/>
    <x v="0"/>
    <x v="2"/>
    <x v="0"/>
    <x v="3"/>
    <x v="1"/>
    <x v="340"/>
    <d v="2020-03-28T00:00:00"/>
    <m/>
    <n v="168"/>
    <n v="168"/>
    <x v="0"/>
  </r>
  <r>
    <n v="396"/>
    <s v="David Robinson"/>
    <x v="395"/>
    <x v="8"/>
    <d v="2020-07-21T00:00:00"/>
    <x v="0"/>
    <x v="14"/>
    <x v="1"/>
    <x v="3"/>
    <x v="1"/>
    <x v="341"/>
    <d v="2021-06-16T00:00:00"/>
    <n v="3"/>
    <n v="240"/>
    <n v="168"/>
    <x v="1"/>
  </r>
  <r>
    <n v="397"/>
    <s v="Christopher Lang"/>
    <x v="396"/>
    <x v="16"/>
    <d v="2020-08-08T00:00:00"/>
    <x v="3"/>
    <x v="0"/>
    <x v="0"/>
    <x v="0"/>
    <x v="0"/>
    <x v="342"/>
    <d v="2021-07-08T00:00:00"/>
    <m/>
    <n v="72"/>
    <n v="48"/>
    <x v="1"/>
  </r>
  <r>
    <n v="398"/>
    <s v="Sarah Valencia"/>
    <x v="397"/>
    <x v="9"/>
    <d v="2022-06-29T00:00:00"/>
    <x v="2"/>
    <x v="11"/>
    <x v="3"/>
    <x v="2"/>
    <x v="1"/>
    <x v="343"/>
    <d v="2022-07-29T00:00:00"/>
    <m/>
    <n v="72"/>
    <n v="120"/>
    <x v="0"/>
  </r>
  <r>
    <n v="399"/>
    <s v="Eric Taylor"/>
    <x v="398"/>
    <x v="17"/>
    <d v="2022-01-26T00:00:00"/>
    <x v="3"/>
    <x v="6"/>
    <x v="0"/>
    <x v="2"/>
    <x v="0"/>
    <x v="344"/>
    <d v="2022-09-07T00:00:00"/>
    <m/>
    <n v="72"/>
    <n v="120"/>
    <x v="0"/>
  </r>
  <r>
    <n v="400"/>
    <s v="Carrie Novak"/>
    <x v="399"/>
    <x v="1"/>
    <d v="2021-04-21T00:00:00"/>
    <x v="1"/>
    <x v="7"/>
    <x v="0"/>
    <x v="0"/>
    <x v="0"/>
    <x v="345"/>
    <d v="2021-05-15T00:00:00"/>
    <m/>
    <n v="24"/>
    <n v="48"/>
    <x v="0"/>
  </r>
  <r>
    <n v="401"/>
    <s v="Elizabeth Thompson"/>
    <x v="400"/>
    <x v="9"/>
    <d v="2023-04-12T00:00:00"/>
    <x v="4"/>
    <x v="13"/>
    <x v="1"/>
    <x v="2"/>
    <x v="3"/>
    <x v="346"/>
    <d v="2023-09-04T00:00:00"/>
    <n v="5"/>
    <n v="24"/>
    <n v="120"/>
    <x v="0"/>
  </r>
  <r>
    <n v="402"/>
    <s v="Amanda Guzman"/>
    <x v="401"/>
    <x v="12"/>
    <d v="2020-08-06T00:00:00"/>
    <x v="1"/>
    <x v="8"/>
    <x v="3"/>
    <x v="0"/>
    <x v="0"/>
    <x v="347"/>
    <d v="2021-01-07T00:00:00"/>
    <m/>
    <n v="48"/>
    <n v="48"/>
    <x v="0"/>
  </r>
  <r>
    <n v="403"/>
    <s v="Blake Reed"/>
    <x v="402"/>
    <x v="12"/>
    <d v="2020-01-18T00:00:00"/>
    <x v="4"/>
    <x v="13"/>
    <x v="1"/>
    <x v="1"/>
    <x v="1"/>
    <x v="348"/>
    <d v="2020-10-28T00:00:00"/>
    <n v="3"/>
    <n v="0"/>
    <n v="24"/>
    <x v="0"/>
  </r>
  <r>
    <n v="404"/>
    <s v="David Jones"/>
    <x v="403"/>
    <x v="2"/>
    <d v="2021-11-11T00:00:00"/>
    <x v="4"/>
    <x v="0"/>
    <x v="1"/>
    <x v="2"/>
    <x v="0"/>
    <x v="349"/>
    <d v="2022-03-02T00:00:00"/>
    <n v="5"/>
    <n v="72"/>
    <n v="120"/>
    <x v="0"/>
  </r>
  <r>
    <n v="405"/>
    <s v="Tracy Wilkerson"/>
    <x v="404"/>
    <x v="1"/>
    <d v="2021-08-06T00:00:00"/>
    <x v="3"/>
    <x v="10"/>
    <x v="1"/>
    <x v="3"/>
    <x v="1"/>
    <x v="350"/>
    <d v="2021-09-08T00:00:00"/>
    <n v="3"/>
    <n v="144"/>
    <n v="168"/>
    <x v="0"/>
  </r>
  <r>
    <n v="406"/>
    <s v="John Shields"/>
    <x v="405"/>
    <x v="1"/>
    <d v="2021-04-03T00:00:00"/>
    <x v="4"/>
    <x v="5"/>
    <x v="1"/>
    <x v="2"/>
    <x v="1"/>
    <x v="351"/>
    <d v="2021-12-12T00:00:00"/>
    <n v="4"/>
    <n v="72"/>
    <n v="120"/>
    <x v="0"/>
  </r>
  <r>
    <n v="407"/>
    <s v="Dean Garcia"/>
    <x v="406"/>
    <x v="4"/>
    <d v="2020-04-26T00:00:00"/>
    <x v="4"/>
    <x v="8"/>
    <x v="3"/>
    <x v="3"/>
    <x v="2"/>
    <x v="352"/>
    <d v="2021-03-07T00:00:00"/>
    <m/>
    <n v="0"/>
    <n v="168"/>
    <x v="0"/>
  </r>
  <r>
    <n v="408"/>
    <s v="Stephanie Davis"/>
    <x v="407"/>
    <x v="4"/>
    <d v="2020-09-13T00:00:00"/>
    <x v="1"/>
    <x v="4"/>
    <x v="1"/>
    <x v="3"/>
    <x v="3"/>
    <x v="353"/>
    <d v="2021-01-23T00:00:00"/>
    <n v="4"/>
    <n v="144"/>
    <n v="168"/>
    <x v="0"/>
  </r>
  <r>
    <n v="409"/>
    <s v="Jessica Brown"/>
    <x v="408"/>
    <x v="5"/>
    <d v="2022-05-10T00:00:00"/>
    <x v="4"/>
    <x v="4"/>
    <x v="1"/>
    <x v="2"/>
    <x v="1"/>
    <x v="128"/>
    <d v="2022-11-14T00:00:00"/>
    <n v="5"/>
    <n v="120"/>
    <n v="120"/>
    <x v="0"/>
  </r>
  <r>
    <n v="410"/>
    <s v="Monica Baker"/>
    <x v="409"/>
    <x v="11"/>
    <d v="2022-06-07T00:00:00"/>
    <x v="0"/>
    <x v="3"/>
    <x v="3"/>
    <x v="0"/>
    <x v="3"/>
    <x v="200"/>
    <d v="2023-05-10T00:00:00"/>
    <m/>
    <n v="408"/>
    <n v="48"/>
    <x v="1"/>
  </r>
  <r>
    <n v="411"/>
    <s v="Katherine Brown"/>
    <x v="410"/>
    <x v="15"/>
    <d v="2022-08-29T00:00:00"/>
    <x v="0"/>
    <x v="13"/>
    <x v="1"/>
    <x v="3"/>
    <x v="1"/>
    <x v="354"/>
    <d v="2023-06-13T00:00:00"/>
    <m/>
    <n v="144"/>
    <n v="168"/>
    <x v="0"/>
  </r>
  <r>
    <n v="412"/>
    <s v="Christina Johnson"/>
    <x v="411"/>
    <x v="6"/>
    <d v="2020-06-28T00:00:00"/>
    <x v="0"/>
    <x v="11"/>
    <x v="0"/>
    <x v="0"/>
    <x v="1"/>
    <x v="355"/>
    <d v="2021-02-21T00:00:00"/>
    <m/>
    <n v="24"/>
    <n v="48"/>
    <x v="0"/>
  </r>
  <r>
    <n v="413"/>
    <s v="James Burns"/>
    <x v="412"/>
    <x v="3"/>
    <d v="2021-07-30T00:00:00"/>
    <x v="2"/>
    <x v="5"/>
    <x v="3"/>
    <x v="0"/>
    <x v="1"/>
    <x v="356"/>
    <d v="2022-04-23T00:00:00"/>
    <m/>
    <n v="96"/>
    <n v="48"/>
    <x v="1"/>
  </r>
  <r>
    <n v="414"/>
    <s v="Jaclyn Griffin"/>
    <x v="413"/>
    <x v="15"/>
    <d v="2022-05-26T00:00:00"/>
    <x v="1"/>
    <x v="1"/>
    <x v="1"/>
    <x v="0"/>
    <x v="3"/>
    <x v="357"/>
    <d v="2022-09-17T00:00:00"/>
    <n v="4"/>
    <n v="48"/>
    <n v="48"/>
    <x v="0"/>
  </r>
  <r>
    <n v="415"/>
    <s v="Paul Contreras"/>
    <x v="414"/>
    <x v="5"/>
    <d v="2023-03-21T00:00:00"/>
    <x v="1"/>
    <x v="7"/>
    <x v="1"/>
    <x v="2"/>
    <x v="1"/>
    <x v="311"/>
    <d v="2023-04-16T00:00:00"/>
    <n v="4"/>
    <n v="72"/>
    <n v="120"/>
    <x v="0"/>
  </r>
  <r>
    <n v="416"/>
    <s v="Kristen Randall"/>
    <x v="415"/>
    <x v="3"/>
    <d v="2022-06-08T00:00:00"/>
    <x v="4"/>
    <x v="2"/>
    <x v="1"/>
    <x v="2"/>
    <x v="1"/>
    <x v="358"/>
    <d v="2022-12-20T00:00:00"/>
    <n v="4"/>
    <n v="72"/>
    <n v="120"/>
    <x v="0"/>
  </r>
  <r>
    <n v="417"/>
    <s v="Karen Miller"/>
    <x v="416"/>
    <x v="2"/>
    <d v="2022-11-18T00:00:00"/>
    <x v="1"/>
    <x v="3"/>
    <x v="1"/>
    <x v="3"/>
    <x v="3"/>
    <x v="168"/>
    <d v="2023-08-10T00:00:00"/>
    <n v="4"/>
    <n v="384"/>
    <n v="168"/>
    <x v="1"/>
  </r>
  <r>
    <n v="418"/>
    <s v="Mrs. Tiffany Cole"/>
    <x v="417"/>
    <x v="3"/>
    <d v="2020-03-07T00:00:00"/>
    <x v="2"/>
    <x v="9"/>
    <x v="1"/>
    <x v="3"/>
    <x v="1"/>
    <x v="359"/>
    <d v="2020-09-13T00:00:00"/>
    <n v="3"/>
    <n v="120"/>
    <n v="168"/>
    <x v="0"/>
  </r>
  <r>
    <n v="419"/>
    <s v="William Graham"/>
    <x v="418"/>
    <x v="3"/>
    <d v="2020-04-14T00:00:00"/>
    <x v="3"/>
    <x v="4"/>
    <x v="1"/>
    <x v="1"/>
    <x v="3"/>
    <x v="20"/>
    <d v="2021-03-12T00:00:00"/>
    <n v="4"/>
    <n v="24"/>
    <n v="24"/>
    <x v="0"/>
  </r>
  <r>
    <n v="420"/>
    <s v="Justin Arnold"/>
    <x v="419"/>
    <x v="15"/>
    <d v="2022-03-22T00:00:00"/>
    <x v="1"/>
    <x v="0"/>
    <x v="1"/>
    <x v="0"/>
    <x v="1"/>
    <x v="360"/>
    <d v="2022-06-18T00:00:00"/>
    <n v="2"/>
    <n v="72"/>
    <n v="48"/>
    <x v="1"/>
  </r>
  <r>
    <n v="421"/>
    <s v="Ashley Hernandez"/>
    <x v="420"/>
    <x v="13"/>
    <d v="2023-05-05T00:00:00"/>
    <x v="0"/>
    <x v="10"/>
    <x v="3"/>
    <x v="3"/>
    <x v="1"/>
    <x v="361"/>
    <d v="2024-01-16T00:00:00"/>
    <m/>
    <n v="240"/>
    <n v="168"/>
    <x v="1"/>
  </r>
  <r>
    <n v="422"/>
    <s v="Joseph Cooper"/>
    <x v="421"/>
    <x v="3"/>
    <d v="2022-06-07T00:00:00"/>
    <x v="4"/>
    <x v="2"/>
    <x v="1"/>
    <x v="2"/>
    <x v="1"/>
    <x v="362"/>
    <d v="2023-05-29T00:00:00"/>
    <m/>
    <n v="120"/>
    <n v="120"/>
    <x v="0"/>
  </r>
  <r>
    <n v="423"/>
    <s v="Amanda Hill"/>
    <x v="422"/>
    <x v="18"/>
    <d v="2020-03-01T00:00:00"/>
    <x v="0"/>
    <x v="2"/>
    <x v="1"/>
    <x v="0"/>
    <x v="1"/>
    <x v="363"/>
    <d v="2021-02-14T00:00:00"/>
    <n v="4"/>
    <n v="0"/>
    <n v="48"/>
    <x v="0"/>
  </r>
  <r>
    <n v="424"/>
    <s v="Shawn Vaughn"/>
    <x v="423"/>
    <x v="9"/>
    <d v="2020-02-01T00:00:00"/>
    <x v="2"/>
    <x v="2"/>
    <x v="0"/>
    <x v="3"/>
    <x v="2"/>
    <x v="364"/>
    <d v="2020-10-09T00:00:00"/>
    <m/>
    <n v="120"/>
    <n v="168"/>
    <x v="0"/>
  </r>
  <r>
    <n v="425"/>
    <s v="Riley Collins"/>
    <x v="424"/>
    <x v="16"/>
    <d v="2020-12-20T00:00:00"/>
    <x v="1"/>
    <x v="7"/>
    <x v="1"/>
    <x v="3"/>
    <x v="0"/>
    <x v="365"/>
    <d v="2021-06-30T00:00:00"/>
    <n v="3"/>
    <n v="72"/>
    <n v="168"/>
    <x v="0"/>
  </r>
  <r>
    <n v="426"/>
    <s v="William Ramos"/>
    <x v="425"/>
    <x v="1"/>
    <d v="2020-05-18T00:00:00"/>
    <x v="0"/>
    <x v="1"/>
    <x v="1"/>
    <x v="2"/>
    <x v="3"/>
    <x v="366"/>
    <d v="2020-07-09T00:00:00"/>
    <n v="5"/>
    <n v="48"/>
    <n v="120"/>
    <x v="0"/>
  </r>
  <r>
    <n v="427"/>
    <s v="Daniel Holloway"/>
    <x v="426"/>
    <x v="8"/>
    <d v="2022-03-11T00:00:00"/>
    <x v="1"/>
    <x v="1"/>
    <x v="1"/>
    <x v="1"/>
    <x v="1"/>
    <x v="367"/>
    <d v="2023-03-10T00:00:00"/>
    <n v="5"/>
    <n v="24"/>
    <n v="24"/>
    <x v="0"/>
  </r>
  <r>
    <n v="428"/>
    <s v="Ana Mckinney"/>
    <x v="427"/>
    <x v="6"/>
    <d v="2020-02-14T00:00:00"/>
    <x v="2"/>
    <x v="6"/>
    <x v="1"/>
    <x v="2"/>
    <x v="1"/>
    <x v="59"/>
    <d v="2020-09-24T00:00:00"/>
    <n v="3"/>
    <n v="120"/>
    <n v="120"/>
    <x v="0"/>
  </r>
  <r>
    <n v="429"/>
    <s v="Shaun Gonzalez"/>
    <x v="428"/>
    <x v="12"/>
    <d v="2022-12-30T00:00:00"/>
    <x v="2"/>
    <x v="13"/>
    <x v="1"/>
    <x v="2"/>
    <x v="1"/>
    <x v="173"/>
    <d v="2023-10-14T00:00:00"/>
    <n v="4"/>
    <n v="72"/>
    <n v="120"/>
    <x v="0"/>
  </r>
  <r>
    <n v="430"/>
    <s v="Jacob Marshall"/>
    <x v="429"/>
    <x v="0"/>
    <d v="2020-02-17T00:00:00"/>
    <x v="0"/>
    <x v="7"/>
    <x v="1"/>
    <x v="3"/>
    <x v="1"/>
    <x v="368"/>
    <d v="2020-06-16T00:00:00"/>
    <n v="5"/>
    <n v="72"/>
    <n v="168"/>
    <x v="0"/>
  </r>
  <r>
    <n v="431"/>
    <s v="John Griffin"/>
    <x v="430"/>
    <x v="15"/>
    <d v="2020-09-11T00:00:00"/>
    <x v="3"/>
    <x v="0"/>
    <x v="1"/>
    <x v="2"/>
    <x v="3"/>
    <x v="369"/>
    <d v="2020-12-05T00:00:00"/>
    <n v="4"/>
    <n v="72"/>
    <n v="120"/>
    <x v="0"/>
  </r>
  <r>
    <n v="432"/>
    <s v="Deanna Rivas"/>
    <x v="431"/>
    <x v="2"/>
    <d v="2022-06-07T00:00:00"/>
    <x v="0"/>
    <x v="8"/>
    <x v="1"/>
    <x v="3"/>
    <x v="1"/>
    <x v="370"/>
    <d v="2022-07-25T00:00:00"/>
    <m/>
    <n v="192"/>
    <n v="168"/>
    <x v="1"/>
  </r>
  <r>
    <n v="433"/>
    <s v="Cindy Walker"/>
    <x v="432"/>
    <x v="3"/>
    <d v="2022-03-08T00:00:00"/>
    <x v="0"/>
    <x v="2"/>
    <x v="1"/>
    <x v="1"/>
    <x v="1"/>
    <x v="371"/>
    <d v="2023-01-30T00:00:00"/>
    <n v="4"/>
    <n v="24"/>
    <n v="24"/>
    <x v="0"/>
  </r>
  <r>
    <n v="434"/>
    <s v="Richard Saunders"/>
    <x v="433"/>
    <x v="14"/>
    <d v="2022-07-22T00:00:00"/>
    <x v="1"/>
    <x v="6"/>
    <x v="0"/>
    <x v="1"/>
    <x v="1"/>
    <x v="372"/>
    <d v="2023-06-02T00:00:00"/>
    <m/>
    <n v="24"/>
    <n v="24"/>
    <x v="0"/>
  </r>
  <r>
    <n v="435"/>
    <s v="Courtney Franklin"/>
    <x v="434"/>
    <x v="17"/>
    <d v="2021-06-25T00:00:00"/>
    <x v="3"/>
    <x v="2"/>
    <x v="0"/>
    <x v="2"/>
    <x v="0"/>
    <x v="373"/>
    <d v="2021-12-24T00:00:00"/>
    <m/>
    <n v="48"/>
    <n v="120"/>
    <x v="0"/>
  </r>
  <r>
    <n v="436"/>
    <s v="Daniel Turner"/>
    <x v="435"/>
    <x v="7"/>
    <d v="2022-10-25T00:00:00"/>
    <x v="2"/>
    <x v="7"/>
    <x v="1"/>
    <x v="2"/>
    <x v="1"/>
    <x v="310"/>
    <d v="2023-08-11T00:00:00"/>
    <n v="4"/>
    <n v="96"/>
    <n v="120"/>
    <x v="0"/>
  </r>
  <r>
    <n v="437"/>
    <s v="Sara Hoffman"/>
    <x v="436"/>
    <x v="3"/>
    <d v="2021-06-06T00:00:00"/>
    <x v="1"/>
    <x v="4"/>
    <x v="1"/>
    <x v="2"/>
    <x v="3"/>
    <x v="374"/>
    <d v="2022-01-03T00:00:00"/>
    <n v="4"/>
    <n v="72"/>
    <n v="120"/>
    <x v="0"/>
  </r>
  <r>
    <n v="438"/>
    <s v="Margaret Hensley MD"/>
    <x v="437"/>
    <x v="1"/>
    <d v="2023-05-31T00:00:00"/>
    <x v="2"/>
    <x v="11"/>
    <x v="3"/>
    <x v="3"/>
    <x v="2"/>
    <x v="375"/>
    <d v="2023-10-09T00:00:00"/>
    <m/>
    <n v="72"/>
    <n v="168"/>
    <x v="0"/>
  </r>
  <r>
    <n v="439"/>
    <s v="Jennifer Flores"/>
    <x v="438"/>
    <x v="5"/>
    <d v="2021-02-07T00:00:00"/>
    <x v="4"/>
    <x v="6"/>
    <x v="3"/>
    <x v="2"/>
    <x v="1"/>
    <x v="376"/>
    <d v="2021-12-09T00:00:00"/>
    <m/>
    <n v="120"/>
    <n v="120"/>
    <x v="0"/>
  </r>
  <r>
    <n v="440"/>
    <s v="Jennifer Doyle"/>
    <x v="439"/>
    <x v="4"/>
    <d v="2022-04-10T00:00:00"/>
    <x v="1"/>
    <x v="0"/>
    <x v="1"/>
    <x v="2"/>
    <x v="3"/>
    <x v="260"/>
    <d v="2022-11-22T00:00:00"/>
    <n v="4"/>
    <n v="336"/>
    <n v="120"/>
    <x v="1"/>
  </r>
  <r>
    <n v="441"/>
    <s v="Karen Shepard"/>
    <x v="440"/>
    <x v="3"/>
    <d v="2021-04-01T00:00:00"/>
    <x v="4"/>
    <x v="9"/>
    <x v="1"/>
    <x v="0"/>
    <x v="2"/>
    <x v="339"/>
    <d v="2021-12-02T00:00:00"/>
    <n v="3"/>
    <n v="48"/>
    <n v="48"/>
    <x v="0"/>
  </r>
  <r>
    <n v="442"/>
    <s v="Carl Green"/>
    <x v="441"/>
    <x v="14"/>
    <d v="2020-05-18T00:00:00"/>
    <x v="3"/>
    <x v="0"/>
    <x v="1"/>
    <x v="0"/>
    <x v="1"/>
    <x v="377"/>
    <d v="2020-09-18T00:00:00"/>
    <m/>
    <n v="0"/>
    <n v="48"/>
    <x v="0"/>
  </r>
  <r>
    <n v="443"/>
    <s v="Daniel Savage"/>
    <x v="442"/>
    <x v="13"/>
    <d v="2021-02-08T00:00:00"/>
    <x v="0"/>
    <x v="14"/>
    <x v="1"/>
    <x v="3"/>
    <x v="1"/>
    <x v="378"/>
    <d v="2021-12-21T00:00:00"/>
    <n v="4"/>
    <n v="48"/>
    <n v="168"/>
    <x v="0"/>
  </r>
  <r>
    <n v="444"/>
    <s v="Julie Wilson"/>
    <x v="443"/>
    <x v="3"/>
    <d v="2020-04-20T00:00:00"/>
    <x v="2"/>
    <x v="2"/>
    <x v="0"/>
    <x v="0"/>
    <x v="0"/>
    <x v="379"/>
    <d v="2021-01-06T00:00:00"/>
    <m/>
    <n v="0"/>
    <n v="48"/>
    <x v="0"/>
  </r>
  <r>
    <n v="445"/>
    <s v="Cory Wilson"/>
    <x v="444"/>
    <x v="15"/>
    <d v="2020-08-22T00:00:00"/>
    <x v="1"/>
    <x v="13"/>
    <x v="1"/>
    <x v="3"/>
    <x v="3"/>
    <x v="205"/>
    <d v="2021-05-17T00:00:00"/>
    <n v="2"/>
    <n v="264"/>
    <n v="168"/>
    <x v="1"/>
  </r>
  <r>
    <n v="446"/>
    <s v="Curtis Ortiz"/>
    <x v="445"/>
    <x v="10"/>
    <d v="2023-04-25T00:00:00"/>
    <x v="2"/>
    <x v="7"/>
    <x v="1"/>
    <x v="2"/>
    <x v="1"/>
    <x v="380"/>
    <d v="2023-11-11T00:00:00"/>
    <n v="4"/>
    <n v="144"/>
    <n v="120"/>
    <x v="1"/>
  </r>
  <r>
    <n v="447"/>
    <s v="Gary Hatfield"/>
    <x v="446"/>
    <x v="3"/>
    <d v="2020-11-21T00:00:00"/>
    <x v="0"/>
    <x v="12"/>
    <x v="1"/>
    <x v="2"/>
    <x v="3"/>
    <x v="381"/>
    <d v="2021-08-06T00:00:00"/>
    <m/>
    <n v="72"/>
    <n v="120"/>
    <x v="0"/>
  </r>
  <r>
    <n v="448"/>
    <s v="Caroline Duran"/>
    <x v="447"/>
    <x v="14"/>
    <d v="2020-07-20T00:00:00"/>
    <x v="4"/>
    <x v="9"/>
    <x v="1"/>
    <x v="3"/>
    <x v="0"/>
    <x v="204"/>
    <d v="2020-09-14T00:00:00"/>
    <n v="4"/>
    <n v="120"/>
    <n v="168"/>
    <x v="0"/>
  </r>
  <r>
    <n v="449"/>
    <s v="Madeline Powell"/>
    <x v="448"/>
    <x v="3"/>
    <d v="2020-11-05T00:00:00"/>
    <x v="1"/>
    <x v="10"/>
    <x v="1"/>
    <x v="3"/>
    <x v="0"/>
    <x v="1"/>
    <d v="2021-06-14T00:00:00"/>
    <n v="5"/>
    <n v="144"/>
    <n v="168"/>
    <x v="0"/>
  </r>
  <r>
    <n v="450"/>
    <s v="Tiffany Mcclain"/>
    <x v="449"/>
    <x v="1"/>
    <d v="2021-01-21T00:00:00"/>
    <x v="2"/>
    <x v="13"/>
    <x v="1"/>
    <x v="3"/>
    <x v="3"/>
    <x v="363"/>
    <d v="2021-02-21T00:00:00"/>
    <n v="4"/>
    <n v="168"/>
    <n v="168"/>
    <x v="0"/>
  </r>
  <r>
    <n v="451"/>
    <s v="Shawn Collins"/>
    <x v="450"/>
    <x v="2"/>
    <d v="2020-04-11T00:00:00"/>
    <x v="0"/>
    <x v="3"/>
    <x v="0"/>
    <x v="3"/>
    <x v="1"/>
    <x v="256"/>
    <d v="2020-10-17T00:00:00"/>
    <m/>
    <n v="120"/>
    <n v="168"/>
    <x v="0"/>
  </r>
  <r>
    <n v="452"/>
    <s v="Elizabeth Carter"/>
    <x v="451"/>
    <x v="1"/>
    <d v="2021-07-12T00:00:00"/>
    <x v="2"/>
    <x v="4"/>
    <x v="1"/>
    <x v="2"/>
    <x v="3"/>
    <x v="382"/>
    <d v="2022-05-05T00:00:00"/>
    <n v="4"/>
    <n v="72"/>
    <n v="120"/>
    <x v="0"/>
  </r>
  <r>
    <n v="453"/>
    <s v="Carmen Meadows"/>
    <x v="452"/>
    <x v="7"/>
    <d v="2020-07-22T00:00:00"/>
    <x v="0"/>
    <x v="1"/>
    <x v="1"/>
    <x v="0"/>
    <x v="3"/>
    <x v="131"/>
    <d v="2021-03-16T00:00:00"/>
    <n v="3"/>
    <n v="0"/>
    <n v="48"/>
    <x v="0"/>
  </r>
  <r>
    <n v="454"/>
    <s v="Alex Wagner"/>
    <x v="453"/>
    <x v="9"/>
    <d v="2021-08-05T00:00:00"/>
    <x v="1"/>
    <x v="4"/>
    <x v="1"/>
    <x v="0"/>
    <x v="3"/>
    <x v="383"/>
    <d v="2021-09-16T00:00:00"/>
    <n v="4"/>
    <n v="48"/>
    <n v="48"/>
    <x v="0"/>
  </r>
  <r>
    <n v="455"/>
    <s v="Dawn Nichols"/>
    <x v="454"/>
    <x v="2"/>
    <d v="2022-10-12T00:00:00"/>
    <x v="1"/>
    <x v="13"/>
    <x v="1"/>
    <x v="2"/>
    <x v="1"/>
    <x v="324"/>
    <d v="2023-08-11T00:00:00"/>
    <n v="4"/>
    <n v="72"/>
    <n v="120"/>
    <x v="0"/>
  </r>
  <r>
    <n v="456"/>
    <s v="Amber Wilson"/>
    <x v="455"/>
    <x v="9"/>
    <d v="2022-01-06T00:00:00"/>
    <x v="2"/>
    <x v="2"/>
    <x v="1"/>
    <x v="0"/>
    <x v="1"/>
    <x v="384"/>
    <d v="2022-04-25T00:00:00"/>
    <n v="4"/>
    <n v="48"/>
    <n v="48"/>
    <x v="0"/>
  </r>
  <r>
    <n v="457"/>
    <s v="Christine Jennings"/>
    <x v="456"/>
    <x v="9"/>
    <d v="2022-03-19T00:00:00"/>
    <x v="1"/>
    <x v="9"/>
    <x v="1"/>
    <x v="0"/>
    <x v="1"/>
    <x v="385"/>
    <d v="2022-05-12T00:00:00"/>
    <n v="4"/>
    <n v="24"/>
    <n v="48"/>
    <x v="0"/>
  </r>
  <r>
    <n v="458"/>
    <s v="Larry Taylor"/>
    <x v="457"/>
    <x v="6"/>
    <d v="2020-06-26T00:00:00"/>
    <x v="0"/>
    <x v="4"/>
    <x v="1"/>
    <x v="1"/>
    <x v="3"/>
    <x v="386"/>
    <d v="2021-03-22T00:00:00"/>
    <n v="4"/>
    <n v="0"/>
    <n v="24"/>
    <x v="0"/>
  </r>
  <r>
    <n v="459"/>
    <s v="Kathleen Lynch"/>
    <x v="458"/>
    <x v="5"/>
    <d v="2021-09-28T00:00:00"/>
    <x v="0"/>
    <x v="1"/>
    <x v="1"/>
    <x v="3"/>
    <x v="3"/>
    <x v="387"/>
    <d v="2021-12-09T00:00:00"/>
    <n v="5"/>
    <n v="48"/>
    <n v="168"/>
    <x v="0"/>
  </r>
  <r>
    <n v="460"/>
    <s v="Andrew Crawford"/>
    <x v="459"/>
    <x v="12"/>
    <d v="2020-01-05T00:00:00"/>
    <x v="2"/>
    <x v="10"/>
    <x v="0"/>
    <x v="2"/>
    <x v="1"/>
    <x v="388"/>
    <d v="2020-06-15T00:00:00"/>
    <m/>
    <n v="96"/>
    <n v="120"/>
    <x v="0"/>
  </r>
  <r>
    <n v="461"/>
    <s v="Brandon Rodriguez"/>
    <x v="460"/>
    <x v="6"/>
    <d v="2020-04-26T00:00:00"/>
    <x v="0"/>
    <x v="8"/>
    <x v="0"/>
    <x v="2"/>
    <x v="1"/>
    <x v="389"/>
    <d v="2020-10-02T00:00:00"/>
    <m/>
    <n v="96"/>
    <n v="120"/>
    <x v="0"/>
  </r>
  <r>
    <n v="462"/>
    <s v="Ashley Scott"/>
    <x v="461"/>
    <x v="13"/>
    <d v="2021-12-22T00:00:00"/>
    <x v="4"/>
    <x v="1"/>
    <x v="3"/>
    <x v="3"/>
    <x v="3"/>
    <x v="390"/>
    <d v="2022-09-01T00:00:00"/>
    <m/>
    <n v="216"/>
    <n v="168"/>
    <x v="1"/>
  </r>
  <r>
    <n v="463"/>
    <s v="Robert Sawyer"/>
    <x v="462"/>
    <x v="12"/>
    <d v="2020-06-29T00:00:00"/>
    <x v="2"/>
    <x v="11"/>
    <x v="1"/>
    <x v="0"/>
    <x v="1"/>
    <x v="391"/>
    <d v="2021-02-10T00:00:00"/>
    <n v="5"/>
    <n v="72"/>
    <n v="48"/>
    <x v="1"/>
  </r>
  <r>
    <n v="464"/>
    <s v="Peter Williams"/>
    <x v="463"/>
    <x v="11"/>
    <d v="2021-11-10T00:00:00"/>
    <x v="3"/>
    <x v="11"/>
    <x v="1"/>
    <x v="2"/>
    <x v="1"/>
    <x v="392"/>
    <d v="2022-04-05T00:00:00"/>
    <n v="3"/>
    <n v="24"/>
    <n v="120"/>
    <x v="0"/>
  </r>
  <r>
    <n v="465"/>
    <s v="Debra Quinn"/>
    <x v="464"/>
    <x v="5"/>
    <d v="2021-09-13T00:00:00"/>
    <x v="3"/>
    <x v="10"/>
    <x v="2"/>
    <x v="2"/>
    <x v="1"/>
    <x v="393"/>
    <d v="2022-02-02T00:00:00"/>
    <n v="4"/>
    <n v="72"/>
    <n v="120"/>
    <x v="0"/>
  </r>
  <r>
    <n v="466"/>
    <s v="Denise Cruz"/>
    <x v="465"/>
    <x v="5"/>
    <d v="2020-06-24T00:00:00"/>
    <x v="1"/>
    <x v="9"/>
    <x v="1"/>
    <x v="0"/>
    <x v="0"/>
    <x v="394"/>
    <d v="2020-06-30T00:00:00"/>
    <n v="3"/>
    <n v="48"/>
    <n v="48"/>
    <x v="0"/>
  </r>
  <r>
    <n v="467"/>
    <s v="Nicholas Jarvis"/>
    <x v="466"/>
    <x v="15"/>
    <d v="2023-05-31T00:00:00"/>
    <x v="4"/>
    <x v="3"/>
    <x v="1"/>
    <x v="3"/>
    <x v="3"/>
    <x v="395"/>
    <d v="2023-11-23T00:00:00"/>
    <m/>
    <n v="168"/>
    <n v="168"/>
    <x v="0"/>
  </r>
  <r>
    <n v="468"/>
    <s v="Jessica Carr"/>
    <x v="467"/>
    <x v="11"/>
    <d v="2020-06-24T00:00:00"/>
    <x v="3"/>
    <x v="3"/>
    <x v="3"/>
    <x v="0"/>
    <x v="1"/>
    <x v="347"/>
    <d v="2021-01-06T00:00:00"/>
    <m/>
    <n v="24"/>
    <n v="48"/>
    <x v="0"/>
  </r>
  <r>
    <n v="469"/>
    <s v="Jessica Brown"/>
    <x v="468"/>
    <x v="5"/>
    <d v="2022-05-27T00:00:00"/>
    <x v="3"/>
    <x v="13"/>
    <x v="1"/>
    <x v="3"/>
    <x v="1"/>
    <x v="396"/>
    <d v="2022-07-19T00:00:00"/>
    <m/>
    <n v="120"/>
    <n v="168"/>
    <x v="0"/>
  </r>
  <r>
    <n v="470"/>
    <s v="Tyler Marks"/>
    <x v="469"/>
    <x v="18"/>
    <d v="2021-06-21T00:00:00"/>
    <x v="3"/>
    <x v="3"/>
    <x v="3"/>
    <x v="2"/>
    <x v="1"/>
    <x v="397"/>
    <d v="2021-08-23T00:00:00"/>
    <m/>
    <n v="24"/>
    <n v="120"/>
    <x v="0"/>
  </r>
  <r>
    <n v="471"/>
    <s v="Margaret Hernandez"/>
    <x v="470"/>
    <x v="16"/>
    <d v="2021-12-30T00:00:00"/>
    <x v="0"/>
    <x v="6"/>
    <x v="1"/>
    <x v="3"/>
    <x v="2"/>
    <x v="398"/>
    <d v="2022-06-18T00:00:00"/>
    <n v="3"/>
    <n v="96"/>
    <n v="168"/>
    <x v="0"/>
  </r>
  <r>
    <n v="472"/>
    <s v="Sheila Jones"/>
    <x v="471"/>
    <x v="6"/>
    <d v="2020-03-19T00:00:00"/>
    <x v="3"/>
    <x v="8"/>
    <x v="1"/>
    <x v="0"/>
    <x v="2"/>
    <x v="399"/>
    <d v="2020-09-26T00:00:00"/>
    <n v="5"/>
    <n v="24"/>
    <n v="48"/>
    <x v="0"/>
  </r>
  <r>
    <n v="473"/>
    <s v="Krista Gray"/>
    <x v="472"/>
    <x v="6"/>
    <d v="2021-11-27T00:00:00"/>
    <x v="1"/>
    <x v="6"/>
    <x v="1"/>
    <x v="0"/>
    <x v="3"/>
    <x v="301"/>
    <d v="2022-11-22T00:00:00"/>
    <m/>
    <n v="24"/>
    <n v="48"/>
    <x v="0"/>
  </r>
  <r>
    <n v="474"/>
    <s v="Jonathan Stewart"/>
    <x v="473"/>
    <x v="10"/>
    <d v="2021-09-18T00:00:00"/>
    <x v="1"/>
    <x v="2"/>
    <x v="1"/>
    <x v="2"/>
    <x v="1"/>
    <x v="221"/>
    <d v="2021-10-06T00:00:00"/>
    <n v="4"/>
    <n v="192"/>
    <n v="120"/>
    <x v="1"/>
  </r>
  <r>
    <n v="475"/>
    <s v="Justin Smith"/>
    <x v="474"/>
    <x v="10"/>
    <d v="2021-04-18T00:00:00"/>
    <x v="0"/>
    <x v="12"/>
    <x v="3"/>
    <x v="2"/>
    <x v="2"/>
    <x v="400"/>
    <d v="2022-02-06T00:00:00"/>
    <m/>
    <n v="96"/>
    <n v="120"/>
    <x v="0"/>
  </r>
  <r>
    <n v="476"/>
    <s v="Kristina Pena"/>
    <x v="475"/>
    <x v="9"/>
    <d v="2020-12-12T00:00:00"/>
    <x v="2"/>
    <x v="13"/>
    <x v="0"/>
    <x v="2"/>
    <x v="3"/>
    <x v="401"/>
    <d v="2021-09-11T00:00:00"/>
    <m/>
    <n v="48"/>
    <n v="120"/>
    <x v="0"/>
  </r>
  <r>
    <n v="477"/>
    <s v="Evelyn Saunders"/>
    <x v="476"/>
    <x v="3"/>
    <d v="2021-12-03T00:00:00"/>
    <x v="2"/>
    <x v="3"/>
    <x v="1"/>
    <x v="2"/>
    <x v="2"/>
    <x v="402"/>
    <d v="2021-12-17T00:00:00"/>
    <n v="4"/>
    <n v="120"/>
    <n v="120"/>
    <x v="0"/>
  </r>
  <r>
    <n v="478"/>
    <s v="Peter Walker"/>
    <x v="477"/>
    <x v="13"/>
    <d v="2021-08-03T00:00:00"/>
    <x v="3"/>
    <x v="14"/>
    <x v="1"/>
    <x v="2"/>
    <x v="3"/>
    <x v="403"/>
    <d v="2022-05-16T00:00:00"/>
    <m/>
    <n v="96"/>
    <n v="120"/>
    <x v="0"/>
  </r>
  <r>
    <n v="479"/>
    <s v="Amber Martin"/>
    <x v="478"/>
    <x v="3"/>
    <d v="2020-06-15T00:00:00"/>
    <x v="0"/>
    <x v="7"/>
    <x v="3"/>
    <x v="2"/>
    <x v="3"/>
    <x v="404"/>
    <d v="2020-07-09T00:00:00"/>
    <m/>
    <n v="192"/>
    <n v="120"/>
    <x v="1"/>
  </r>
  <r>
    <n v="480"/>
    <s v="Craig Martinez"/>
    <x v="479"/>
    <x v="1"/>
    <d v="2023-01-18T00:00:00"/>
    <x v="2"/>
    <x v="4"/>
    <x v="0"/>
    <x v="0"/>
    <x v="2"/>
    <x v="158"/>
    <d v="2023-05-30T00:00:00"/>
    <m/>
    <n v="24"/>
    <n v="48"/>
    <x v="0"/>
  </r>
  <r>
    <n v="481"/>
    <s v="Peter Williams"/>
    <x v="480"/>
    <x v="9"/>
    <d v="2022-07-04T00:00:00"/>
    <x v="3"/>
    <x v="14"/>
    <x v="1"/>
    <x v="1"/>
    <x v="1"/>
    <x v="405"/>
    <d v="2023-03-01T00:00:00"/>
    <n v="3"/>
    <n v="24"/>
    <n v="24"/>
    <x v="0"/>
  </r>
  <r>
    <n v="482"/>
    <s v="Brandy Porter"/>
    <x v="481"/>
    <x v="18"/>
    <d v="2022-01-20T00:00:00"/>
    <x v="4"/>
    <x v="2"/>
    <x v="1"/>
    <x v="3"/>
    <x v="1"/>
    <x v="130"/>
    <d v="2022-02-15T00:00:00"/>
    <n v="5"/>
    <n v="144"/>
    <n v="168"/>
    <x v="0"/>
  </r>
  <r>
    <n v="483"/>
    <s v="Priscilla Kent"/>
    <x v="482"/>
    <x v="10"/>
    <d v="2022-10-18T00:00:00"/>
    <x v="0"/>
    <x v="5"/>
    <x v="1"/>
    <x v="2"/>
    <x v="0"/>
    <x v="406"/>
    <d v="2023-07-16T00:00:00"/>
    <n v="5"/>
    <n v="48"/>
    <n v="120"/>
    <x v="0"/>
  </r>
  <r>
    <n v="484"/>
    <s v="Sonya Gordon"/>
    <x v="483"/>
    <x v="16"/>
    <d v="2023-03-30T00:00:00"/>
    <x v="2"/>
    <x v="4"/>
    <x v="1"/>
    <x v="0"/>
    <x v="2"/>
    <x v="407"/>
    <d v="2023-05-24T00:00:00"/>
    <n v="4"/>
    <n v="48"/>
    <n v="48"/>
    <x v="0"/>
  </r>
  <r>
    <n v="485"/>
    <s v="James Cooper"/>
    <x v="484"/>
    <x v="4"/>
    <d v="2022-07-24T00:00:00"/>
    <x v="0"/>
    <x v="3"/>
    <x v="1"/>
    <x v="2"/>
    <x v="0"/>
    <x v="408"/>
    <d v="2023-05-07T00:00:00"/>
    <n v="5"/>
    <n v="120"/>
    <n v="120"/>
    <x v="0"/>
  </r>
  <r>
    <n v="486"/>
    <s v="Nicole Evans"/>
    <x v="485"/>
    <x v="10"/>
    <d v="2020-11-21T00:00:00"/>
    <x v="3"/>
    <x v="10"/>
    <x v="1"/>
    <x v="3"/>
    <x v="1"/>
    <x v="409"/>
    <d v="2021-06-09T00:00:00"/>
    <n v="3"/>
    <n v="192"/>
    <n v="168"/>
    <x v="1"/>
  </r>
  <r>
    <n v="487"/>
    <s v="Donna Reed"/>
    <x v="486"/>
    <x v="18"/>
    <d v="2022-02-21T00:00:00"/>
    <x v="1"/>
    <x v="4"/>
    <x v="3"/>
    <x v="2"/>
    <x v="1"/>
    <x v="382"/>
    <d v="2022-05-04T00:00:00"/>
    <m/>
    <n v="48"/>
    <n v="120"/>
    <x v="0"/>
  </r>
  <r>
    <n v="488"/>
    <s v="Mallory Page"/>
    <x v="487"/>
    <x v="12"/>
    <d v="2023-01-08T00:00:00"/>
    <x v="4"/>
    <x v="10"/>
    <x v="0"/>
    <x v="3"/>
    <x v="1"/>
    <x v="410"/>
    <d v="2023-10-02T00:00:00"/>
    <m/>
    <n v="144"/>
    <n v="168"/>
    <x v="0"/>
  </r>
  <r>
    <n v="489"/>
    <s v="Paul Skinner"/>
    <x v="488"/>
    <x v="2"/>
    <d v="2020-06-14T00:00:00"/>
    <x v="3"/>
    <x v="13"/>
    <x v="1"/>
    <x v="2"/>
    <x v="1"/>
    <x v="411"/>
    <d v="2021-04-11T00:00:00"/>
    <n v="4"/>
    <n v="72"/>
    <n v="120"/>
    <x v="0"/>
  </r>
  <r>
    <n v="490"/>
    <s v="Charles Santiago"/>
    <x v="489"/>
    <x v="13"/>
    <d v="2022-11-27T00:00:00"/>
    <x v="3"/>
    <x v="13"/>
    <x v="1"/>
    <x v="3"/>
    <x v="3"/>
    <x v="121"/>
    <d v="2023-03-02T00:00:00"/>
    <n v="3"/>
    <n v="168"/>
    <n v="168"/>
    <x v="0"/>
  </r>
  <r>
    <n v="491"/>
    <s v="Ryan Vaughn"/>
    <x v="490"/>
    <x v="17"/>
    <d v="2021-12-04T00:00:00"/>
    <x v="3"/>
    <x v="14"/>
    <x v="1"/>
    <x v="3"/>
    <x v="2"/>
    <x v="412"/>
    <d v="2022-01-21T00:00:00"/>
    <n v="4"/>
    <n v="192"/>
    <n v="168"/>
    <x v="1"/>
  </r>
  <r>
    <n v="492"/>
    <s v="Sean Stevenson"/>
    <x v="491"/>
    <x v="8"/>
    <d v="2022-03-04T00:00:00"/>
    <x v="4"/>
    <x v="5"/>
    <x v="0"/>
    <x v="2"/>
    <x v="3"/>
    <x v="413"/>
    <d v="2023-01-26T00:00:00"/>
    <m/>
    <n v="96"/>
    <n v="120"/>
    <x v="0"/>
  </r>
  <r>
    <n v="493"/>
    <s v="Rebecca Roberts"/>
    <x v="492"/>
    <x v="18"/>
    <d v="2021-04-30T00:00:00"/>
    <x v="0"/>
    <x v="0"/>
    <x v="1"/>
    <x v="1"/>
    <x v="3"/>
    <x v="414"/>
    <d v="2022-04-23T00:00:00"/>
    <n v="5"/>
    <n v="24"/>
    <n v="24"/>
    <x v="0"/>
  </r>
  <r>
    <n v="494"/>
    <s v="Amy Manning"/>
    <x v="493"/>
    <x v="7"/>
    <d v="2020-12-16T00:00:00"/>
    <x v="2"/>
    <x v="2"/>
    <x v="1"/>
    <x v="2"/>
    <x v="1"/>
    <x v="342"/>
    <d v="2021-07-09T00:00:00"/>
    <n v="4"/>
    <n v="96"/>
    <n v="120"/>
    <x v="0"/>
  </r>
  <r>
    <n v="495"/>
    <s v="Michele Holland"/>
    <x v="494"/>
    <x v="6"/>
    <d v="2021-11-28T00:00:00"/>
    <x v="0"/>
    <x v="3"/>
    <x v="1"/>
    <x v="0"/>
    <x v="2"/>
    <x v="415"/>
    <d v="2022-02-05T00:00:00"/>
    <n v="4"/>
    <n v="0"/>
    <n v="48"/>
    <x v="0"/>
  </r>
  <r>
    <n v="496"/>
    <s v="Michael Lopez"/>
    <x v="495"/>
    <x v="11"/>
    <d v="2021-10-27T00:00:00"/>
    <x v="1"/>
    <x v="5"/>
    <x v="1"/>
    <x v="3"/>
    <x v="1"/>
    <x v="416"/>
    <d v="2022-06-11T00:00:00"/>
    <n v="4"/>
    <n v="168"/>
    <n v="168"/>
    <x v="0"/>
  </r>
  <r>
    <n v="497"/>
    <s v="Dennis Martin"/>
    <x v="496"/>
    <x v="8"/>
    <d v="2020-08-26T00:00:00"/>
    <x v="4"/>
    <x v="3"/>
    <x v="1"/>
    <x v="2"/>
    <x v="1"/>
    <x v="270"/>
    <d v="2021-01-30T00:00:00"/>
    <n v="3"/>
    <n v="24"/>
    <n v="120"/>
    <x v="0"/>
  </r>
  <r>
    <n v="498"/>
    <s v="Linda Ayala"/>
    <x v="497"/>
    <x v="6"/>
    <d v="2020-04-23T00:00:00"/>
    <x v="3"/>
    <x v="5"/>
    <x v="3"/>
    <x v="1"/>
    <x v="0"/>
    <x v="417"/>
    <d v="2020-06-06T00:00:00"/>
    <m/>
    <n v="24"/>
    <n v="24"/>
    <x v="0"/>
  </r>
  <r>
    <n v="499"/>
    <s v="Emily Robinson"/>
    <x v="498"/>
    <x v="0"/>
    <d v="2021-10-08T00:00:00"/>
    <x v="1"/>
    <x v="2"/>
    <x v="1"/>
    <x v="1"/>
    <x v="3"/>
    <x v="104"/>
    <d v="2022-03-13T00:00:00"/>
    <n v="5"/>
    <n v="0"/>
    <n v="24"/>
    <x v="0"/>
  </r>
  <r>
    <n v="500"/>
    <s v="Jennifer Bailey"/>
    <x v="499"/>
    <x v="6"/>
    <d v="2020-12-05T00:00:00"/>
    <x v="1"/>
    <x v="3"/>
    <x v="0"/>
    <x v="1"/>
    <x v="1"/>
    <x v="418"/>
    <d v="2021-11-26T00:00:00"/>
    <m/>
    <n v="24"/>
    <n v="24"/>
    <x v="0"/>
  </r>
  <r>
    <n v="501"/>
    <s v="Lisa Wells"/>
    <x v="500"/>
    <x v="11"/>
    <d v="2022-09-24T00:00:00"/>
    <x v="1"/>
    <x v="14"/>
    <x v="1"/>
    <x v="3"/>
    <x v="2"/>
    <x v="419"/>
    <d v="2022-10-28T00:00:00"/>
    <n v="5"/>
    <n v="168"/>
    <n v="168"/>
    <x v="0"/>
  </r>
  <r>
    <n v="502"/>
    <s v="Lisa Haley"/>
    <x v="501"/>
    <x v="7"/>
    <d v="2022-04-19T00:00:00"/>
    <x v="0"/>
    <x v="2"/>
    <x v="3"/>
    <x v="3"/>
    <x v="3"/>
    <x v="420"/>
    <d v="2023-03-22T00:00:00"/>
    <m/>
    <n v="120"/>
    <n v="168"/>
    <x v="0"/>
  </r>
  <r>
    <n v="503"/>
    <s v="Allison Black"/>
    <x v="502"/>
    <x v="9"/>
    <d v="2020-03-09T00:00:00"/>
    <x v="1"/>
    <x v="5"/>
    <x v="0"/>
    <x v="3"/>
    <x v="2"/>
    <x v="421"/>
    <d v="2020-06-19T00:00:00"/>
    <m/>
    <n v="168"/>
    <n v="168"/>
    <x v="0"/>
  </r>
  <r>
    <n v="504"/>
    <s v="Matthew Flores"/>
    <x v="503"/>
    <x v="13"/>
    <d v="2022-04-08T00:00:00"/>
    <x v="0"/>
    <x v="10"/>
    <x v="1"/>
    <x v="1"/>
    <x v="2"/>
    <x v="156"/>
    <d v="2022-10-26T00:00:00"/>
    <n v="4"/>
    <n v="0"/>
    <n v="24"/>
    <x v="0"/>
  </r>
  <r>
    <n v="505"/>
    <s v="Austin Santiago"/>
    <x v="504"/>
    <x v="11"/>
    <d v="2020-11-15T00:00:00"/>
    <x v="2"/>
    <x v="11"/>
    <x v="1"/>
    <x v="3"/>
    <x v="1"/>
    <x v="409"/>
    <d v="2021-06-07T00:00:00"/>
    <n v="4"/>
    <n v="144"/>
    <n v="168"/>
    <x v="0"/>
  </r>
  <r>
    <n v="506"/>
    <s v="Michele Cherry"/>
    <x v="505"/>
    <x v="17"/>
    <d v="2022-12-01T00:00:00"/>
    <x v="1"/>
    <x v="4"/>
    <x v="1"/>
    <x v="2"/>
    <x v="1"/>
    <x v="50"/>
    <d v="2023-08-28T00:00:00"/>
    <n v="5"/>
    <n v="72"/>
    <n v="120"/>
    <x v="0"/>
  </r>
  <r>
    <n v="507"/>
    <s v="Joe Rivera"/>
    <x v="506"/>
    <x v="5"/>
    <d v="2022-05-16T00:00:00"/>
    <x v="0"/>
    <x v="4"/>
    <x v="1"/>
    <x v="3"/>
    <x v="1"/>
    <x v="422"/>
    <d v="2023-02-21T00:00:00"/>
    <n v="4"/>
    <n v="96"/>
    <n v="168"/>
    <x v="0"/>
  </r>
  <r>
    <n v="508"/>
    <s v="Roberto Bartlett"/>
    <x v="507"/>
    <x v="6"/>
    <d v="2021-11-03T00:00:00"/>
    <x v="1"/>
    <x v="14"/>
    <x v="2"/>
    <x v="3"/>
    <x v="1"/>
    <x v="37"/>
    <d v="2022-10-09T00:00:00"/>
    <m/>
    <n v="120"/>
    <n v="168"/>
    <x v="0"/>
  </r>
  <r>
    <n v="509"/>
    <s v="James Wilson"/>
    <x v="508"/>
    <x v="8"/>
    <d v="2022-06-28T00:00:00"/>
    <x v="1"/>
    <x v="12"/>
    <x v="2"/>
    <x v="2"/>
    <x v="2"/>
    <x v="159"/>
    <d v="2022-12-14T00:00:00"/>
    <n v="4"/>
    <n v="144"/>
    <n v="120"/>
    <x v="1"/>
  </r>
  <r>
    <n v="510"/>
    <s v="Ryan Howard"/>
    <x v="509"/>
    <x v="0"/>
    <d v="2020-05-14T00:00:00"/>
    <x v="4"/>
    <x v="3"/>
    <x v="1"/>
    <x v="3"/>
    <x v="1"/>
    <x v="423"/>
    <d v="2020-07-29T00:00:00"/>
    <n v="3"/>
    <n v="216"/>
    <n v="168"/>
    <x v="1"/>
  </r>
  <r>
    <n v="511"/>
    <s v="Timothy James"/>
    <x v="510"/>
    <x v="2"/>
    <d v="2023-03-06T00:00:00"/>
    <x v="2"/>
    <x v="9"/>
    <x v="1"/>
    <x v="2"/>
    <x v="1"/>
    <x v="424"/>
    <d v="2023-04-19T00:00:00"/>
    <n v="5"/>
    <n v="96"/>
    <n v="120"/>
    <x v="0"/>
  </r>
  <r>
    <n v="512"/>
    <s v="Robert Gardner"/>
    <x v="511"/>
    <x v="3"/>
    <d v="2022-10-03T00:00:00"/>
    <x v="4"/>
    <x v="6"/>
    <x v="2"/>
    <x v="2"/>
    <x v="1"/>
    <x v="178"/>
    <d v="2023-01-13T00:00:00"/>
    <n v="5"/>
    <n v="96"/>
    <n v="120"/>
    <x v="0"/>
  </r>
  <r>
    <n v="513"/>
    <s v="Travis Spencer"/>
    <x v="512"/>
    <x v="3"/>
    <d v="2021-09-04T00:00:00"/>
    <x v="3"/>
    <x v="7"/>
    <x v="1"/>
    <x v="2"/>
    <x v="1"/>
    <x v="425"/>
    <d v="2022-04-19T00:00:00"/>
    <n v="5"/>
    <n v="72"/>
    <n v="120"/>
    <x v="0"/>
  </r>
  <r>
    <n v="514"/>
    <s v="Theresa Torres"/>
    <x v="513"/>
    <x v="17"/>
    <d v="2020-10-12T00:00:00"/>
    <x v="3"/>
    <x v="2"/>
    <x v="1"/>
    <x v="3"/>
    <x v="0"/>
    <x v="329"/>
    <d v="2021-04-03T00:00:00"/>
    <n v="4"/>
    <n v="312"/>
    <n v="168"/>
    <x v="1"/>
  </r>
  <r>
    <n v="515"/>
    <s v="Ruben Lee"/>
    <x v="514"/>
    <x v="5"/>
    <d v="2023-03-12T00:00:00"/>
    <x v="3"/>
    <x v="3"/>
    <x v="0"/>
    <x v="0"/>
    <x v="1"/>
    <x v="426"/>
    <d v="2023-04-03T00:00:00"/>
    <m/>
    <n v="24"/>
    <n v="48"/>
    <x v="0"/>
  </r>
  <r>
    <n v="516"/>
    <s v="Wendy Murray"/>
    <x v="515"/>
    <x v="7"/>
    <d v="2020-11-02T00:00:00"/>
    <x v="3"/>
    <x v="13"/>
    <x v="1"/>
    <x v="2"/>
    <x v="3"/>
    <x v="427"/>
    <d v="2021-06-21T00:00:00"/>
    <n v="5"/>
    <n v="144"/>
    <n v="120"/>
    <x v="1"/>
  </r>
  <r>
    <n v="517"/>
    <s v="Katelyn Rivera"/>
    <x v="516"/>
    <x v="6"/>
    <d v="2022-08-20T00:00:00"/>
    <x v="0"/>
    <x v="12"/>
    <x v="0"/>
    <x v="2"/>
    <x v="0"/>
    <x v="428"/>
    <d v="2023-04-17T00:00:00"/>
    <m/>
    <n v="72"/>
    <n v="120"/>
    <x v="0"/>
  </r>
  <r>
    <n v="518"/>
    <s v="Corey Tucker"/>
    <x v="517"/>
    <x v="17"/>
    <d v="2022-05-28T00:00:00"/>
    <x v="3"/>
    <x v="10"/>
    <x v="3"/>
    <x v="1"/>
    <x v="2"/>
    <x v="282"/>
    <d v="2022-12-25T00:00:00"/>
    <m/>
    <n v="0"/>
    <n v="24"/>
    <x v="0"/>
  </r>
  <r>
    <n v="519"/>
    <s v="Rhonda Benjamin"/>
    <x v="518"/>
    <x v="4"/>
    <d v="2023-01-11T00:00:00"/>
    <x v="1"/>
    <x v="0"/>
    <x v="1"/>
    <x v="3"/>
    <x v="0"/>
    <x v="429"/>
    <d v="2024-01-06T00:00:00"/>
    <n v="3"/>
    <n v="144"/>
    <n v="168"/>
    <x v="0"/>
  </r>
  <r>
    <n v="520"/>
    <s v="Jessica Larsen"/>
    <x v="519"/>
    <x v="17"/>
    <d v="2021-12-20T00:00:00"/>
    <x v="1"/>
    <x v="7"/>
    <x v="0"/>
    <x v="0"/>
    <x v="1"/>
    <x v="30"/>
    <d v="2022-09-08T00:00:00"/>
    <m/>
    <n v="24"/>
    <n v="48"/>
    <x v="0"/>
  </r>
  <r>
    <n v="521"/>
    <s v="Raymond Tucker"/>
    <x v="520"/>
    <x v="6"/>
    <d v="2020-08-05T00:00:00"/>
    <x v="2"/>
    <x v="10"/>
    <x v="1"/>
    <x v="0"/>
    <x v="0"/>
    <x v="430"/>
    <d v="2020-10-28T00:00:00"/>
    <n v="3"/>
    <n v="24"/>
    <n v="48"/>
    <x v="0"/>
  </r>
  <r>
    <n v="522"/>
    <s v="Christina Gross"/>
    <x v="521"/>
    <x v="0"/>
    <d v="2022-09-08T00:00:00"/>
    <x v="2"/>
    <x v="2"/>
    <x v="0"/>
    <x v="1"/>
    <x v="3"/>
    <x v="280"/>
    <d v="2022-11-15T00:00:00"/>
    <m/>
    <n v="0"/>
    <n v="24"/>
    <x v="0"/>
  </r>
  <r>
    <n v="523"/>
    <s v="Kevin Sullivan"/>
    <x v="522"/>
    <x v="8"/>
    <d v="2022-04-18T00:00:00"/>
    <x v="0"/>
    <x v="8"/>
    <x v="1"/>
    <x v="0"/>
    <x v="1"/>
    <x v="121"/>
    <d v="2023-02-25T00:00:00"/>
    <n v="5"/>
    <n v="48"/>
    <n v="48"/>
    <x v="0"/>
  </r>
  <r>
    <n v="524"/>
    <s v="Reginald Diaz"/>
    <x v="523"/>
    <x v="12"/>
    <d v="2020-07-26T00:00:00"/>
    <x v="1"/>
    <x v="8"/>
    <x v="0"/>
    <x v="2"/>
    <x v="1"/>
    <x v="431"/>
    <d v="2020-12-17T00:00:00"/>
    <m/>
    <n v="48"/>
    <n v="120"/>
    <x v="0"/>
  </r>
  <r>
    <n v="525"/>
    <s v="Jordan Sanders"/>
    <x v="524"/>
    <x v="6"/>
    <d v="2022-11-28T00:00:00"/>
    <x v="4"/>
    <x v="12"/>
    <x v="0"/>
    <x v="3"/>
    <x v="1"/>
    <x v="432"/>
    <d v="2022-12-23T00:00:00"/>
    <m/>
    <n v="216"/>
    <n v="168"/>
    <x v="1"/>
  </r>
  <r>
    <n v="526"/>
    <s v="Jose Griffin"/>
    <x v="525"/>
    <x v="7"/>
    <d v="2023-02-17T00:00:00"/>
    <x v="1"/>
    <x v="4"/>
    <x v="2"/>
    <x v="3"/>
    <x v="0"/>
    <x v="146"/>
    <d v="2024-01-01T00:00:00"/>
    <n v="4"/>
    <n v="144"/>
    <n v="168"/>
    <x v="0"/>
  </r>
  <r>
    <n v="527"/>
    <s v="Teresa Williams"/>
    <x v="526"/>
    <x v="7"/>
    <d v="2020-12-29T00:00:00"/>
    <x v="4"/>
    <x v="0"/>
    <x v="1"/>
    <x v="2"/>
    <x v="1"/>
    <x v="433"/>
    <d v="2021-06-17T00:00:00"/>
    <n v="3"/>
    <n v="120"/>
    <n v="120"/>
    <x v="0"/>
  </r>
  <r>
    <n v="528"/>
    <s v="Daniel Velez"/>
    <x v="527"/>
    <x v="11"/>
    <d v="2022-10-04T00:00:00"/>
    <x v="0"/>
    <x v="0"/>
    <x v="1"/>
    <x v="2"/>
    <x v="0"/>
    <x v="434"/>
    <d v="2023-03-25T00:00:00"/>
    <n v="4"/>
    <n v="96"/>
    <n v="120"/>
    <x v="0"/>
  </r>
  <r>
    <n v="529"/>
    <s v="Michael Boyd"/>
    <x v="528"/>
    <x v="7"/>
    <d v="2022-06-04T00:00:00"/>
    <x v="0"/>
    <x v="9"/>
    <x v="1"/>
    <x v="2"/>
    <x v="1"/>
    <x v="435"/>
    <d v="2023-01-12T00:00:00"/>
    <n v="4"/>
    <n v="96"/>
    <n v="120"/>
    <x v="0"/>
  </r>
  <r>
    <n v="530"/>
    <s v="Matthew Diaz"/>
    <x v="529"/>
    <x v="13"/>
    <d v="2022-03-13T00:00:00"/>
    <x v="2"/>
    <x v="11"/>
    <x v="1"/>
    <x v="3"/>
    <x v="1"/>
    <x v="436"/>
    <d v="2022-12-03T00:00:00"/>
    <n v="3"/>
    <n v="312"/>
    <n v="168"/>
    <x v="1"/>
  </r>
  <r>
    <n v="531"/>
    <s v="Robert Reed"/>
    <x v="530"/>
    <x v="10"/>
    <d v="2020-08-03T00:00:00"/>
    <x v="4"/>
    <x v="13"/>
    <x v="1"/>
    <x v="2"/>
    <x v="1"/>
    <x v="437"/>
    <d v="2021-06-19T00:00:00"/>
    <n v="4"/>
    <n v="72"/>
    <n v="120"/>
    <x v="0"/>
  </r>
  <r>
    <n v="532"/>
    <s v="David Robertson"/>
    <x v="531"/>
    <x v="9"/>
    <d v="2022-07-24T00:00:00"/>
    <x v="2"/>
    <x v="13"/>
    <x v="0"/>
    <x v="2"/>
    <x v="1"/>
    <x v="22"/>
    <d v="2022-12-31T00:00:00"/>
    <m/>
    <n v="72"/>
    <n v="120"/>
    <x v="0"/>
  </r>
  <r>
    <n v="533"/>
    <s v="Bailey Hall"/>
    <x v="532"/>
    <x v="1"/>
    <d v="2020-11-23T00:00:00"/>
    <x v="2"/>
    <x v="6"/>
    <x v="3"/>
    <x v="3"/>
    <x v="3"/>
    <x v="438"/>
    <d v="2021-10-10T00:00:00"/>
    <m/>
    <n v="120"/>
    <n v="168"/>
    <x v="0"/>
  </r>
  <r>
    <n v="534"/>
    <s v="Maria Jenkins"/>
    <x v="533"/>
    <x v="15"/>
    <d v="2020-07-28T00:00:00"/>
    <x v="2"/>
    <x v="4"/>
    <x v="3"/>
    <x v="0"/>
    <x v="3"/>
    <x v="439"/>
    <d v="2021-06-25T00:00:00"/>
    <m/>
    <n v="48"/>
    <n v="48"/>
    <x v="0"/>
  </r>
  <r>
    <n v="535"/>
    <s v="Amanda Armstrong"/>
    <x v="534"/>
    <x v="15"/>
    <d v="2021-09-21T00:00:00"/>
    <x v="1"/>
    <x v="0"/>
    <x v="1"/>
    <x v="3"/>
    <x v="3"/>
    <x v="398"/>
    <d v="2022-06-24T00:00:00"/>
    <m/>
    <n v="240"/>
    <n v="168"/>
    <x v="1"/>
  </r>
  <r>
    <n v="536"/>
    <s v="Kristy Smith"/>
    <x v="535"/>
    <x v="11"/>
    <d v="2022-01-02T00:00:00"/>
    <x v="3"/>
    <x v="14"/>
    <x v="1"/>
    <x v="2"/>
    <x v="1"/>
    <x v="440"/>
    <d v="2022-01-20T00:00:00"/>
    <n v="3"/>
    <n v="72"/>
    <n v="120"/>
    <x v="0"/>
  </r>
  <r>
    <n v="537"/>
    <s v="Carolyn Greer"/>
    <x v="536"/>
    <x v="7"/>
    <d v="2022-08-26T00:00:00"/>
    <x v="1"/>
    <x v="9"/>
    <x v="0"/>
    <x v="3"/>
    <x v="2"/>
    <x v="441"/>
    <d v="2023-08-30T00:00:00"/>
    <m/>
    <n v="192"/>
    <n v="168"/>
    <x v="1"/>
  </r>
  <r>
    <n v="538"/>
    <s v="Deborah Ramsey"/>
    <x v="537"/>
    <x v="7"/>
    <d v="2020-12-23T00:00:00"/>
    <x v="3"/>
    <x v="9"/>
    <x v="0"/>
    <x v="0"/>
    <x v="1"/>
    <x v="195"/>
    <d v="2021-04-13T00:00:00"/>
    <m/>
    <n v="24"/>
    <n v="48"/>
    <x v="0"/>
  </r>
  <r>
    <n v="539"/>
    <s v="Carlos Smith"/>
    <x v="538"/>
    <x v="18"/>
    <d v="2020-10-02T00:00:00"/>
    <x v="1"/>
    <x v="6"/>
    <x v="1"/>
    <x v="3"/>
    <x v="2"/>
    <x v="442"/>
    <d v="2020-10-22T00:00:00"/>
    <n v="4"/>
    <n v="192"/>
    <n v="168"/>
    <x v="1"/>
  </r>
  <r>
    <n v="540"/>
    <s v="Lucas Williams"/>
    <x v="539"/>
    <x v="0"/>
    <d v="2022-04-17T00:00:00"/>
    <x v="3"/>
    <x v="10"/>
    <x v="1"/>
    <x v="0"/>
    <x v="3"/>
    <x v="443"/>
    <d v="2023-01-06T00:00:00"/>
    <m/>
    <n v="0"/>
    <n v="48"/>
    <x v="0"/>
  </r>
  <r>
    <n v="541"/>
    <s v="Stephanie Hampton"/>
    <x v="540"/>
    <x v="9"/>
    <d v="2022-12-19T00:00:00"/>
    <x v="1"/>
    <x v="11"/>
    <x v="1"/>
    <x v="1"/>
    <x v="3"/>
    <x v="354"/>
    <d v="2023-06-08T00:00:00"/>
    <m/>
    <n v="24"/>
    <n v="24"/>
    <x v="0"/>
  </r>
  <r>
    <n v="542"/>
    <s v="Crystal Lang"/>
    <x v="541"/>
    <x v="4"/>
    <d v="2023-03-29T00:00:00"/>
    <x v="1"/>
    <x v="0"/>
    <x v="1"/>
    <x v="2"/>
    <x v="1"/>
    <x v="444"/>
    <d v="2023-07-15T00:00:00"/>
    <n v="4"/>
    <n v="144"/>
    <n v="120"/>
    <x v="1"/>
  </r>
  <r>
    <n v="543"/>
    <s v="Laura Coleman"/>
    <x v="542"/>
    <x v="12"/>
    <d v="2022-07-18T00:00:00"/>
    <x v="0"/>
    <x v="3"/>
    <x v="2"/>
    <x v="2"/>
    <x v="0"/>
    <x v="445"/>
    <d v="2023-04-10T00:00:00"/>
    <n v="4"/>
    <n v="72"/>
    <n v="120"/>
    <x v="0"/>
  </r>
  <r>
    <n v="544"/>
    <s v="Jennifer Lopez"/>
    <x v="543"/>
    <x v="7"/>
    <d v="2021-08-05T00:00:00"/>
    <x v="3"/>
    <x v="0"/>
    <x v="0"/>
    <x v="2"/>
    <x v="2"/>
    <x v="398"/>
    <d v="2022-06-18T00:00:00"/>
    <m/>
    <n v="96"/>
    <n v="120"/>
    <x v="0"/>
  </r>
  <r>
    <n v="545"/>
    <s v="Melissa Stewart"/>
    <x v="544"/>
    <x v="17"/>
    <d v="2021-02-09T00:00:00"/>
    <x v="2"/>
    <x v="7"/>
    <x v="1"/>
    <x v="2"/>
    <x v="3"/>
    <x v="446"/>
    <d v="2021-03-13T00:00:00"/>
    <n v="5"/>
    <n v="120"/>
    <n v="120"/>
    <x v="0"/>
  </r>
  <r>
    <n v="546"/>
    <s v="Jessica Diaz"/>
    <x v="545"/>
    <x v="4"/>
    <d v="2022-05-07T00:00:00"/>
    <x v="4"/>
    <x v="0"/>
    <x v="3"/>
    <x v="3"/>
    <x v="3"/>
    <x v="36"/>
    <d v="2022-08-22T00:00:00"/>
    <m/>
    <n v="144"/>
    <n v="168"/>
    <x v="0"/>
  </r>
  <r>
    <n v="547"/>
    <s v="Karen Wood"/>
    <x v="546"/>
    <x v="5"/>
    <d v="2021-06-18T00:00:00"/>
    <x v="0"/>
    <x v="10"/>
    <x v="1"/>
    <x v="3"/>
    <x v="1"/>
    <x v="447"/>
    <d v="2021-08-10T00:00:00"/>
    <m/>
    <n v="96"/>
    <n v="168"/>
    <x v="0"/>
  </r>
  <r>
    <n v="548"/>
    <s v="Jennifer Taylor"/>
    <x v="547"/>
    <x v="17"/>
    <d v="2020-09-08T00:00:00"/>
    <x v="2"/>
    <x v="0"/>
    <x v="1"/>
    <x v="3"/>
    <x v="1"/>
    <x v="448"/>
    <d v="2020-12-13T00:00:00"/>
    <n v="3"/>
    <n v="72"/>
    <n v="168"/>
    <x v="0"/>
  </r>
  <r>
    <n v="549"/>
    <s v="Jordan Hartman"/>
    <x v="548"/>
    <x v="5"/>
    <d v="2020-05-21T00:00:00"/>
    <x v="3"/>
    <x v="5"/>
    <x v="1"/>
    <x v="2"/>
    <x v="0"/>
    <x v="449"/>
    <d v="2020-08-19T00:00:00"/>
    <n v="5"/>
    <n v="72"/>
    <n v="120"/>
    <x v="0"/>
  </r>
  <r>
    <n v="550"/>
    <s v="Kaitlyn Burke"/>
    <x v="549"/>
    <x v="9"/>
    <d v="2022-08-04T00:00:00"/>
    <x v="2"/>
    <x v="0"/>
    <x v="1"/>
    <x v="2"/>
    <x v="2"/>
    <x v="450"/>
    <d v="2023-01-08T00:00:00"/>
    <n v="4"/>
    <n v="72"/>
    <n v="120"/>
    <x v="0"/>
  </r>
  <r>
    <n v="551"/>
    <s v="James Joyce"/>
    <x v="550"/>
    <x v="1"/>
    <d v="2022-09-21T00:00:00"/>
    <x v="3"/>
    <x v="13"/>
    <x v="1"/>
    <x v="2"/>
    <x v="3"/>
    <x v="451"/>
    <d v="2023-05-02T00:00:00"/>
    <m/>
    <n v="72"/>
    <n v="120"/>
    <x v="0"/>
  </r>
  <r>
    <n v="552"/>
    <s v="Adam Jefferson DVM"/>
    <x v="551"/>
    <x v="1"/>
    <d v="2022-12-21T00:00:00"/>
    <x v="1"/>
    <x v="1"/>
    <x v="0"/>
    <x v="2"/>
    <x v="1"/>
    <x v="115"/>
    <d v="2023-09-01T00:00:00"/>
    <m/>
    <n v="120"/>
    <n v="120"/>
    <x v="0"/>
  </r>
  <r>
    <n v="553"/>
    <s v="Christopher Johnson"/>
    <x v="552"/>
    <x v="9"/>
    <d v="2021-03-04T00:00:00"/>
    <x v="3"/>
    <x v="3"/>
    <x v="1"/>
    <x v="3"/>
    <x v="3"/>
    <x v="142"/>
    <d v="2022-01-18T00:00:00"/>
    <n v="4"/>
    <n v="336"/>
    <n v="168"/>
    <x v="1"/>
  </r>
  <r>
    <n v="554"/>
    <s v="Heather Foster"/>
    <x v="553"/>
    <x v="1"/>
    <d v="2020-05-20T00:00:00"/>
    <x v="2"/>
    <x v="3"/>
    <x v="1"/>
    <x v="3"/>
    <x v="3"/>
    <x v="452"/>
    <d v="2021-04-15T00:00:00"/>
    <n v="5"/>
    <n v="120"/>
    <n v="168"/>
    <x v="0"/>
  </r>
  <r>
    <n v="555"/>
    <s v="Molly Hansen"/>
    <x v="554"/>
    <x v="4"/>
    <d v="2020-10-29T00:00:00"/>
    <x v="1"/>
    <x v="0"/>
    <x v="1"/>
    <x v="3"/>
    <x v="2"/>
    <x v="453"/>
    <d v="2021-04-08T00:00:00"/>
    <n v="5"/>
    <n v="192"/>
    <n v="168"/>
    <x v="1"/>
  </r>
  <r>
    <n v="556"/>
    <s v="Jared Smith"/>
    <x v="555"/>
    <x v="18"/>
    <d v="2022-02-20T00:00:00"/>
    <x v="0"/>
    <x v="14"/>
    <x v="2"/>
    <x v="3"/>
    <x v="1"/>
    <x v="454"/>
    <d v="2022-09-22T00:00:00"/>
    <m/>
    <n v="192"/>
    <n v="168"/>
    <x v="1"/>
  </r>
  <r>
    <n v="557"/>
    <s v="Travis Pratt"/>
    <x v="556"/>
    <x v="0"/>
    <d v="2021-11-18T00:00:00"/>
    <x v="2"/>
    <x v="1"/>
    <x v="1"/>
    <x v="0"/>
    <x v="1"/>
    <x v="455"/>
    <d v="2022-04-12T00:00:00"/>
    <n v="4"/>
    <n v="24"/>
    <n v="48"/>
    <x v="0"/>
  </r>
  <r>
    <n v="558"/>
    <s v="Kristine Carrillo"/>
    <x v="557"/>
    <x v="3"/>
    <d v="2020-02-12T00:00:00"/>
    <x v="4"/>
    <x v="12"/>
    <x v="1"/>
    <x v="2"/>
    <x v="1"/>
    <x v="256"/>
    <d v="2020-10-17T00:00:00"/>
    <n v="5"/>
    <n v="120"/>
    <n v="120"/>
    <x v="0"/>
  </r>
  <r>
    <n v="559"/>
    <s v="Mr. James Kramer"/>
    <x v="558"/>
    <x v="8"/>
    <d v="2021-10-02T00:00:00"/>
    <x v="2"/>
    <x v="14"/>
    <x v="1"/>
    <x v="2"/>
    <x v="3"/>
    <x v="456"/>
    <d v="2021-12-18T00:00:00"/>
    <n v="5"/>
    <n v="96"/>
    <n v="120"/>
    <x v="0"/>
  </r>
  <r>
    <n v="560"/>
    <s v="Kelli Smith"/>
    <x v="559"/>
    <x v="16"/>
    <d v="2023-03-09T00:00:00"/>
    <x v="0"/>
    <x v="8"/>
    <x v="1"/>
    <x v="2"/>
    <x v="1"/>
    <x v="457"/>
    <d v="2024-01-27T00:00:00"/>
    <n v="5"/>
    <n v="120"/>
    <n v="120"/>
    <x v="0"/>
  </r>
  <r>
    <n v="561"/>
    <s v="Angela Velazquez"/>
    <x v="560"/>
    <x v="14"/>
    <d v="2021-02-21T00:00:00"/>
    <x v="1"/>
    <x v="0"/>
    <x v="2"/>
    <x v="2"/>
    <x v="3"/>
    <x v="458"/>
    <d v="2022-02-25T00:00:00"/>
    <n v="4"/>
    <n v="120"/>
    <n v="120"/>
    <x v="0"/>
  </r>
  <r>
    <n v="562"/>
    <s v="Paul Conrad"/>
    <x v="561"/>
    <x v="9"/>
    <d v="2021-01-11T00:00:00"/>
    <x v="0"/>
    <x v="4"/>
    <x v="1"/>
    <x v="2"/>
    <x v="3"/>
    <x v="459"/>
    <d v="2021-03-28T00:00:00"/>
    <n v="5"/>
    <n v="96"/>
    <n v="120"/>
    <x v="0"/>
  </r>
  <r>
    <n v="563"/>
    <s v="Christine Harris"/>
    <x v="562"/>
    <x v="14"/>
    <d v="2020-07-05T00:00:00"/>
    <x v="0"/>
    <x v="8"/>
    <x v="1"/>
    <x v="3"/>
    <x v="3"/>
    <x v="460"/>
    <d v="2021-03-07T00:00:00"/>
    <m/>
    <n v="96"/>
    <n v="168"/>
    <x v="0"/>
  </r>
  <r>
    <n v="564"/>
    <s v="Megan Alvarado"/>
    <x v="563"/>
    <x v="12"/>
    <d v="2022-01-19T00:00:00"/>
    <x v="1"/>
    <x v="10"/>
    <x v="1"/>
    <x v="2"/>
    <x v="2"/>
    <x v="262"/>
    <d v="2022-01-28T00:00:00"/>
    <n v="4"/>
    <n v="96"/>
    <n v="120"/>
    <x v="0"/>
  </r>
  <r>
    <n v="565"/>
    <s v="Ethan Villanueva"/>
    <x v="564"/>
    <x v="7"/>
    <d v="2020-12-11T00:00:00"/>
    <x v="0"/>
    <x v="8"/>
    <x v="1"/>
    <x v="2"/>
    <x v="1"/>
    <x v="461"/>
    <d v="2021-09-29T00:00:00"/>
    <n v="5"/>
    <n v="96"/>
    <n v="120"/>
    <x v="0"/>
  </r>
  <r>
    <n v="566"/>
    <s v="Bethany Fox"/>
    <x v="565"/>
    <x v="9"/>
    <d v="2022-02-19T00:00:00"/>
    <x v="1"/>
    <x v="8"/>
    <x v="0"/>
    <x v="3"/>
    <x v="1"/>
    <x v="462"/>
    <d v="2022-05-01T00:00:00"/>
    <m/>
    <n v="168"/>
    <n v="168"/>
    <x v="0"/>
  </r>
  <r>
    <n v="567"/>
    <s v="Scott Parsons"/>
    <x v="566"/>
    <x v="0"/>
    <d v="2021-12-15T00:00:00"/>
    <x v="4"/>
    <x v="9"/>
    <x v="3"/>
    <x v="2"/>
    <x v="1"/>
    <x v="463"/>
    <d v="2022-10-24T00:00:00"/>
    <m/>
    <n v="96"/>
    <n v="120"/>
    <x v="0"/>
  </r>
  <r>
    <n v="568"/>
    <s v="Adam Craig"/>
    <x v="567"/>
    <x v="3"/>
    <d v="2022-08-09T00:00:00"/>
    <x v="4"/>
    <x v="14"/>
    <x v="0"/>
    <x v="2"/>
    <x v="2"/>
    <x v="464"/>
    <d v="2023-05-07T00:00:00"/>
    <m/>
    <n v="24"/>
    <n v="120"/>
    <x v="0"/>
  </r>
  <r>
    <n v="569"/>
    <s v="Chelsea Baker"/>
    <x v="568"/>
    <x v="13"/>
    <d v="2020-10-12T00:00:00"/>
    <x v="1"/>
    <x v="8"/>
    <x v="1"/>
    <x v="0"/>
    <x v="0"/>
    <x v="465"/>
    <d v="2021-05-13T00:00:00"/>
    <n v="5"/>
    <n v="48"/>
    <n v="48"/>
    <x v="0"/>
  </r>
  <r>
    <n v="570"/>
    <s v="Mr. Michael Watson PhD"/>
    <x v="569"/>
    <x v="0"/>
    <d v="2022-12-01T00:00:00"/>
    <x v="2"/>
    <x v="11"/>
    <x v="3"/>
    <x v="2"/>
    <x v="3"/>
    <x v="466"/>
    <d v="2023-01-03T00:00:00"/>
    <m/>
    <n v="168"/>
    <n v="120"/>
    <x v="1"/>
  </r>
  <r>
    <n v="571"/>
    <s v="Brett Nelson"/>
    <x v="570"/>
    <x v="17"/>
    <d v="2020-08-14T00:00:00"/>
    <x v="1"/>
    <x v="2"/>
    <x v="3"/>
    <x v="2"/>
    <x v="1"/>
    <x v="467"/>
    <d v="2021-04-16T00:00:00"/>
    <m/>
    <n v="72"/>
    <n v="120"/>
    <x v="0"/>
  </r>
  <r>
    <n v="572"/>
    <s v="Nancy Kennedy"/>
    <x v="571"/>
    <x v="15"/>
    <d v="2022-03-14T00:00:00"/>
    <x v="1"/>
    <x v="10"/>
    <x v="3"/>
    <x v="2"/>
    <x v="2"/>
    <x v="382"/>
    <d v="2022-05-06T00:00:00"/>
    <m/>
    <n v="96"/>
    <n v="120"/>
    <x v="0"/>
  </r>
  <r>
    <n v="573"/>
    <s v="Emily Tucker"/>
    <x v="572"/>
    <x v="11"/>
    <d v="2020-06-02T00:00:00"/>
    <x v="4"/>
    <x v="2"/>
    <x v="1"/>
    <x v="2"/>
    <x v="3"/>
    <x v="468"/>
    <d v="2020-07-26T00:00:00"/>
    <n v="5"/>
    <n v="96"/>
    <n v="120"/>
    <x v="0"/>
  </r>
  <r>
    <n v="574"/>
    <s v="Amy Cervantes"/>
    <x v="573"/>
    <x v="3"/>
    <d v="2023-03-02T00:00:00"/>
    <x v="3"/>
    <x v="11"/>
    <x v="0"/>
    <x v="3"/>
    <x v="1"/>
    <x v="469"/>
    <d v="2023-08-15T00:00:00"/>
    <m/>
    <n v="144"/>
    <n v="168"/>
    <x v="0"/>
  </r>
  <r>
    <n v="575"/>
    <s v="Isaac Castro"/>
    <x v="574"/>
    <x v="5"/>
    <d v="2022-11-21T00:00:00"/>
    <x v="0"/>
    <x v="11"/>
    <x v="0"/>
    <x v="2"/>
    <x v="1"/>
    <x v="470"/>
    <d v="2023-05-23T00:00:00"/>
    <m/>
    <n v="96"/>
    <n v="120"/>
    <x v="0"/>
  </r>
  <r>
    <n v="576"/>
    <s v="Christina Johnston"/>
    <x v="575"/>
    <x v="10"/>
    <d v="2022-11-11T00:00:00"/>
    <x v="0"/>
    <x v="6"/>
    <x v="1"/>
    <x v="3"/>
    <x v="3"/>
    <x v="471"/>
    <d v="2023-09-21T00:00:00"/>
    <m/>
    <n v="192"/>
    <n v="168"/>
    <x v="1"/>
  </r>
  <r>
    <n v="577"/>
    <s v="Patricia Griffin"/>
    <x v="576"/>
    <x v="0"/>
    <d v="2020-08-13T00:00:00"/>
    <x v="1"/>
    <x v="6"/>
    <x v="0"/>
    <x v="2"/>
    <x v="3"/>
    <x v="472"/>
    <d v="2021-08-08T00:00:00"/>
    <m/>
    <n v="96"/>
    <n v="120"/>
    <x v="0"/>
  </r>
  <r>
    <n v="578"/>
    <s v="Margaret Mcfarland"/>
    <x v="577"/>
    <x v="16"/>
    <d v="2020-04-20T00:00:00"/>
    <x v="2"/>
    <x v="1"/>
    <x v="1"/>
    <x v="3"/>
    <x v="0"/>
    <x v="473"/>
    <d v="2021-04-14T00:00:00"/>
    <n v="4"/>
    <n v="120"/>
    <n v="168"/>
    <x v="0"/>
  </r>
  <r>
    <n v="579"/>
    <s v="Greg Edwards"/>
    <x v="578"/>
    <x v="15"/>
    <d v="2021-11-22T00:00:00"/>
    <x v="4"/>
    <x v="11"/>
    <x v="3"/>
    <x v="2"/>
    <x v="3"/>
    <x v="392"/>
    <d v="2022-04-09T00:00:00"/>
    <m/>
    <n v="120"/>
    <n v="120"/>
    <x v="0"/>
  </r>
  <r>
    <n v="580"/>
    <s v="Teresa Adkins"/>
    <x v="579"/>
    <x v="13"/>
    <d v="2020-07-13T00:00:00"/>
    <x v="3"/>
    <x v="8"/>
    <x v="3"/>
    <x v="3"/>
    <x v="0"/>
    <x v="474"/>
    <d v="2020-09-10T00:00:00"/>
    <m/>
    <n v="96"/>
    <n v="168"/>
    <x v="0"/>
  </r>
  <r>
    <n v="581"/>
    <s v="Mary Shepard"/>
    <x v="580"/>
    <x v="9"/>
    <d v="2020-04-09T00:00:00"/>
    <x v="3"/>
    <x v="11"/>
    <x v="1"/>
    <x v="2"/>
    <x v="3"/>
    <x v="475"/>
    <d v="2020-05-19T00:00:00"/>
    <n v="3"/>
    <n v="96"/>
    <n v="120"/>
    <x v="0"/>
  </r>
  <r>
    <n v="582"/>
    <s v="Kara Brown"/>
    <x v="581"/>
    <x v="6"/>
    <d v="2021-02-11T00:00:00"/>
    <x v="3"/>
    <x v="2"/>
    <x v="1"/>
    <x v="2"/>
    <x v="0"/>
    <x v="155"/>
    <d v="2022-03-05T00:00:00"/>
    <n v="3"/>
    <n v="696"/>
    <n v="120"/>
    <x v="1"/>
  </r>
  <r>
    <n v="583"/>
    <s v="Angela Huynh"/>
    <x v="582"/>
    <x v="17"/>
    <d v="2021-03-17T00:00:00"/>
    <x v="2"/>
    <x v="8"/>
    <x v="1"/>
    <x v="2"/>
    <x v="3"/>
    <x v="190"/>
    <d v="2022-03-07T00:00:00"/>
    <n v="4"/>
    <n v="72"/>
    <n v="120"/>
    <x v="0"/>
  </r>
  <r>
    <n v="584"/>
    <s v="Cameron Rose"/>
    <x v="583"/>
    <x v="9"/>
    <d v="2022-01-09T00:00:00"/>
    <x v="4"/>
    <x v="2"/>
    <x v="3"/>
    <x v="3"/>
    <x v="3"/>
    <x v="476"/>
    <d v="2022-07-26T00:00:00"/>
    <m/>
    <n v="264"/>
    <n v="168"/>
    <x v="1"/>
  </r>
  <r>
    <n v="585"/>
    <s v="Seth Donovan"/>
    <x v="584"/>
    <x v="15"/>
    <d v="2020-10-02T00:00:00"/>
    <x v="2"/>
    <x v="0"/>
    <x v="0"/>
    <x v="2"/>
    <x v="3"/>
    <x v="477"/>
    <d v="2021-04-19T00:00:00"/>
    <m/>
    <n v="72"/>
    <n v="120"/>
    <x v="0"/>
  </r>
  <r>
    <n v="586"/>
    <s v="Joyce Curry"/>
    <x v="585"/>
    <x v="5"/>
    <d v="2021-04-26T00:00:00"/>
    <x v="0"/>
    <x v="11"/>
    <x v="1"/>
    <x v="0"/>
    <x v="1"/>
    <x v="478"/>
    <d v="2021-08-02T00:00:00"/>
    <n v="5"/>
    <n v="24"/>
    <n v="48"/>
    <x v="0"/>
  </r>
  <r>
    <n v="587"/>
    <s v="Karen Perez"/>
    <x v="586"/>
    <x v="12"/>
    <d v="2020-08-29T00:00:00"/>
    <x v="4"/>
    <x v="6"/>
    <x v="1"/>
    <x v="1"/>
    <x v="1"/>
    <x v="479"/>
    <d v="2021-04-17T00:00:00"/>
    <n v="2"/>
    <n v="0"/>
    <n v="24"/>
    <x v="0"/>
  </r>
  <r>
    <n v="588"/>
    <s v="Aaron Ochoa"/>
    <x v="587"/>
    <x v="18"/>
    <d v="2022-12-04T00:00:00"/>
    <x v="4"/>
    <x v="9"/>
    <x v="1"/>
    <x v="3"/>
    <x v="1"/>
    <x v="480"/>
    <d v="2023-08-03T00:00:00"/>
    <n v="4"/>
    <n v="192"/>
    <n v="168"/>
    <x v="1"/>
  </r>
  <r>
    <n v="589"/>
    <s v="Theresa Woods"/>
    <x v="588"/>
    <x v="13"/>
    <d v="2020-12-25T00:00:00"/>
    <x v="3"/>
    <x v="9"/>
    <x v="0"/>
    <x v="3"/>
    <x v="1"/>
    <x v="72"/>
    <d v="2021-11-10T00:00:00"/>
    <m/>
    <n v="96"/>
    <n v="168"/>
    <x v="0"/>
  </r>
  <r>
    <n v="590"/>
    <s v="Kimberly Lopez"/>
    <x v="589"/>
    <x v="3"/>
    <d v="2023-02-19T00:00:00"/>
    <x v="4"/>
    <x v="1"/>
    <x v="1"/>
    <x v="3"/>
    <x v="1"/>
    <x v="481"/>
    <d v="2023-12-26T00:00:00"/>
    <n v="4"/>
    <n v="192"/>
    <n v="168"/>
    <x v="1"/>
  </r>
  <r>
    <n v="591"/>
    <s v="Sandra Walker"/>
    <x v="590"/>
    <x v="17"/>
    <d v="2022-12-13T00:00:00"/>
    <x v="3"/>
    <x v="7"/>
    <x v="2"/>
    <x v="3"/>
    <x v="1"/>
    <x v="482"/>
    <d v="2023-06-02T00:00:00"/>
    <n v="3"/>
    <n v="120"/>
    <n v="168"/>
    <x v="0"/>
  </r>
  <r>
    <n v="592"/>
    <s v="Dominique Paul"/>
    <x v="591"/>
    <x v="9"/>
    <d v="2021-03-25T00:00:00"/>
    <x v="0"/>
    <x v="8"/>
    <x v="1"/>
    <x v="3"/>
    <x v="1"/>
    <x v="483"/>
    <d v="2021-06-03T00:00:00"/>
    <n v="5"/>
    <n v="216"/>
    <n v="168"/>
    <x v="1"/>
  </r>
  <r>
    <n v="593"/>
    <s v="Jesse Chavez"/>
    <x v="592"/>
    <x v="17"/>
    <d v="2020-03-18T00:00:00"/>
    <x v="1"/>
    <x v="1"/>
    <x v="1"/>
    <x v="2"/>
    <x v="3"/>
    <x v="484"/>
    <d v="2020-06-17T00:00:00"/>
    <n v="5"/>
    <n v="264"/>
    <n v="120"/>
    <x v="1"/>
  </r>
  <r>
    <n v="594"/>
    <s v="Alison Compton"/>
    <x v="593"/>
    <x v="13"/>
    <d v="2020-05-20T00:00:00"/>
    <x v="3"/>
    <x v="7"/>
    <x v="1"/>
    <x v="0"/>
    <x v="1"/>
    <x v="485"/>
    <d v="2021-05-10T00:00:00"/>
    <n v="3"/>
    <n v="24"/>
    <n v="48"/>
    <x v="0"/>
  </r>
  <r>
    <n v="595"/>
    <s v="Johnny Peterson"/>
    <x v="594"/>
    <x v="13"/>
    <d v="2022-12-18T00:00:00"/>
    <x v="3"/>
    <x v="2"/>
    <x v="0"/>
    <x v="2"/>
    <x v="1"/>
    <x v="486"/>
    <d v="2023-10-30T00:00:00"/>
    <m/>
    <n v="48"/>
    <n v="120"/>
    <x v="0"/>
  </r>
  <r>
    <n v="596"/>
    <s v="Erin Bridges"/>
    <x v="595"/>
    <x v="0"/>
    <d v="2022-04-23T00:00:00"/>
    <x v="1"/>
    <x v="8"/>
    <x v="3"/>
    <x v="3"/>
    <x v="3"/>
    <x v="487"/>
    <d v="2023-03-11T00:00:00"/>
    <m/>
    <n v="144"/>
    <n v="168"/>
    <x v="0"/>
  </r>
  <r>
    <n v="597"/>
    <s v="Corey Skinner"/>
    <x v="596"/>
    <x v="10"/>
    <d v="2021-01-21T00:00:00"/>
    <x v="3"/>
    <x v="8"/>
    <x v="1"/>
    <x v="3"/>
    <x v="3"/>
    <x v="66"/>
    <d v="2021-03-26T00:00:00"/>
    <n v="4"/>
    <n v="168"/>
    <n v="168"/>
    <x v="0"/>
  </r>
  <r>
    <n v="598"/>
    <s v="William Wright"/>
    <x v="597"/>
    <x v="7"/>
    <d v="2022-03-20T00:00:00"/>
    <x v="0"/>
    <x v="12"/>
    <x v="0"/>
    <x v="2"/>
    <x v="0"/>
    <x v="11"/>
    <d v="2022-07-09T00:00:00"/>
    <m/>
    <n v="96"/>
    <n v="120"/>
    <x v="0"/>
  </r>
  <r>
    <n v="599"/>
    <s v="Christine Price"/>
    <x v="598"/>
    <x v="3"/>
    <d v="2022-05-03T00:00:00"/>
    <x v="4"/>
    <x v="13"/>
    <x v="1"/>
    <x v="0"/>
    <x v="1"/>
    <x v="488"/>
    <d v="2022-05-17T00:00:00"/>
    <n v="5"/>
    <n v="0"/>
    <n v="48"/>
    <x v="0"/>
  </r>
  <r>
    <n v="600"/>
    <s v="Dawn Little"/>
    <x v="599"/>
    <x v="4"/>
    <d v="2020-12-04T00:00:00"/>
    <x v="4"/>
    <x v="0"/>
    <x v="3"/>
    <x v="2"/>
    <x v="1"/>
    <x v="453"/>
    <d v="2021-04-03T00:00:00"/>
    <m/>
    <n v="72"/>
    <n v="120"/>
    <x v="0"/>
  </r>
  <r>
    <n v="601"/>
    <s v="Cynthia Hamilton"/>
    <x v="600"/>
    <x v="13"/>
    <d v="2021-09-06T00:00:00"/>
    <x v="4"/>
    <x v="9"/>
    <x v="1"/>
    <x v="3"/>
    <x v="1"/>
    <x v="489"/>
    <d v="2022-07-12T00:00:00"/>
    <n v="4"/>
    <n v="240"/>
    <n v="168"/>
    <x v="1"/>
  </r>
  <r>
    <n v="602"/>
    <s v="Alexa Williams"/>
    <x v="601"/>
    <x v="2"/>
    <d v="2023-04-12T00:00:00"/>
    <x v="2"/>
    <x v="9"/>
    <x v="0"/>
    <x v="0"/>
    <x v="1"/>
    <x v="490"/>
    <d v="2023-08-30T00:00:00"/>
    <m/>
    <n v="48"/>
    <n v="48"/>
    <x v="0"/>
  </r>
  <r>
    <n v="603"/>
    <s v="Christopher Davis"/>
    <x v="602"/>
    <x v="16"/>
    <d v="2022-09-28T00:00:00"/>
    <x v="4"/>
    <x v="7"/>
    <x v="3"/>
    <x v="0"/>
    <x v="2"/>
    <x v="491"/>
    <d v="2022-12-26T00:00:00"/>
    <m/>
    <n v="48"/>
    <n v="48"/>
    <x v="0"/>
  </r>
  <r>
    <n v="604"/>
    <s v="Joshua Rodriguez"/>
    <x v="603"/>
    <x v="12"/>
    <d v="2023-03-21T00:00:00"/>
    <x v="1"/>
    <x v="8"/>
    <x v="1"/>
    <x v="3"/>
    <x v="0"/>
    <x v="246"/>
    <d v="2023-07-24T00:00:00"/>
    <n v="5"/>
    <n v="192"/>
    <n v="168"/>
    <x v="1"/>
  </r>
  <r>
    <n v="605"/>
    <s v="Steven Quinn"/>
    <x v="604"/>
    <x v="14"/>
    <d v="2021-01-24T00:00:00"/>
    <x v="3"/>
    <x v="1"/>
    <x v="1"/>
    <x v="2"/>
    <x v="3"/>
    <x v="49"/>
    <d v="2021-06-05T00:00:00"/>
    <m/>
    <n v="144"/>
    <n v="120"/>
    <x v="1"/>
  </r>
  <r>
    <n v="606"/>
    <s v="Karina Kim"/>
    <x v="605"/>
    <x v="15"/>
    <d v="2020-10-16T00:00:00"/>
    <x v="3"/>
    <x v="9"/>
    <x v="3"/>
    <x v="2"/>
    <x v="3"/>
    <x v="258"/>
    <d v="2021-06-17T00:00:00"/>
    <m/>
    <n v="96"/>
    <n v="120"/>
    <x v="0"/>
  </r>
  <r>
    <n v="607"/>
    <s v="Erica Mcdonald"/>
    <x v="606"/>
    <x v="13"/>
    <d v="2021-02-13T00:00:00"/>
    <x v="4"/>
    <x v="11"/>
    <x v="1"/>
    <x v="3"/>
    <x v="1"/>
    <x v="437"/>
    <d v="2021-06-24T00:00:00"/>
    <m/>
    <n v="192"/>
    <n v="168"/>
    <x v="1"/>
  </r>
  <r>
    <n v="608"/>
    <s v="Jordan Parsons"/>
    <x v="607"/>
    <x v="8"/>
    <d v="2021-07-19T00:00:00"/>
    <x v="2"/>
    <x v="6"/>
    <x v="1"/>
    <x v="0"/>
    <x v="2"/>
    <x v="492"/>
    <d v="2022-03-22T00:00:00"/>
    <n v="5"/>
    <n v="24"/>
    <n v="48"/>
    <x v="0"/>
  </r>
  <r>
    <n v="609"/>
    <s v="Cynthia Le"/>
    <x v="608"/>
    <x v="17"/>
    <d v="2023-04-04T00:00:00"/>
    <x v="1"/>
    <x v="2"/>
    <x v="3"/>
    <x v="2"/>
    <x v="1"/>
    <x v="95"/>
    <d v="2023-07-09T00:00:00"/>
    <m/>
    <n v="48"/>
    <n v="120"/>
    <x v="0"/>
  </r>
  <r>
    <n v="610"/>
    <s v="Lisa Morris"/>
    <x v="609"/>
    <x v="15"/>
    <d v="2020-07-20T00:00:00"/>
    <x v="3"/>
    <x v="7"/>
    <x v="3"/>
    <x v="2"/>
    <x v="0"/>
    <x v="224"/>
    <d v="2020-12-24T00:00:00"/>
    <m/>
    <n v="144"/>
    <n v="120"/>
    <x v="1"/>
  </r>
  <r>
    <n v="611"/>
    <s v="Andre Rodriguez"/>
    <x v="610"/>
    <x v="4"/>
    <d v="2022-10-19T00:00:00"/>
    <x v="2"/>
    <x v="7"/>
    <x v="0"/>
    <x v="3"/>
    <x v="1"/>
    <x v="493"/>
    <d v="2022-11-22T00:00:00"/>
    <m/>
    <n v="144"/>
    <n v="168"/>
    <x v="0"/>
  </r>
  <r>
    <n v="612"/>
    <s v="Marcus Garza Jr."/>
    <x v="611"/>
    <x v="15"/>
    <d v="2022-10-15T00:00:00"/>
    <x v="1"/>
    <x v="3"/>
    <x v="3"/>
    <x v="2"/>
    <x v="1"/>
    <x v="494"/>
    <d v="2023-04-21T00:00:00"/>
    <m/>
    <n v="24"/>
    <n v="120"/>
    <x v="0"/>
  </r>
  <r>
    <n v="613"/>
    <s v="Steve Miller PhD"/>
    <x v="612"/>
    <x v="12"/>
    <d v="2021-07-27T00:00:00"/>
    <x v="4"/>
    <x v="5"/>
    <x v="1"/>
    <x v="3"/>
    <x v="0"/>
    <x v="495"/>
    <d v="2021-09-30T00:00:00"/>
    <n v="3"/>
    <n v="168"/>
    <n v="168"/>
    <x v="0"/>
  </r>
  <r>
    <n v="614"/>
    <s v="Amy Jensen"/>
    <x v="613"/>
    <x v="11"/>
    <d v="2020-12-01T00:00:00"/>
    <x v="3"/>
    <x v="9"/>
    <x v="1"/>
    <x v="2"/>
    <x v="3"/>
    <x v="123"/>
    <d v="2021-08-20T00:00:00"/>
    <n v="3"/>
    <n v="120"/>
    <n v="120"/>
    <x v="0"/>
  </r>
  <r>
    <n v="615"/>
    <s v="Anne Hardy"/>
    <x v="614"/>
    <x v="12"/>
    <d v="2021-01-21T00:00:00"/>
    <x v="4"/>
    <x v="4"/>
    <x v="2"/>
    <x v="2"/>
    <x v="2"/>
    <x v="290"/>
    <d v="2021-06-22T00:00:00"/>
    <m/>
    <n v="72"/>
    <n v="120"/>
    <x v="0"/>
  </r>
  <r>
    <n v="616"/>
    <s v="Theresa Hansen"/>
    <x v="615"/>
    <x v="9"/>
    <d v="2022-06-14T00:00:00"/>
    <x v="3"/>
    <x v="13"/>
    <x v="0"/>
    <x v="0"/>
    <x v="1"/>
    <x v="496"/>
    <d v="2022-07-25T00:00:00"/>
    <m/>
    <n v="0"/>
    <n v="48"/>
    <x v="0"/>
  </r>
  <r>
    <n v="617"/>
    <s v="Jimmy Ortega"/>
    <x v="616"/>
    <x v="6"/>
    <d v="2022-02-23T00:00:00"/>
    <x v="0"/>
    <x v="4"/>
    <x v="0"/>
    <x v="0"/>
    <x v="1"/>
    <x v="497"/>
    <d v="2022-11-05T00:00:00"/>
    <m/>
    <n v="24"/>
    <n v="48"/>
    <x v="0"/>
  </r>
  <r>
    <n v="618"/>
    <s v="Christopher Murillo"/>
    <x v="617"/>
    <x v="6"/>
    <d v="2021-05-19T00:00:00"/>
    <x v="4"/>
    <x v="14"/>
    <x v="1"/>
    <x v="2"/>
    <x v="2"/>
    <x v="498"/>
    <d v="2022-01-16T00:00:00"/>
    <m/>
    <n v="0"/>
    <n v="120"/>
    <x v="0"/>
  </r>
  <r>
    <n v="619"/>
    <s v="Jennifer Schultz"/>
    <x v="618"/>
    <x v="4"/>
    <d v="2021-08-05T00:00:00"/>
    <x v="0"/>
    <x v="9"/>
    <x v="1"/>
    <x v="3"/>
    <x v="3"/>
    <x v="499"/>
    <d v="2022-03-05T00:00:00"/>
    <n v="5"/>
    <n v="48"/>
    <n v="168"/>
    <x v="0"/>
  </r>
  <r>
    <n v="620"/>
    <s v="Tammy King"/>
    <x v="619"/>
    <x v="1"/>
    <d v="2023-02-02T00:00:00"/>
    <x v="3"/>
    <x v="12"/>
    <x v="1"/>
    <x v="2"/>
    <x v="1"/>
    <x v="141"/>
    <d v="2023-04-15T00:00:00"/>
    <n v="4"/>
    <n v="120"/>
    <n v="120"/>
    <x v="0"/>
  </r>
  <r>
    <n v="621"/>
    <s v="Duane Smith"/>
    <x v="620"/>
    <x v="5"/>
    <d v="2020-12-10T00:00:00"/>
    <x v="4"/>
    <x v="12"/>
    <x v="1"/>
    <x v="0"/>
    <x v="0"/>
    <x v="500"/>
    <d v="2021-03-06T00:00:00"/>
    <n v="4"/>
    <n v="24"/>
    <n v="48"/>
    <x v="0"/>
  </r>
  <r>
    <n v="622"/>
    <s v="Ethan Ingram"/>
    <x v="621"/>
    <x v="15"/>
    <d v="2022-06-06T00:00:00"/>
    <x v="1"/>
    <x v="12"/>
    <x v="1"/>
    <x v="2"/>
    <x v="3"/>
    <x v="280"/>
    <d v="2022-11-18T00:00:00"/>
    <n v="3"/>
    <n v="72"/>
    <n v="120"/>
    <x v="0"/>
  </r>
  <r>
    <n v="623"/>
    <s v="Andrew Kelly"/>
    <x v="622"/>
    <x v="12"/>
    <d v="2020-12-27T00:00:00"/>
    <x v="1"/>
    <x v="12"/>
    <x v="3"/>
    <x v="0"/>
    <x v="2"/>
    <x v="501"/>
    <d v="2021-03-23T00:00:00"/>
    <m/>
    <n v="72"/>
    <n v="48"/>
    <x v="1"/>
  </r>
  <r>
    <n v="624"/>
    <s v="Eric Duncan"/>
    <x v="623"/>
    <x v="8"/>
    <d v="2020-09-25T00:00:00"/>
    <x v="0"/>
    <x v="11"/>
    <x v="1"/>
    <x v="2"/>
    <x v="2"/>
    <x v="502"/>
    <d v="2021-07-07T00:00:00"/>
    <n v="4"/>
    <n v="120"/>
    <n v="120"/>
    <x v="0"/>
  </r>
  <r>
    <n v="625"/>
    <s v="Steven Warner PhD"/>
    <x v="624"/>
    <x v="1"/>
    <d v="2022-06-14T00:00:00"/>
    <x v="3"/>
    <x v="10"/>
    <x v="0"/>
    <x v="0"/>
    <x v="3"/>
    <x v="503"/>
    <d v="2023-01-28T00:00:00"/>
    <m/>
    <n v="48"/>
    <n v="48"/>
    <x v="0"/>
  </r>
  <r>
    <n v="626"/>
    <s v="Richard Weeks"/>
    <x v="625"/>
    <x v="8"/>
    <d v="2023-04-11T00:00:00"/>
    <x v="0"/>
    <x v="3"/>
    <x v="1"/>
    <x v="0"/>
    <x v="1"/>
    <x v="504"/>
    <d v="2023-11-04T00:00:00"/>
    <n v="2"/>
    <n v="48"/>
    <n v="48"/>
    <x v="0"/>
  </r>
  <r>
    <n v="627"/>
    <s v="Matthew Guzman"/>
    <x v="626"/>
    <x v="11"/>
    <d v="2021-04-18T00:00:00"/>
    <x v="4"/>
    <x v="9"/>
    <x v="1"/>
    <x v="2"/>
    <x v="3"/>
    <x v="212"/>
    <d v="2021-07-30T00:00:00"/>
    <n v="3"/>
    <n v="72"/>
    <n v="120"/>
    <x v="0"/>
  </r>
  <r>
    <n v="628"/>
    <s v="Emma Cunningham"/>
    <x v="627"/>
    <x v="18"/>
    <d v="2022-11-12T00:00:00"/>
    <x v="1"/>
    <x v="5"/>
    <x v="1"/>
    <x v="2"/>
    <x v="1"/>
    <x v="505"/>
    <d v="2022-12-12T00:00:00"/>
    <n v="4"/>
    <n v="48"/>
    <n v="120"/>
    <x v="0"/>
  </r>
  <r>
    <n v="629"/>
    <s v="Jenna Griffin"/>
    <x v="628"/>
    <x v="5"/>
    <d v="2020-08-17T00:00:00"/>
    <x v="2"/>
    <x v="13"/>
    <x v="3"/>
    <x v="3"/>
    <x v="1"/>
    <x v="506"/>
    <d v="2021-06-12T00:00:00"/>
    <m/>
    <n v="288"/>
    <n v="168"/>
    <x v="1"/>
  </r>
  <r>
    <n v="630"/>
    <s v="Bradley Duncan"/>
    <x v="629"/>
    <x v="16"/>
    <d v="2022-02-18T00:00:00"/>
    <x v="1"/>
    <x v="0"/>
    <x v="2"/>
    <x v="2"/>
    <x v="3"/>
    <x v="507"/>
    <d v="2022-05-05T00:00:00"/>
    <m/>
    <n v="120"/>
    <n v="120"/>
    <x v="0"/>
  </r>
  <r>
    <n v="631"/>
    <s v="Michael Gill"/>
    <x v="630"/>
    <x v="1"/>
    <d v="2022-10-10T00:00:00"/>
    <x v="4"/>
    <x v="3"/>
    <x v="1"/>
    <x v="2"/>
    <x v="0"/>
    <x v="494"/>
    <d v="2023-04-23T00:00:00"/>
    <n v="4"/>
    <n v="72"/>
    <n v="120"/>
    <x v="0"/>
  </r>
  <r>
    <n v="632"/>
    <s v="Kristina Shea"/>
    <x v="631"/>
    <x v="17"/>
    <d v="2021-05-17T00:00:00"/>
    <x v="2"/>
    <x v="3"/>
    <x v="1"/>
    <x v="1"/>
    <x v="3"/>
    <x v="508"/>
    <d v="2021-10-13T00:00:00"/>
    <n v="5"/>
    <n v="24"/>
    <n v="24"/>
    <x v="0"/>
  </r>
  <r>
    <n v="633"/>
    <s v="Laura Rodriguez"/>
    <x v="632"/>
    <x v="8"/>
    <d v="2021-05-13T00:00:00"/>
    <x v="2"/>
    <x v="12"/>
    <x v="1"/>
    <x v="3"/>
    <x v="2"/>
    <x v="509"/>
    <d v="2021-08-06T00:00:00"/>
    <n v="3"/>
    <n v="168"/>
    <n v="168"/>
    <x v="0"/>
  </r>
  <r>
    <n v="634"/>
    <s v="Matthew Carrillo"/>
    <x v="633"/>
    <x v="14"/>
    <d v="2022-08-26T00:00:00"/>
    <x v="0"/>
    <x v="9"/>
    <x v="0"/>
    <x v="2"/>
    <x v="0"/>
    <x v="510"/>
    <d v="2022-09-14T00:00:00"/>
    <m/>
    <n v="120"/>
    <n v="120"/>
    <x v="0"/>
  </r>
  <r>
    <n v="635"/>
    <s v="Andrew Meyers"/>
    <x v="634"/>
    <x v="1"/>
    <d v="2020-05-13T00:00:00"/>
    <x v="0"/>
    <x v="8"/>
    <x v="1"/>
    <x v="2"/>
    <x v="3"/>
    <x v="511"/>
    <d v="2020-12-26T00:00:00"/>
    <n v="5"/>
    <n v="96"/>
    <n v="120"/>
    <x v="0"/>
  </r>
  <r>
    <n v="636"/>
    <s v="Anthony Rush"/>
    <x v="635"/>
    <x v="3"/>
    <d v="2021-06-17T00:00:00"/>
    <x v="1"/>
    <x v="5"/>
    <x v="0"/>
    <x v="2"/>
    <x v="1"/>
    <x v="512"/>
    <d v="2022-04-15T00:00:00"/>
    <m/>
    <n v="120"/>
    <n v="120"/>
    <x v="0"/>
  </r>
  <r>
    <n v="637"/>
    <s v="Ashley Cole"/>
    <x v="636"/>
    <x v="16"/>
    <d v="2020-11-12T00:00:00"/>
    <x v="4"/>
    <x v="6"/>
    <x v="2"/>
    <x v="2"/>
    <x v="3"/>
    <x v="108"/>
    <d v="2021-10-08T00:00:00"/>
    <n v="4"/>
    <n v="120"/>
    <n v="120"/>
    <x v="0"/>
  </r>
  <r>
    <n v="638"/>
    <s v="Nicole Dunn"/>
    <x v="637"/>
    <x v="3"/>
    <d v="2022-06-24T00:00:00"/>
    <x v="1"/>
    <x v="0"/>
    <x v="1"/>
    <x v="2"/>
    <x v="3"/>
    <x v="513"/>
    <d v="2023-04-04T00:00:00"/>
    <n v="4"/>
    <n v="144"/>
    <n v="120"/>
    <x v="1"/>
  </r>
  <r>
    <n v="639"/>
    <s v="Kelsey Scott"/>
    <x v="638"/>
    <x v="2"/>
    <d v="2021-02-25T00:00:00"/>
    <x v="3"/>
    <x v="3"/>
    <x v="1"/>
    <x v="2"/>
    <x v="2"/>
    <x v="485"/>
    <d v="2021-05-16T00:00:00"/>
    <n v="3"/>
    <n v="168"/>
    <n v="120"/>
    <x v="1"/>
  </r>
  <r>
    <n v="640"/>
    <s v="Matthew Smith"/>
    <x v="639"/>
    <x v="14"/>
    <d v="2021-07-13T00:00:00"/>
    <x v="3"/>
    <x v="1"/>
    <x v="3"/>
    <x v="2"/>
    <x v="0"/>
    <x v="139"/>
    <d v="2021-10-23T00:00:00"/>
    <m/>
    <n v="144"/>
    <n v="120"/>
    <x v="1"/>
  </r>
  <r>
    <n v="641"/>
    <s v="Alicia Dillon"/>
    <x v="640"/>
    <x v="5"/>
    <d v="2023-01-07T00:00:00"/>
    <x v="0"/>
    <x v="2"/>
    <x v="1"/>
    <x v="0"/>
    <x v="0"/>
    <x v="514"/>
    <d v="2023-02-23T00:00:00"/>
    <n v="3"/>
    <n v="192"/>
    <n v="48"/>
    <x v="1"/>
  </r>
  <r>
    <n v="642"/>
    <s v="Ethan Delacruz"/>
    <x v="641"/>
    <x v="4"/>
    <d v="2022-05-20T00:00:00"/>
    <x v="4"/>
    <x v="10"/>
    <x v="3"/>
    <x v="1"/>
    <x v="1"/>
    <x v="36"/>
    <d v="2022-08-16T00:00:00"/>
    <m/>
    <n v="0"/>
    <n v="24"/>
    <x v="0"/>
  </r>
  <r>
    <n v="643"/>
    <s v="Alison Wright"/>
    <x v="642"/>
    <x v="6"/>
    <d v="2021-06-22T00:00:00"/>
    <x v="2"/>
    <x v="8"/>
    <x v="1"/>
    <x v="0"/>
    <x v="0"/>
    <x v="515"/>
    <d v="2021-10-08T00:00:00"/>
    <n v="4"/>
    <n v="24"/>
    <n v="48"/>
    <x v="0"/>
  </r>
  <r>
    <n v="644"/>
    <s v="Heather Turner"/>
    <x v="643"/>
    <x v="15"/>
    <d v="2022-05-12T00:00:00"/>
    <x v="3"/>
    <x v="6"/>
    <x v="1"/>
    <x v="1"/>
    <x v="3"/>
    <x v="428"/>
    <d v="2023-04-15T00:00:00"/>
    <n v="4"/>
    <n v="24"/>
    <n v="24"/>
    <x v="0"/>
  </r>
  <r>
    <n v="645"/>
    <s v="Courtney Peterson"/>
    <x v="644"/>
    <x v="10"/>
    <d v="2021-08-16T00:00:00"/>
    <x v="1"/>
    <x v="7"/>
    <x v="0"/>
    <x v="0"/>
    <x v="0"/>
    <x v="516"/>
    <d v="2022-06-13T00:00:00"/>
    <m/>
    <n v="24"/>
    <n v="48"/>
    <x v="0"/>
  </r>
  <r>
    <n v="646"/>
    <s v="Megan Salas"/>
    <x v="645"/>
    <x v="2"/>
    <d v="2021-04-30T00:00:00"/>
    <x v="0"/>
    <x v="6"/>
    <x v="1"/>
    <x v="2"/>
    <x v="1"/>
    <x v="517"/>
    <d v="2021-11-03T00:00:00"/>
    <n v="5"/>
    <n v="168"/>
    <n v="120"/>
    <x v="1"/>
  </r>
  <r>
    <n v="647"/>
    <s v="Erin Daniels"/>
    <x v="646"/>
    <x v="10"/>
    <d v="2023-05-27T00:00:00"/>
    <x v="4"/>
    <x v="4"/>
    <x v="0"/>
    <x v="0"/>
    <x v="0"/>
    <x v="346"/>
    <d v="2023-09-05T00:00:00"/>
    <m/>
    <n v="48"/>
    <n v="48"/>
    <x v="0"/>
  </r>
  <r>
    <n v="648"/>
    <s v="Charles Barker"/>
    <x v="647"/>
    <x v="18"/>
    <d v="2022-10-16T00:00:00"/>
    <x v="2"/>
    <x v="1"/>
    <x v="1"/>
    <x v="3"/>
    <x v="0"/>
    <x v="518"/>
    <d v="2023-10-20T00:00:00"/>
    <n v="4"/>
    <n v="168"/>
    <n v="168"/>
    <x v="0"/>
  </r>
  <r>
    <n v="649"/>
    <s v="Sylvia Stewart"/>
    <x v="648"/>
    <x v="14"/>
    <d v="2023-02-03T00:00:00"/>
    <x v="1"/>
    <x v="13"/>
    <x v="0"/>
    <x v="3"/>
    <x v="1"/>
    <x v="519"/>
    <d v="2023-09-07T00:00:00"/>
    <m/>
    <n v="192"/>
    <n v="168"/>
    <x v="1"/>
  </r>
  <r>
    <n v="650"/>
    <s v="Fernando Dudley"/>
    <x v="649"/>
    <x v="7"/>
    <d v="2023-02-20T00:00:00"/>
    <x v="2"/>
    <x v="3"/>
    <x v="1"/>
    <x v="0"/>
    <x v="0"/>
    <x v="520"/>
    <d v="2023-12-03T00:00:00"/>
    <n v="4"/>
    <n v="24"/>
    <n v="48"/>
    <x v="0"/>
  </r>
  <r>
    <n v="651"/>
    <s v="Richard Rodriguez"/>
    <x v="650"/>
    <x v="7"/>
    <d v="2021-02-18T00:00:00"/>
    <x v="2"/>
    <x v="11"/>
    <x v="1"/>
    <x v="1"/>
    <x v="1"/>
    <x v="461"/>
    <d v="2021-09-25T00:00:00"/>
    <n v="4"/>
    <n v="0"/>
    <n v="24"/>
    <x v="0"/>
  </r>
  <r>
    <n v="652"/>
    <s v="Lisa Carlson"/>
    <x v="651"/>
    <x v="5"/>
    <d v="2023-04-26T00:00:00"/>
    <x v="4"/>
    <x v="0"/>
    <x v="1"/>
    <x v="0"/>
    <x v="1"/>
    <x v="521"/>
    <d v="2024-01-20T00:00:00"/>
    <n v="4"/>
    <n v="48"/>
    <n v="48"/>
    <x v="0"/>
  </r>
  <r>
    <n v="653"/>
    <s v="Jonathan Jacobs"/>
    <x v="652"/>
    <x v="10"/>
    <d v="2020-08-01T00:00:00"/>
    <x v="0"/>
    <x v="7"/>
    <x v="1"/>
    <x v="3"/>
    <x v="3"/>
    <x v="522"/>
    <d v="2021-02-01T00:00:00"/>
    <n v="3"/>
    <n v="264"/>
    <n v="168"/>
    <x v="1"/>
  </r>
  <r>
    <n v="654"/>
    <s v="Darrell Ortiz"/>
    <x v="653"/>
    <x v="17"/>
    <d v="2023-02-27T00:00:00"/>
    <x v="3"/>
    <x v="0"/>
    <x v="1"/>
    <x v="2"/>
    <x v="0"/>
    <x v="490"/>
    <d v="2023-08-29T00:00:00"/>
    <n v="4"/>
    <n v="24"/>
    <n v="120"/>
    <x v="0"/>
  </r>
  <r>
    <n v="655"/>
    <s v="Christina Harris"/>
    <x v="654"/>
    <x v="13"/>
    <d v="2022-01-31T00:00:00"/>
    <x v="3"/>
    <x v="12"/>
    <x v="0"/>
    <x v="0"/>
    <x v="1"/>
    <x v="163"/>
    <d v="2022-05-31T00:00:00"/>
    <m/>
    <n v="48"/>
    <n v="48"/>
    <x v="0"/>
  </r>
  <r>
    <n v="656"/>
    <s v="Sharon Clay"/>
    <x v="655"/>
    <x v="17"/>
    <d v="2023-02-16T00:00:00"/>
    <x v="0"/>
    <x v="6"/>
    <x v="0"/>
    <x v="0"/>
    <x v="1"/>
    <x v="523"/>
    <d v="2023-12-25T00:00:00"/>
    <m/>
    <n v="72"/>
    <n v="48"/>
    <x v="1"/>
  </r>
  <r>
    <n v="657"/>
    <s v="Michelle Long"/>
    <x v="656"/>
    <x v="13"/>
    <d v="2021-01-16T00:00:00"/>
    <x v="0"/>
    <x v="8"/>
    <x v="1"/>
    <x v="3"/>
    <x v="2"/>
    <x v="273"/>
    <d v="2021-09-16T00:00:00"/>
    <m/>
    <n v="120"/>
    <n v="168"/>
    <x v="0"/>
  </r>
  <r>
    <n v="658"/>
    <s v="Jennifer Moss"/>
    <x v="657"/>
    <x v="15"/>
    <d v="2020-10-21T00:00:00"/>
    <x v="4"/>
    <x v="2"/>
    <x v="1"/>
    <x v="0"/>
    <x v="1"/>
    <x v="81"/>
    <d v="2021-05-31T00:00:00"/>
    <n v="4"/>
    <n v="48"/>
    <n v="48"/>
    <x v="0"/>
  </r>
  <r>
    <n v="659"/>
    <s v="James Torres"/>
    <x v="658"/>
    <x v="7"/>
    <d v="2020-03-25T00:00:00"/>
    <x v="2"/>
    <x v="11"/>
    <x v="3"/>
    <x v="2"/>
    <x v="3"/>
    <x v="329"/>
    <d v="2021-03-24T00:00:00"/>
    <m/>
    <n v="72"/>
    <n v="120"/>
    <x v="0"/>
  </r>
  <r>
    <n v="660"/>
    <s v="Stephanie Ford"/>
    <x v="659"/>
    <x v="12"/>
    <d v="2020-10-06T00:00:00"/>
    <x v="0"/>
    <x v="1"/>
    <x v="1"/>
    <x v="2"/>
    <x v="1"/>
    <x v="524"/>
    <d v="2021-09-26T00:00:00"/>
    <n v="5"/>
    <n v="120"/>
    <n v="120"/>
    <x v="0"/>
  </r>
  <r>
    <n v="661"/>
    <s v="Teresa Horton"/>
    <x v="660"/>
    <x v="2"/>
    <d v="2020-10-04T00:00:00"/>
    <x v="3"/>
    <x v="6"/>
    <x v="1"/>
    <x v="1"/>
    <x v="0"/>
    <x v="525"/>
    <d v="2021-02-26T00:00:00"/>
    <m/>
    <n v="0"/>
    <n v="24"/>
    <x v="0"/>
  </r>
  <r>
    <n v="662"/>
    <s v="Steven Huang"/>
    <x v="661"/>
    <x v="4"/>
    <d v="2022-10-04T00:00:00"/>
    <x v="1"/>
    <x v="7"/>
    <x v="1"/>
    <x v="2"/>
    <x v="1"/>
    <x v="526"/>
    <d v="2023-04-22T00:00:00"/>
    <n v="5"/>
    <n v="144"/>
    <n v="120"/>
    <x v="1"/>
  </r>
  <r>
    <n v="663"/>
    <s v="Rebecca Higgins"/>
    <x v="662"/>
    <x v="9"/>
    <d v="2021-07-17T00:00:00"/>
    <x v="2"/>
    <x v="7"/>
    <x v="0"/>
    <x v="0"/>
    <x v="3"/>
    <x v="527"/>
    <d v="2021-12-21T00:00:00"/>
    <m/>
    <n v="24"/>
    <n v="48"/>
    <x v="0"/>
  </r>
  <r>
    <n v="664"/>
    <s v="Michael Acosta"/>
    <x v="663"/>
    <x v="18"/>
    <d v="2021-06-04T00:00:00"/>
    <x v="0"/>
    <x v="0"/>
    <x v="1"/>
    <x v="3"/>
    <x v="1"/>
    <x v="528"/>
    <d v="2022-01-13T00:00:00"/>
    <n v="4"/>
    <n v="192"/>
    <n v="168"/>
    <x v="1"/>
  </r>
  <r>
    <n v="665"/>
    <s v="Mary Hernandez"/>
    <x v="664"/>
    <x v="0"/>
    <d v="2021-04-23T00:00:00"/>
    <x v="1"/>
    <x v="1"/>
    <x v="1"/>
    <x v="2"/>
    <x v="3"/>
    <x v="455"/>
    <d v="2022-04-15T00:00:00"/>
    <n v="4"/>
    <n v="96"/>
    <n v="120"/>
    <x v="0"/>
  </r>
  <r>
    <n v="666"/>
    <s v="Randy Griffin"/>
    <x v="665"/>
    <x v="9"/>
    <d v="2020-01-06T00:00:00"/>
    <x v="3"/>
    <x v="13"/>
    <x v="3"/>
    <x v="2"/>
    <x v="3"/>
    <x v="529"/>
    <d v="2020-10-08T00:00:00"/>
    <m/>
    <n v="48"/>
    <n v="120"/>
    <x v="0"/>
  </r>
  <r>
    <n v="667"/>
    <s v="Dawn Ellis"/>
    <x v="666"/>
    <x v="1"/>
    <d v="2022-02-05T00:00:00"/>
    <x v="3"/>
    <x v="11"/>
    <x v="1"/>
    <x v="2"/>
    <x v="1"/>
    <x v="530"/>
    <d v="2022-03-28T00:00:00"/>
    <n v="5"/>
    <n v="72"/>
    <n v="120"/>
    <x v="0"/>
  </r>
  <r>
    <n v="668"/>
    <s v="Kevin Alvarez"/>
    <x v="667"/>
    <x v="18"/>
    <d v="2020-01-11T00:00:00"/>
    <x v="0"/>
    <x v="12"/>
    <x v="1"/>
    <x v="2"/>
    <x v="3"/>
    <x v="421"/>
    <d v="2020-06-16T00:00:00"/>
    <m/>
    <n v="96"/>
    <n v="120"/>
    <x v="0"/>
  </r>
  <r>
    <n v="669"/>
    <s v="Joshua Harvey"/>
    <x v="668"/>
    <x v="18"/>
    <d v="2021-06-26T00:00:00"/>
    <x v="0"/>
    <x v="6"/>
    <x v="1"/>
    <x v="0"/>
    <x v="2"/>
    <x v="531"/>
    <d v="2021-09-30T00:00:00"/>
    <n v="5"/>
    <n v="24"/>
    <n v="48"/>
    <x v="0"/>
  </r>
  <r>
    <n v="670"/>
    <s v="Scott Estrada"/>
    <x v="669"/>
    <x v="16"/>
    <d v="2021-10-09T00:00:00"/>
    <x v="1"/>
    <x v="14"/>
    <x v="1"/>
    <x v="1"/>
    <x v="0"/>
    <x v="496"/>
    <d v="2022-07-25T00:00:00"/>
    <n v="5"/>
    <n v="0"/>
    <n v="24"/>
    <x v="0"/>
  </r>
  <r>
    <n v="671"/>
    <s v="Candace Mitchell DDS"/>
    <x v="670"/>
    <x v="4"/>
    <d v="2020-02-25T00:00:00"/>
    <x v="4"/>
    <x v="1"/>
    <x v="1"/>
    <x v="3"/>
    <x v="3"/>
    <x v="532"/>
    <d v="2020-03-30T00:00:00"/>
    <n v="4"/>
    <n v="48"/>
    <n v="168"/>
    <x v="0"/>
  </r>
  <r>
    <n v="672"/>
    <s v="Edwin Richardson"/>
    <x v="671"/>
    <x v="6"/>
    <d v="2022-05-05T00:00:00"/>
    <x v="3"/>
    <x v="3"/>
    <x v="2"/>
    <x v="3"/>
    <x v="1"/>
    <x v="533"/>
    <d v="2022-08-14T00:00:00"/>
    <n v="3"/>
    <n v="72"/>
    <n v="168"/>
    <x v="0"/>
  </r>
  <r>
    <n v="673"/>
    <s v="John Martinez"/>
    <x v="672"/>
    <x v="6"/>
    <d v="2022-12-16T00:00:00"/>
    <x v="2"/>
    <x v="6"/>
    <x v="3"/>
    <x v="3"/>
    <x v="2"/>
    <x v="534"/>
    <d v="2023-01-09T00:00:00"/>
    <m/>
    <n v="240"/>
    <n v="168"/>
    <x v="1"/>
  </r>
  <r>
    <n v="674"/>
    <s v="Anthony Duncan"/>
    <x v="673"/>
    <x v="8"/>
    <d v="2021-03-22T00:00:00"/>
    <x v="1"/>
    <x v="11"/>
    <x v="3"/>
    <x v="0"/>
    <x v="1"/>
    <x v="535"/>
    <d v="2021-04-20T00:00:00"/>
    <m/>
    <n v="24"/>
    <n v="48"/>
    <x v="0"/>
  </r>
  <r>
    <n v="675"/>
    <s v="Ryan Green"/>
    <x v="674"/>
    <x v="9"/>
    <d v="2022-03-18T00:00:00"/>
    <x v="3"/>
    <x v="2"/>
    <x v="0"/>
    <x v="3"/>
    <x v="0"/>
    <x v="187"/>
    <d v="2022-10-14T00:00:00"/>
    <m/>
    <n v="168"/>
    <n v="168"/>
    <x v="0"/>
  </r>
  <r>
    <n v="676"/>
    <s v="Kathleen Morton"/>
    <x v="675"/>
    <x v="1"/>
    <d v="2020-07-02T00:00:00"/>
    <x v="1"/>
    <x v="14"/>
    <x v="0"/>
    <x v="3"/>
    <x v="0"/>
    <x v="536"/>
    <d v="2021-04-02T00:00:00"/>
    <m/>
    <n v="144"/>
    <n v="168"/>
    <x v="0"/>
  </r>
  <r>
    <n v="677"/>
    <s v="Mario Wilson"/>
    <x v="676"/>
    <x v="1"/>
    <d v="2020-03-11T00:00:00"/>
    <x v="1"/>
    <x v="9"/>
    <x v="1"/>
    <x v="3"/>
    <x v="1"/>
    <x v="166"/>
    <d v="2020-10-04T00:00:00"/>
    <n v="4"/>
    <n v="192"/>
    <n v="168"/>
    <x v="1"/>
  </r>
  <r>
    <n v="678"/>
    <s v="Justin Walsh"/>
    <x v="677"/>
    <x v="1"/>
    <d v="2023-05-12T00:00:00"/>
    <x v="1"/>
    <x v="4"/>
    <x v="1"/>
    <x v="2"/>
    <x v="3"/>
    <x v="537"/>
    <d v="2023-06-10T00:00:00"/>
    <n v="5"/>
    <n v="24"/>
    <n v="120"/>
    <x v="0"/>
  </r>
  <r>
    <n v="679"/>
    <s v="Eric Pierce"/>
    <x v="678"/>
    <x v="6"/>
    <d v="2023-01-30T00:00:00"/>
    <x v="3"/>
    <x v="13"/>
    <x v="3"/>
    <x v="2"/>
    <x v="1"/>
    <x v="538"/>
    <d v="2023-08-06T00:00:00"/>
    <m/>
    <n v="72"/>
    <n v="120"/>
    <x v="0"/>
  </r>
  <r>
    <n v="680"/>
    <s v="Toni Collier"/>
    <x v="679"/>
    <x v="14"/>
    <d v="2022-01-14T00:00:00"/>
    <x v="4"/>
    <x v="14"/>
    <x v="3"/>
    <x v="2"/>
    <x v="1"/>
    <x v="539"/>
    <d v="2022-05-24T00:00:00"/>
    <m/>
    <n v="24"/>
    <n v="120"/>
    <x v="0"/>
  </r>
  <r>
    <n v="681"/>
    <s v="Rebecca Brewer"/>
    <x v="680"/>
    <x v="5"/>
    <d v="2021-06-04T00:00:00"/>
    <x v="4"/>
    <x v="10"/>
    <x v="1"/>
    <x v="3"/>
    <x v="2"/>
    <x v="378"/>
    <d v="2021-12-24T00:00:00"/>
    <n v="5"/>
    <n v="120"/>
    <n v="168"/>
    <x v="0"/>
  </r>
  <r>
    <n v="682"/>
    <s v="Robert Reilly"/>
    <x v="681"/>
    <x v="3"/>
    <d v="2022-11-19T00:00:00"/>
    <x v="2"/>
    <x v="9"/>
    <x v="0"/>
    <x v="3"/>
    <x v="2"/>
    <x v="249"/>
    <d v="2023-07-10T00:00:00"/>
    <m/>
    <n v="216"/>
    <n v="168"/>
    <x v="1"/>
  </r>
  <r>
    <n v="683"/>
    <s v="Joshua Clark"/>
    <x v="682"/>
    <x v="16"/>
    <d v="2021-03-11T00:00:00"/>
    <x v="1"/>
    <x v="1"/>
    <x v="1"/>
    <x v="3"/>
    <x v="3"/>
    <x v="540"/>
    <d v="2021-09-03T00:00:00"/>
    <n v="4"/>
    <n v="144"/>
    <n v="168"/>
    <x v="0"/>
  </r>
  <r>
    <n v="684"/>
    <s v="Gina Brooks"/>
    <x v="683"/>
    <x v="12"/>
    <d v="2020-06-30T00:00:00"/>
    <x v="4"/>
    <x v="8"/>
    <x v="1"/>
    <x v="1"/>
    <x v="0"/>
    <x v="541"/>
    <d v="2020-12-14T00:00:00"/>
    <n v="5"/>
    <n v="0"/>
    <n v="24"/>
    <x v="0"/>
  </r>
  <r>
    <n v="685"/>
    <s v="Nicole Thornton"/>
    <x v="684"/>
    <x v="7"/>
    <d v="2022-02-11T00:00:00"/>
    <x v="4"/>
    <x v="14"/>
    <x v="3"/>
    <x v="0"/>
    <x v="3"/>
    <x v="542"/>
    <d v="2022-07-23T00:00:00"/>
    <m/>
    <n v="48"/>
    <n v="48"/>
    <x v="0"/>
  </r>
  <r>
    <n v="686"/>
    <s v="Jacqueline Gallegos"/>
    <x v="685"/>
    <x v="16"/>
    <d v="2021-08-04T00:00:00"/>
    <x v="1"/>
    <x v="3"/>
    <x v="1"/>
    <x v="3"/>
    <x v="1"/>
    <x v="297"/>
    <d v="2022-01-22T00:00:00"/>
    <n v="5"/>
    <n v="192"/>
    <n v="168"/>
    <x v="1"/>
  </r>
  <r>
    <n v="687"/>
    <s v="Paula Gentry"/>
    <x v="686"/>
    <x v="2"/>
    <d v="2022-02-15T00:00:00"/>
    <x v="0"/>
    <x v="11"/>
    <x v="0"/>
    <x v="2"/>
    <x v="1"/>
    <x v="543"/>
    <d v="2022-05-23T00:00:00"/>
    <m/>
    <n v="96"/>
    <n v="120"/>
    <x v="0"/>
  </r>
  <r>
    <n v="688"/>
    <s v="Gerald Webb"/>
    <x v="687"/>
    <x v="14"/>
    <d v="2022-11-17T00:00:00"/>
    <x v="1"/>
    <x v="12"/>
    <x v="1"/>
    <x v="0"/>
    <x v="1"/>
    <x v="544"/>
    <d v="2023-01-03T00:00:00"/>
    <n v="4"/>
    <n v="24"/>
    <n v="48"/>
    <x v="0"/>
  </r>
  <r>
    <n v="689"/>
    <s v="Christine Johnson MD"/>
    <x v="470"/>
    <x v="2"/>
    <d v="2022-07-12T00:00:00"/>
    <x v="2"/>
    <x v="0"/>
    <x v="3"/>
    <x v="0"/>
    <x v="3"/>
    <x v="187"/>
    <d v="2022-10-08T00:00:00"/>
    <m/>
    <n v="24"/>
    <n v="48"/>
    <x v="0"/>
  </r>
  <r>
    <n v="690"/>
    <s v="Felicia Small"/>
    <x v="688"/>
    <x v="14"/>
    <d v="2020-02-04T00:00:00"/>
    <x v="2"/>
    <x v="14"/>
    <x v="1"/>
    <x v="3"/>
    <x v="1"/>
    <x v="25"/>
    <d v="2021-02-09T00:00:00"/>
    <n v="5"/>
    <n v="144"/>
    <n v="168"/>
    <x v="0"/>
  </r>
  <r>
    <n v="691"/>
    <s v="Emily Mcclain"/>
    <x v="689"/>
    <x v="10"/>
    <d v="2021-05-10T00:00:00"/>
    <x v="4"/>
    <x v="7"/>
    <x v="0"/>
    <x v="0"/>
    <x v="2"/>
    <x v="545"/>
    <d v="2021-10-03T00:00:00"/>
    <m/>
    <n v="48"/>
    <n v="48"/>
    <x v="0"/>
  </r>
  <r>
    <n v="692"/>
    <s v="Megan Nelson"/>
    <x v="690"/>
    <x v="5"/>
    <d v="2022-05-19T00:00:00"/>
    <x v="1"/>
    <x v="13"/>
    <x v="0"/>
    <x v="3"/>
    <x v="1"/>
    <x v="546"/>
    <d v="2022-10-02T00:00:00"/>
    <m/>
    <n v="216"/>
    <n v="168"/>
    <x v="1"/>
  </r>
  <r>
    <n v="693"/>
    <s v="Christine Bell"/>
    <x v="691"/>
    <x v="17"/>
    <d v="2020-09-23T00:00:00"/>
    <x v="3"/>
    <x v="5"/>
    <x v="1"/>
    <x v="2"/>
    <x v="3"/>
    <x v="401"/>
    <d v="2021-09-12T00:00:00"/>
    <m/>
    <n v="72"/>
    <n v="120"/>
    <x v="0"/>
  </r>
  <r>
    <n v="694"/>
    <s v="Louis Morgan"/>
    <x v="692"/>
    <x v="13"/>
    <d v="2022-11-15T00:00:00"/>
    <x v="1"/>
    <x v="2"/>
    <x v="1"/>
    <x v="3"/>
    <x v="1"/>
    <x v="547"/>
    <d v="2023-05-23T00:00:00"/>
    <n v="2"/>
    <n v="168"/>
    <n v="168"/>
    <x v="0"/>
  </r>
  <r>
    <n v="695"/>
    <s v="James Miller"/>
    <x v="693"/>
    <x v="7"/>
    <d v="2022-09-04T00:00:00"/>
    <x v="4"/>
    <x v="2"/>
    <x v="0"/>
    <x v="0"/>
    <x v="1"/>
    <x v="300"/>
    <d v="2023-03-27T00:00:00"/>
    <m/>
    <n v="48"/>
    <n v="48"/>
    <x v="0"/>
  </r>
  <r>
    <n v="696"/>
    <s v="Melissa Jensen"/>
    <x v="694"/>
    <x v="13"/>
    <d v="2023-03-20T00:00:00"/>
    <x v="3"/>
    <x v="12"/>
    <x v="1"/>
    <x v="0"/>
    <x v="1"/>
    <x v="152"/>
    <d v="2023-09-11T00:00:00"/>
    <n v="5"/>
    <n v="48"/>
    <n v="48"/>
    <x v="0"/>
  </r>
  <r>
    <n v="697"/>
    <s v="Laura Davis"/>
    <x v="695"/>
    <x v="11"/>
    <d v="2022-09-28T00:00:00"/>
    <x v="1"/>
    <x v="1"/>
    <x v="3"/>
    <x v="2"/>
    <x v="1"/>
    <x v="548"/>
    <d v="2023-03-31T00:00:00"/>
    <m/>
    <n v="0"/>
    <n v="120"/>
    <x v="0"/>
  </r>
  <r>
    <n v="698"/>
    <s v="Julie Hall"/>
    <x v="696"/>
    <x v="3"/>
    <d v="2021-07-18T00:00:00"/>
    <x v="2"/>
    <x v="8"/>
    <x v="3"/>
    <x v="2"/>
    <x v="3"/>
    <x v="549"/>
    <d v="2022-01-02T00:00:00"/>
    <m/>
    <n v="168"/>
    <n v="120"/>
    <x v="1"/>
  </r>
  <r>
    <n v="699"/>
    <s v="Michael Ortega"/>
    <x v="697"/>
    <x v="10"/>
    <d v="2020-06-24T00:00:00"/>
    <x v="2"/>
    <x v="8"/>
    <x v="1"/>
    <x v="0"/>
    <x v="1"/>
    <x v="359"/>
    <d v="2020-09-09T00:00:00"/>
    <n v="5"/>
    <n v="24"/>
    <n v="48"/>
    <x v="0"/>
  </r>
  <r>
    <n v="700"/>
    <s v="Joel Jackson"/>
    <x v="698"/>
    <x v="12"/>
    <d v="2021-09-22T00:00:00"/>
    <x v="4"/>
    <x v="14"/>
    <x v="0"/>
    <x v="0"/>
    <x v="1"/>
    <x v="550"/>
    <d v="2022-05-29T00:00:00"/>
    <m/>
    <n v="24"/>
    <n v="48"/>
    <x v="0"/>
  </r>
  <r>
    <n v="701"/>
    <s v="Rebecca Nguyen"/>
    <x v="699"/>
    <x v="7"/>
    <d v="2022-07-06T00:00:00"/>
    <x v="3"/>
    <x v="2"/>
    <x v="1"/>
    <x v="3"/>
    <x v="1"/>
    <x v="551"/>
    <d v="2022-10-14T00:00:00"/>
    <n v="3"/>
    <n v="192"/>
    <n v="168"/>
    <x v="1"/>
  </r>
  <r>
    <n v="702"/>
    <s v="Marc Kelley"/>
    <x v="700"/>
    <x v="3"/>
    <d v="2022-12-14T00:00:00"/>
    <x v="1"/>
    <x v="11"/>
    <x v="0"/>
    <x v="0"/>
    <x v="1"/>
    <x v="552"/>
    <d v="2023-07-16T00:00:00"/>
    <m/>
    <n v="24"/>
    <n v="48"/>
    <x v="0"/>
  </r>
  <r>
    <n v="703"/>
    <s v="Rachel Graham"/>
    <x v="701"/>
    <x v="0"/>
    <d v="2022-11-06T00:00:00"/>
    <x v="2"/>
    <x v="9"/>
    <x v="0"/>
    <x v="3"/>
    <x v="3"/>
    <x v="553"/>
    <d v="2023-06-07T00:00:00"/>
    <m/>
    <n v="288"/>
    <n v="168"/>
    <x v="1"/>
  </r>
  <r>
    <n v="704"/>
    <s v="Timothy Andrews"/>
    <x v="702"/>
    <x v="11"/>
    <d v="2021-05-20T00:00:00"/>
    <x v="0"/>
    <x v="12"/>
    <x v="1"/>
    <x v="2"/>
    <x v="2"/>
    <x v="554"/>
    <d v="2022-03-23T00:00:00"/>
    <n v="4"/>
    <n v="72"/>
    <n v="120"/>
    <x v="0"/>
  </r>
  <r>
    <n v="705"/>
    <s v="Samantha Thompson"/>
    <x v="703"/>
    <x v="15"/>
    <d v="2022-07-15T00:00:00"/>
    <x v="1"/>
    <x v="12"/>
    <x v="1"/>
    <x v="3"/>
    <x v="1"/>
    <x v="537"/>
    <d v="2023-06-18T00:00:00"/>
    <n v="4"/>
    <n v="216"/>
    <n v="168"/>
    <x v="1"/>
  </r>
  <r>
    <n v="706"/>
    <s v="Jamie Snyder"/>
    <x v="704"/>
    <x v="17"/>
    <d v="2023-03-18T00:00:00"/>
    <x v="4"/>
    <x v="0"/>
    <x v="1"/>
    <x v="0"/>
    <x v="2"/>
    <x v="408"/>
    <d v="2023-05-04T00:00:00"/>
    <n v="4"/>
    <n v="48"/>
    <n v="48"/>
    <x v="0"/>
  </r>
  <r>
    <n v="707"/>
    <s v="April Thomas"/>
    <x v="705"/>
    <x v="16"/>
    <d v="2022-06-16T00:00:00"/>
    <x v="4"/>
    <x v="9"/>
    <x v="0"/>
    <x v="2"/>
    <x v="1"/>
    <x v="301"/>
    <d v="2022-11-28T00:00:00"/>
    <m/>
    <n v="168"/>
    <n v="120"/>
    <x v="1"/>
  </r>
  <r>
    <n v="708"/>
    <s v="Daniel Rich"/>
    <x v="706"/>
    <x v="5"/>
    <d v="2021-06-18T00:00:00"/>
    <x v="2"/>
    <x v="11"/>
    <x v="3"/>
    <x v="2"/>
    <x v="3"/>
    <x v="555"/>
    <d v="2022-01-05T00:00:00"/>
    <m/>
    <n v="72"/>
    <n v="120"/>
    <x v="0"/>
  </r>
  <r>
    <n v="709"/>
    <s v="Lauren Carr DDS"/>
    <x v="707"/>
    <x v="16"/>
    <d v="2020-03-23T00:00:00"/>
    <x v="2"/>
    <x v="2"/>
    <x v="1"/>
    <x v="2"/>
    <x v="1"/>
    <x v="556"/>
    <d v="2020-05-13T00:00:00"/>
    <n v="5"/>
    <n v="96"/>
    <n v="120"/>
    <x v="0"/>
  </r>
  <r>
    <n v="710"/>
    <s v="Justin Irwin"/>
    <x v="708"/>
    <x v="18"/>
    <d v="2021-11-01T00:00:00"/>
    <x v="1"/>
    <x v="14"/>
    <x v="1"/>
    <x v="2"/>
    <x v="1"/>
    <x v="170"/>
    <d v="2021-12-18T00:00:00"/>
    <n v="5"/>
    <n v="120"/>
    <n v="120"/>
    <x v="0"/>
  </r>
  <r>
    <n v="711"/>
    <s v="Jennifer Flores"/>
    <x v="709"/>
    <x v="16"/>
    <d v="2020-11-24T00:00:00"/>
    <x v="2"/>
    <x v="11"/>
    <x v="1"/>
    <x v="2"/>
    <x v="1"/>
    <x v="69"/>
    <d v="2021-04-29T00:00:00"/>
    <n v="3"/>
    <n v="120"/>
    <n v="120"/>
    <x v="0"/>
  </r>
  <r>
    <n v="712"/>
    <s v="Karen Lopez"/>
    <x v="710"/>
    <x v="11"/>
    <d v="2020-08-27T00:00:00"/>
    <x v="4"/>
    <x v="6"/>
    <x v="0"/>
    <x v="0"/>
    <x v="3"/>
    <x v="45"/>
    <d v="2021-02-27T00:00:00"/>
    <m/>
    <n v="72"/>
    <n v="48"/>
    <x v="1"/>
  </r>
  <r>
    <n v="713"/>
    <s v="Shane Martinez"/>
    <x v="711"/>
    <x v="3"/>
    <d v="2022-01-26T00:00:00"/>
    <x v="2"/>
    <x v="7"/>
    <x v="1"/>
    <x v="2"/>
    <x v="0"/>
    <x v="557"/>
    <d v="2022-08-17T00:00:00"/>
    <n v="4"/>
    <n v="48"/>
    <n v="120"/>
    <x v="0"/>
  </r>
  <r>
    <n v="714"/>
    <s v="Vanessa Taylor"/>
    <x v="712"/>
    <x v="4"/>
    <d v="2023-05-10T00:00:00"/>
    <x v="3"/>
    <x v="8"/>
    <x v="1"/>
    <x v="0"/>
    <x v="1"/>
    <x v="2"/>
    <d v="2023-08-14T00:00:00"/>
    <n v="4"/>
    <n v="24"/>
    <n v="48"/>
    <x v="0"/>
  </r>
  <r>
    <n v="715"/>
    <s v="Tara Hanson"/>
    <x v="713"/>
    <x v="8"/>
    <d v="2021-08-20T00:00:00"/>
    <x v="1"/>
    <x v="7"/>
    <x v="1"/>
    <x v="2"/>
    <x v="0"/>
    <x v="558"/>
    <d v="2021-11-19T00:00:00"/>
    <n v="4"/>
    <n v="96"/>
    <n v="120"/>
    <x v="0"/>
  </r>
  <r>
    <n v="716"/>
    <s v="Cody Jacobs"/>
    <x v="714"/>
    <x v="2"/>
    <d v="2022-02-18T00:00:00"/>
    <x v="3"/>
    <x v="14"/>
    <x v="1"/>
    <x v="3"/>
    <x v="1"/>
    <x v="559"/>
    <d v="2023-02-14T00:00:00"/>
    <n v="5"/>
    <n v="192"/>
    <n v="168"/>
    <x v="1"/>
  </r>
  <r>
    <n v="717"/>
    <s v="Timothy Johnston"/>
    <x v="715"/>
    <x v="10"/>
    <d v="2021-07-26T00:00:00"/>
    <x v="4"/>
    <x v="0"/>
    <x v="1"/>
    <x v="2"/>
    <x v="0"/>
    <x v="7"/>
    <d v="2021-08-12T00:00:00"/>
    <n v="4"/>
    <n v="96"/>
    <n v="120"/>
    <x v="0"/>
  </r>
  <r>
    <n v="718"/>
    <s v="John Vaughn"/>
    <x v="716"/>
    <x v="5"/>
    <d v="2021-12-23T00:00:00"/>
    <x v="2"/>
    <x v="8"/>
    <x v="1"/>
    <x v="1"/>
    <x v="2"/>
    <x v="560"/>
    <d v="2022-03-09T00:00:00"/>
    <m/>
    <n v="24"/>
    <n v="24"/>
    <x v="0"/>
  </r>
  <r>
    <n v="719"/>
    <s v="Kelly Bishop"/>
    <x v="717"/>
    <x v="1"/>
    <d v="2020-05-01T00:00:00"/>
    <x v="2"/>
    <x v="1"/>
    <x v="0"/>
    <x v="2"/>
    <x v="1"/>
    <x v="561"/>
    <d v="2020-09-07T00:00:00"/>
    <m/>
    <n v="120"/>
    <n v="120"/>
    <x v="0"/>
  </r>
  <r>
    <n v="720"/>
    <s v="Kimberly Riley"/>
    <x v="718"/>
    <x v="13"/>
    <d v="2021-12-29T00:00:00"/>
    <x v="0"/>
    <x v="4"/>
    <x v="1"/>
    <x v="2"/>
    <x v="3"/>
    <x v="419"/>
    <d v="2022-10-23T00:00:00"/>
    <n v="4"/>
    <n v="48"/>
    <n v="120"/>
    <x v="0"/>
  </r>
  <r>
    <n v="721"/>
    <s v="Taylor Berry"/>
    <x v="719"/>
    <x v="13"/>
    <d v="2020-02-24T00:00:00"/>
    <x v="2"/>
    <x v="4"/>
    <x v="1"/>
    <x v="2"/>
    <x v="2"/>
    <x v="562"/>
    <d v="2020-06-26T00:00:00"/>
    <n v="4"/>
    <n v="120"/>
    <n v="120"/>
    <x v="0"/>
  </r>
  <r>
    <n v="722"/>
    <s v="Linda Torres"/>
    <x v="720"/>
    <x v="13"/>
    <d v="2022-06-08T00:00:00"/>
    <x v="4"/>
    <x v="9"/>
    <x v="0"/>
    <x v="2"/>
    <x v="1"/>
    <x v="563"/>
    <d v="2023-04-28T00:00:00"/>
    <m/>
    <n v="144"/>
    <n v="120"/>
    <x v="1"/>
  </r>
  <r>
    <n v="723"/>
    <s v="William Lamb"/>
    <x v="721"/>
    <x v="2"/>
    <d v="2020-04-29T00:00:00"/>
    <x v="2"/>
    <x v="12"/>
    <x v="1"/>
    <x v="0"/>
    <x v="0"/>
    <x v="564"/>
    <d v="2020-12-10T00:00:00"/>
    <m/>
    <n v="24"/>
    <n v="48"/>
    <x v="0"/>
  </r>
  <r>
    <n v="724"/>
    <s v="Diana Anderson"/>
    <x v="722"/>
    <x v="17"/>
    <d v="2020-06-22T00:00:00"/>
    <x v="0"/>
    <x v="3"/>
    <x v="3"/>
    <x v="3"/>
    <x v="0"/>
    <x v="522"/>
    <d v="2021-01-28T00:00:00"/>
    <m/>
    <n v="168"/>
    <n v="168"/>
    <x v="0"/>
  </r>
  <r>
    <n v="725"/>
    <s v="Susan Stevenson"/>
    <x v="723"/>
    <x v="7"/>
    <d v="2023-04-30T00:00:00"/>
    <x v="2"/>
    <x v="9"/>
    <x v="1"/>
    <x v="3"/>
    <x v="1"/>
    <x v="565"/>
    <d v="2024-04-23T00:00:00"/>
    <n v="4"/>
    <n v="144"/>
    <n v="168"/>
    <x v="0"/>
  </r>
  <r>
    <n v="726"/>
    <s v="Kari Lloyd"/>
    <x v="724"/>
    <x v="10"/>
    <d v="2022-07-14T00:00:00"/>
    <x v="0"/>
    <x v="8"/>
    <x v="1"/>
    <x v="1"/>
    <x v="0"/>
    <x v="566"/>
    <d v="2023-04-25T00:00:00"/>
    <n v="3"/>
    <n v="0"/>
    <n v="24"/>
    <x v="0"/>
  </r>
  <r>
    <n v="727"/>
    <s v="Brittany Crawford"/>
    <x v="725"/>
    <x v="4"/>
    <d v="2021-11-14T00:00:00"/>
    <x v="3"/>
    <x v="6"/>
    <x v="2"/>
    <x v="0"/>
    <x v="0"/>
    <x v="567"/>
    <d v="2022-06-25T00:00:00"/>
    <m/>
    <n v="72"/>
    <n v="48"/>
    <x v="1"/>
  </r>
  <r>
    <n v="728"/>
    <s v="Carol Lane"/>
    <x v="726"/>
    <x v="11"/>
    <d v="2020-09-17T00:00:00"/>
    <x v="2"/>
    <x v="6"/>
    <x v="0"/>
    <x v="3"/>
    <x v="1"/>
    <x v="213"/>
    <d v="2020-12-07T00:00:00"/>
    <m/>
    <n v="96"/>
    <n v="168"/>
    <x v="0"/>
  </r>
  <r>
    <n v="729"/>
    <s v="John Alvarez"/>
    <x v="727"/>
    <x v="5"/>
    <d v="2021-02-11T00:00:00"/>
    <x v="0"/>
    <x v="0"/>
    <x v="1"/>
    <x v="3"/>
    <x v="3"/>
    <x v="473"/>
    <d v="2021-04-13T00:00:00"/>
    <n v="2"/>
    <n v="96"/>
    <n v="168"/>
    <x v="0"/>
  </r>
  <r>
    <n v="730"/>
    <s v="Seth Smith"/>
    <x v="728"/>
    <x v="0"/>
    <d v="2022-11-26T00:00:00"/>
    <x v="3"/>
    <x v="12"/>
    <x v="1"/>
    <x v="0"/>
    <x v="0"/>
    <x v="336"/>
    <d v="2023-03-12T00:00:00"/>
    <n v="3"/>
    <n v="24"/>
    <n v="48"/>
    <x v="0"/>
  </r>
  <r>
    <n v="731"/>
    <s v="Anne Schmidt"/>
    <x v="729"/>
    <x v="4"/>
    <d v="2021-02-27T00:00:00"/>
    <x v="2"/>
    <x v="5"/>
    <x v="0"/>
    <x v="0"/>
    <x v="0"/>
    <x v="316"/>
    <d v="2021-05-11T00:00:00"/>
    <m/>
    <n v="72"/>
    <n v="48"/>
    <x v="1"/>
  </r>
  <r>
    <n v="732"/>
    <s v="Derek Garcia"/>
    <x v="730"/>
    <x v="7"/>
    <d v="2021-01-10T00:00:00"/>
    <x v="0"/>
    <x v="1"/>
    <x v="1"/>
    <x v="2"/>
    <x v="1"/>
    <x v="461"/>
    <d v="2021-09-30T00:00:00"/>
    <n v="3"/>
    <n v="120"/>
    <n v="120"/>
    <x v="0"/>
  </r>
  <r>
    <n v="733"/>
    <s v="Leah Lee"/>
    <x v="731"/>
    <x v="6"/>
    <d v="2020-01-17T00:00:00"/>
    <x v="3"/>
    <x v="9"/>
    <x v="3"/>
    <x v="2"/>
    <x v="1"/>
    <x v="568"/>
    <d v="2020-08-30T00:00:00"/>
    <m/>
    <n v="168"/>
    <n v="120"/>
    <x v="1"/>
  </r>
  <r>
    <n v="734"/>
    <s v="Sandra Smith"/>
    <x v="732"/>
    <x v="6"/>
    <d v="2020-12-06T00:00:00"/>
    <x v="2"/>
    <x v="8"/>
    <x v="1"/>
    <x v="2"/>
    <x v="0"/>
    <x v="569"/>
    <d v="2020-12-16T00:00:00"/>
    <n v="4"/>
    <n v="120"/>
    <n v="120"/>
    <x v="0"/>
  </r>
  <r>
    <n v="735"/>
    <s v="Darlene Johnson"/>
    <x v="733"/>
    <x v="15"/>
    <d v="2022-07-20T00:00:00"/>
    <x v="0"/>
    <x v="10"/>
    <x v="2"/>
    <x v="0"/>
    <x v="0"/>
    <x v="570"/>
    <d v="2023-06-23T00:00:00"/>
    <n v="5"/>
    <n v="0"/>
    <n v="48"/>
    <x v="0"/>
  </r>
  <r>
    <n v="736"/>
    <s v="Michelle Wilson"/>
    <x v="734"/>
    <x v="12"/>
    <d v="2022-05-29T00:00:00"/>
    <x v="4"/>
    <x v="13"/>
    <x v="3"/>
    <x v="2"/>
    <x v="3"/>
    <x v="571"/>
    <d v="2022-11-01T00:00:00"/>
    <m/>
    <n v="24"/>
    <n v="120"/>
    <x v="0"/>
  </r>
  <r>
    <n v="737"/>
    <s v="Cathy Rodriguez"/>
    <x v="735"/>
    <x v="17"/>
    <d v="2022-09-19T00:00:00"/>
    <x v="2"/>
    <x v="6"/>
    <x v="1"/>
    <x v="3"/>
    <x v="1"/>
    <x v="572"/>
    <d v="2023-05-07T00:00:00"/>
    <n v="5"/>
    <n v="48"/>
    <n v="168"/>
    <x v="0"/>
  </r>
  <r>
    <n v="738"/>
    <s v="Zachary Hammond"/>
    <x v="736"/>
    <x v="7"/>
    <d v="2021-08-17T00:00:00"/>
    <x v="1"/>
    <x v="3"/>
    <x v="1"/>
    <x v="2"/>
    <x v="2"/>
    <x v="531"/>
    <d v="2021-10-06T00:00:00"/>
    <n v="5"/>
    <n v="168"/>
    <n v="120"/>
    <x v="1"/>
  </r>
  <r>
    <n v="739"/>
    <s v="Zachary Scott"/>
    <x v="737"/>
    <x v="12"/>
    <d v="2022-08-06T00:00:00"/>
    <x v="0"/>
    <x v="10"/>
    <x v="0"/>
    <x v="3"/>
    <x v="0"/>
    <x v="573"/>
    <d v="2023-01-20T00:00:00"/>
    <m/>
    <n v="192"/>
    <n v="168"/>
    <x v="1"/>
  </r>
  <r>
    <n v="740"/>
    <s v="Matthew Rodriguez"/>
    <x v="738"/>
    <x v="14"/>
    <d v="2021-11-16T00:00:00"/>
    <x v="0"/>
    <x v="5"/>
    <x v="0"/>
    <x v="3"/>
    <x v="1"/>
    <x v="574"/>
    <d v="2022-04-28T00:00:00"/>
    <m/>
    <n v="192"/>
    <n v="168"/>
    <x v="1"/>
  </r>
  <r>
    <n v="741"/>
    <s v="Ashley Jones"/>
    <x v="739"/>
    <x v="0"/>
    <d v="2022-10-11T00:00:00"/>
    <x v="4"/>
    <x v="6"/>
    <x v="0"/>
    <x v="3"/>
    <x v="1"/>
    <x v="497"/>
    <d v="2022-11-13T00:00:00"/>
    <m/>
    <n v="216"/>
    <n v="168"/>
    <x v="1"/>
  </r>
  <r>
    <n v="742"/>
    <s v="Tasha Ortega"/>
    <x v="740"/>
    <x v="1"/>
    <d v="2020-01-06T00:00:00"/>
    <x v="0"/>
    <x v="11"/>
    <x v="1"/>
    <x v="3"/>
    <x v="1"/>
    <x v="575"/>
    <d v="2020-10-30T00:00:00"/>
    <n v="4"/>
    <n v="216"/>
    <n v="168"/>
    <x v="1"/>
  </r>
  <r>
    <n v="743"/>
    <s v="Teresa Henry"/>
    <x v="741"/>
    <x v="17"/>
    <d v="2022-04-19T00:00:00"/>
    <x v="4"/>
    <x v="13"/>
    <x v="3"/>
    <x v="0"/>
    <x v="3"/>
    <x v="576"/>
    <d v="2023-01-12T00:00:00"/>
    <m/>
    <n v="48"/>
    <n v="48"/>
    <x v="0"/>
  </r>
  <r>
    <n v="744"/>
    <s v="James Norris"/>
    <x v="742"/>
    <x v="16"/>
    <d v="2021-06-01T00:00:00"/>
    <x v="0"/>
    <x v="1"/>
    <x v="1"/>
    <x v="1"/>
    <x v="1"/>
    <x v="577"/>
    <d v="2021-12-28T00:00:00"/>
    <n v="3"/>
    <n v="0"/>
    <n v="24"/>
    <x v="0"/>
  </r>
  <r>
    <n v="745"/>
    <s v="Jennifer Chen"/>
    <x v="743"/>
    <x v="18"/>
    <d v="2020-05-04T00:00:00"/>
    <x v="2"/>
    <x v="14"/>
    <x v="1"/>
    <x v="2"/>
    <x v="2"/>
    <x v="309"/>
    <d v="2020-11-25T00:00:00"/>
    <n v="3"/>
    <n v="72"/>
    <n v="120"/>
    <x v="0"/>
  </r>
  <r>
    <n v="746"/>
    <s v="Paige Roberts"/>
    <x v="744"/>
    <x v="18"/>
    <d v="2022-10-23T00:00:00"/>
    <x v="2"/>
    <x v="9"/>
    <x v="1"/>
    <x v="2"/>
    <x v="3"/>
    <x v="466"/>
    <d v="2022-12-30T00:00:00"/>
    <n v="3"/>
    <n v="72"/>
    <n v="120"/>
    <x v="0"/>
  </r>
  <r>
    <n v="747"/>
    <s v="Michael Mosley"/>
    <x v="745"/>
    <x v="3"/>
    <d v="2020-02-25T00:00:00"/>
    <x v="3"/>
    <x v="2"/>
    <x v="1"/>
    <x v="3"/>
    <x v="3"/>
    <x v="578"/>
    <d v="2020-12-10T00:00:00"/>
    <n v="4"/>
    <n v="72"/>
    <n v="168"/>
    <x v="0"/>
  </r>
  <r>
    <n v="748"/>
    <s v="Nathan Watkins"/>
    <x v="746"/>
    <x v="2"/>
    <d v="2022-09-26T00:00:00"/>
    <x v="3"/>
    <x v="4"/>
    <x v="1"/>
    <x v="2"/>
    <x v="3"/>
    <x v="579"/>
    <d v="2023-03-08T00:00:00"/>
    <m/>
    <n v="144"/>
    <n v="120"/>
    <x v="1"/>
  </r>
  <r>
    <n v="749"/>
    <s v="Joseph Flowers"/>
    <x v="747"/>
    <x v="7"/>
    <d v="2021-06-11T00:00:00"/>
    <x v="0"/>
    <x v="10"/>
    <x v="3"/>
    <x v="3"/>
    <x v="1"/>
    <x v="531"/>
    <d v="2021-11-25T00:00:00"/>
    <m/>
    <n v="1368"/>
    <n v="168"/>
    <x v="1"/>
  </r>
  <r>
    <n v="750"/>
    <s v="Richard Williams"/>
    <x v="748"/>
    <x v="1"/>
    <d v="2021-12-13T00:00:00"/>
    <x v="0"/>
    <x v="11"/>
    <x v="1"/>
    <x v="3"/>
    <x v="0"/>
    <x v="580"/>
    <d v="2022-08-03T00:00:00"/>
    <n v="3"/>
    <n v="48"/>
    <n v="168"/>
    <x v="0"/>
  </r>
  <r>
    <n v="751"/>
    <s v="Sheila Herrera"/>
    <x v="749"/>
    <x v="5"/>
    <d v="2022-01-29T00:00:00"/>
    <x v="4"/>
    <x v="4"/>
    <x v="1"/>
    <x v="3"/>
    <x v="1"/>
    <x v="450"/>
    <d v="2023-01-14T00:00:00"/>
    <n v="3"/>
    <n v="216"/>
    <n v="168"/>
    <x v="1"/>
  </r>
  <r>
    <n v="752"/>
    <s v="Kaitlin Hardin"/>
    <x v="750"/>
    <x v="12"/>
    <d v="2020-09-24T00:00:00"/>
    <x v="0"/>
    <x v="11"/>
    <x v="3"/>
    <x v="3"/>
    <x v="0"/>
    <x v="243"/>
    <d v="2020-10-24T00:00:00"/>
    <m/>
    <n v="144"/>
    <n v="168"/>
    <x v="0"/>
  </r>
  <r>
    <n v="753"/>
    <s v="Summer Hoover"/>
    <x v="751"/>
    <x v="7"/>
    <d v="2020-04-09T00:00:00"/>
    <x v="0"/>
    <x v="2"/>
    <x v="1"/>
    <x v="2"/>
    <x v="0"/>
    <x v="522"/>
    <d v="2021-01-25T00:00:00"/>
    <n v="3"/>
    <n v="96"/>
    <n v="120"/>
    <x v="0"/>
  </r>
  <r>
    <n v="754"/>
    <s v="Ashley Crawford"/>
    <x v="752"/>
    <x v="13"/>
    <d v="2023-02-20T00:00:00"/>
    <x v="4"/>
    <x v="14"/>
    <x v="0"/>
    <x v="0"/>
    <x v="0"/>
    <x v="581"/>
    <d v="2023-11-06T00:00:00"/>
    <m/>
    <n v="48"/>
    <n v="48"/>
    <x v="0"/>
  </r>
  <r>
    <n v="755"/>
    <s v="Erika Daugherty"/>
    <x v="753"/>
    <x v="1"/>
    <d v="2023-04-02T00:00:00"/>
    <x v="1"/>
    <x v="1"/>
    <x v="1"/>
    <x v="2"/>
    <x v="2"/>
    <x v="582"/>
    <d v="2023-11-16T00:00:00"/>
    <n v="4"/>
    <n v="24"/>
    <n v="120"/>
    <x v="0"/>
  </r>
  <r>
    <n v="756"/>
    <s v="Christopher Brown"/>
    <x v="754"/>
    <x v="8"/>
    <d v="2021-07-28T00:00:00"/>
    <x v="4"/>
    <x v="12"/>
    <x v="0"/>
    <x v="2"/>
    <x v="1"/>
    <x v="462"/>
    <d v="2022-04-28T00:00:00"/>
    <m/>
    <n v="96"/>
    <n v="120"/>
    <x v="0"/>
  </r>
  <r>
    <n v="757"/>
    <s v="Jessica Frost"/>
    <x v="755"/>
    <x v="11"/>
    <d v="2022-08-09T00:00:00"/>
    <x v="4"/>
    <x v="8"/>
    <x v="0"/>
    <x v="3"/>
    <x v="2"/>
    <x v="546"/>
    <d v="2022-09-25T00:00:00"/>
    <m/>
    <n v="48"/>
    <n v="168"/>
    <x v="0"/>
  </r>
  <r>
    <n v="758"/>
    <s v="Christopher Hobbs"/>
    <x v="756"/>
    <x v="15"/>
    <d v="2023-01-02T00:00:00"/>
    <x v="3"/>
    <x v="8"/>
    <x v="1"/>
    <x v="2"/>
    <x v="0"/>
    <x v="227"/>
    <d v="2023-06-07T00:00:00"/>
    <n v="4"/>
    <n v="96"/>
    <n v="120"/>
    <x v="0"/>
  </r>
  <r>
    <n v="759"/>
    <s v="Stacie Butler"/>
    <x v="757"/>
    <x v="1"/>
    <d v="2022-09-20T00:00:00"/>
    <x v="2"/>
    <x v="2"/>
    <x v="0"/>
    <x v="3"/>
    <x v="1"/>
    <x v="93"/>
    <d v="2023-01-27T00:00:00"/>
    <m/>
    <n v="192"/>
    <n v="168"/>
    <x v="1"/>
  </r>
  <r>
    <n v="760"/>
    <s v="Jerry Allen"/>
    <x v="758"/>
    <x v="16"/>
    <d v="2023-01-19T00:00:00"/>
    <x v="3"/>
    <x v="3"/>
    <x v="1"/>
    <x v="2"/>
    <x v="2"/>
    <x v="583"/>
    <d v="2023-02-25T00:00:00"/>
    <n v="5"/>
    <n v="96"/>
    <n v="120"/>
    <x v="0"/>
  </r>
  <r>
    <n v="761"/>
    <s v="Dr. Mark Patton MD"/>
    <x v="759"/>
    <x v="6"/>
    <d v="2020-05-28T00:00:00"/>
    <x v="0"/>
    <x v="12"/>
    <x v="3"/>
    <x v="2"/>
    <x v="1"/>
    <x v="584"/>
    <d v="2020-11-03T00:00:00"/>
    <m/>
    <n v="96"/>
    <n v="120"/>
    <x v="0"/>
  </r>
  <r>
    <n v="762"/>
    <s v="Shari Hatfield"/>
    <x v="760"/>
    <x v="14"/>
    <d v="2021-03-05T00:00:00"/>
    <x v="0"/>
    <x v="10"/>
    <x v="0"/>
    <x v="3"/>
    <x v="0"/>
    <x v="585"/>
    <d v="2021-12-11T00:00:00"/>
    <m/>
    <n v="120"/>
    <n v="168"/>
    <x v="0"/>
  </r>
  <r>
    <n v="763"/>
    <s v="Brian Hernandez"/>
    <x v="761"/>
    <x v="3"/>
    <d v="2020-03-07T00:00:00"/>
    <x v="4"/>
    <x v="7"/>
    <x v="1"/>
    <x v="3"/>
    <x v="2"/>
    <x v="586"/>
    <d v="2020-03-14T00:00:00"/>
    <n v="4"/>
    <n v="168"/>
    <n v="168"/>
    <x v="0"/>
  </r>
  <r>
    <n v="764"/>
    <s v="Jackson Clark"/>
    <x v="762"/>
    <x v="7"/>
    <d v="2023-02-24T00:00:00"/>
    <x v="4"/>
    <x v="13"/>
    <x v="0"/>
    <x v="2"/>
    <x v="3"/>
    <x v="587"/>
    <d v="2023-03-23T00:00:00"/>
    <m/>
    <n v="96"/>
    <n v="120"/>
    <x v="0"/>
  </r>
  <r>
    <n v="765"/>
    <s v="Joshua Moore"/>
    <x v="763"/>
    <x v="12"/>
    <d v="2023-01-25T00:00:00"/>
    <x v="1"/>
    <x v="6"/>
    <x v="3"/>
    <x v="0"/>
    <x v="2"/>
    <x v="588"/>
    <d v="2023-06-19T00:00:00"/>
    <m/>
    <n v="48"/>
    <n v="48"/>
    <x v="0"/>
  </r>
  <r>
    <n v="766"/>
    <s v="Kevin Barnes"/>
    <x v="764"/>
    <x v="5"/>
    <d v="2020-06-01T00:00:00"/>
    <x v="4"/>
    <x v="11"/>
    <x v="1"/>
    <x v="3"/>
    <x v="1"/>
    <x v="243"/>
    <d v="2020-10-23T00:00:00"/>
    <m/>
    <n v="120"/>
    <n v="168"/>
    <x v="0"/>
  </r>
  <r>
    <n v="767"/>
    <s v="Jason Gonzalez"/>
    <x v="765"/>
    <x v="13"/>
    <d v="2021-11-08T00:00:00"/>
    <x v="0"/>
    <x v="0"/>
    <x v="1"/>
    <x v="3"/>
    <x v="0"/>
    <x v="589"/>
    <d v="2021-11-15T00:00:00"/>
    <n v="3"/>
    <n v="120"/>
    <n v="168"/>
    <x v="0"/>
  </r>
  <r>
    <n v="768"/>
    <s v="Timothy Gibson"/>
    <x v="766"/>
    <x v="9"/>
    <d v="2020-10-28T00:00:00"/>
    <x v="0"/>
    <x v="5"/>
    <x v="1"/>
    <x v="3"/>
    <x v="0"/>
    <x v="509"/>
    <d v="2021-08-10T00:00:00"/>
    <n v="3"/>
    <n v="264"/>
    <n v="168"/>
    <x v="1"/>
  </r>
  <r>
    <n v="769"/>
    <s v="Vanessa Harris"/>
    <x v="767"/>
    <x v="8"/>
    <d v="2020-07-31T00:00:00"/>
    <x v="1"/>
    <x v="3"/>
    <x v="0"/>
    <x v="3"/>
    <x v="1"/>
    <x v="590"/>
    <d v="2020-10-07T00:00:00"/>
    <m/>
    <n v="120"/>
    <n v="168"/>
    <x v="0"/>
  </r>
  <r>
    <n v="770"/>
    <s v="John Barnes"/>
    <x v="768"/>
    <x v="9"/>
    <d v="2023-05-11T00:00:00"/>
    <x v="2"/>
    <x v="4"/>
    <x v="2"/>
    <x v="3"/>
    <x v="1"/>
    <x v="591"/>
    <d v="2024-03-24T00:00:00"/>
    <n v="5"/>
    <n v="96"/>
    <n v="168"/>
    <x v="0"/>
  </r>
  <r>
    <n v="771"/>
    <s v="Tiffany Whitehead"/>
    <x v="769"/>
    <x v="10"/>
    <d v="2020-12-02T00:00:00"/>
    <x v="0"/>
    <x v="3"/>
    <x v="1"/>
    <x v="3"/>
    <x v="3"/>
    <x v="592"/>
    <d v="2020-12-11T00:00:00"/>
    <n v="5"/>
    <n v="144"/>
    <n v="168"/>
    <x v="0"/>
  </r>
  <r>
    <n v="772"/>
    <s v="Sara Ramirez"/>
    <x v="770"/>
    <x v="1"/>
    <d v="2021-05-23T00:00:00"/>
    <x v="1"/>
    <x v="4"/>
    <x v="0"/>
    <x v="2"/>
    <x v="1"/>
    <x v="382"/>
    <d v="2022-05-04T00:00:00"/>
    <m/>
    <n v="48"/>
    <n v="120"/>
    <x v="0"/>
  </r>
  <r>
    <n v="773"/>
    <s v="Daniel Pennington"/>
    <x v="771"/>
    <x v="1"/>
    <d v="2020-03-09T00:00:00"/>
    <x v="0"/>
    <x v="7"/>
    <x v="0"/>
    <x v="3"/>
    <x v="2"/>
    <x v="593"/>
    <d v="2020-07-10T00:00:00"/>
    <m/>
    <n v="168"/>
    <n v="168"/>
    <x v="0"/>
  </r>
  <r>
    <n v="774"/>
    <s v="John Mack"/>
    <x v="772"/>
    <x v="11"/>
    <d v="2020-06-01T00:00:00"/>
    <x v="1"/>
    <x v="1"/>
    <x v="2"/>
    <x v="2"/>
    <x v="1"/>
    <x v="594"/>
    <d v="2021-05-17T00:00:00"/>
    <n v="5"/>
    <n v="48"/>
    <n v="120"/>
    <x v="0"/>
  </r>
  <r>
    <n v="775"/>
    <s v="David Hansen"/>
    <x v="773"/>
    <x v="16"/>
    <d v="2020-07-25T00:00:00"/>
    <x v="3"/>
    <x v="10"/>
    <x v="0"/>
    <x v="2"/>
    <x v="0"/>
    <x v="595"/>
    <d v="2020-12-14T00:00:00"/>
    <m/>
    <n v="48"/>
    <n v="120"/>
    <x v="0"/>
  </r>
  <r>
    <n v="776"/>
    <s v="David Duarte"/>
    <x v="774"/>
    <x v="16"/>
    <d v="2021-12-14T00:00:00"/>
    <x v="3"/>
    <x v="13"/>
    <x v="0"/>
    <x v="1"/>
    <x v="3"/>
    <x v="596"/>
    <d v="2022-09-13T00:00:00"/>
    <m/>
    <n v="24"/>
    <n v="24"/>
    <x v="0"/>
  </r>
  <r>
    <n v="777"/>
    <s v="Nicole Johnson"/>
    <x v="775"/>
    <x v="14"/>
    <d v="2021-09-21T00:00:00"/>
    <x v="3"/>
    <x v="8"/>
    <x v="1"/>
    <x v="0"/>
    <x v="3"/>
    <x v="510"/>
    <d v="2022-09-11T00:00:00"/>
    <n v="4"/>
    <n v="48"/>
    <n v="48"/>
    <x v="0"/>
  </r>
  <r>
    <n v="778"/>
    <s v="Seth Sims"/>
    <x v="776"/>
    <x v="8"/>
    <d v="2021-06-01T00:00:00"/>
    <x v="3"/>
    <x v="14"/>
    <x v="1"/>
    <x v="3"/>
    <x v="2"/>
    <x v="597"/>
    <d v="2022-04-06T00:00:00"/>
    <n v="4"/>
    <n v="144"/>
    <n v="168"/>
    <x v="0"/>
  </r>
  <r>
    <n v="779"/>
    <s v="Elizabeth Mullins"/>
    <x v="777"/>
    <x v="14"/>
    <d v="2023-02-16T00:00:00"/>
    <x v="3"/>
    <x v="4"/>
    <x v="1"/>
    <x v="2"/>
    <x v="1"/>
    <x v="300"/>
    <d v="2023-03-29T00:00:00"/>
    <n v="4"/>
    <n v="96"/>
    <n v="120"/>
    <x v="0"/>
  </r>
  <r>
    <n v="780"/>
    <s v="Kayla Kent"/>
    <x v="778"/>
    <x v="4"/>
    <d v="2021-12-23T00:00:00"/>
    <x v="3"/>
    <x v="0"/>
    <x v="1"/>
    <x v="0"/>
    <x v="3"/>
    <x v="598"/>
    <d v="2022-12-15T00:00:00"/>
    <n v="5"/>
    <n v="48"/>
    <n v="48"/>
    <x v="0"/>
  </r>
  <r>
    <n v="781"/>
    <s v="Holly Thompson"/>
    <x v="779"/>
    <x v="12"/>
    <d v="2021-06-04T00:00:00"/>
    <x v="0"/>
    <x v="8"/>
    <x v="1"/>
    <x v="2"/>
    <x v="3"/>
    <x v="599"/>
    <d v="2021-07-03T00:00:00"/>
    <n v="3"/>
    <n v="72"/>
    <n v="120"/>
    <x v="0"/>
  </r>
  <r>
    <n v="782"/>
    <s v="Brian Mendoza"/>
    <x v="780"/>
    <x v="5"/>
    <d v="2021-07-01T00:00:00"/>
    <x v="1"/>
    <x v="7"/>
    <x v="3"/>
    <x v="2"/>
    <x v="3"/>
    <x v="415"/>
    <d v="2022-02-08T00:00:00"/>
    <m/>
    <n v="72"/>
    <n v="120"/>
    <x v="0"/>
  </r>
  <r>
    <n v="783"/>
    <s v="Kathy Henderson"/>
    <x v="781"/>
    <x v="10"/>
    <d v="2022-02-17T00:00:00"/>
    <x v="0"/>
    <x v="10"/>
    <x v="1"/>
    <x v="2"/>
    <x v="3"/>
    <x v="600"/>
    <d v="2022-04-21T00:00:00"/>
    <n v="3"/>
    <n v="192"/>
    <n v="120"/>
    <x v="1"/>
  </r>
  <r>
    <n v="784"/>
    <s v="Barbara Mckinney"/>
    <x v="782"/>
    <x v="13"/>
    <d v="2021-12-12T00:00:00"/>
    <x v="2"/>
    <x v="2"/>
    <x v="0"/>
    <x v="0"/>
    <x v="1"/>
    <x v="601"/>
    <d v="2022-10-28T00:00:00"/>
    <m/>
    <n v="72"/>
    <n v="48"/>
    <x v="1"/>
  </r>
  <r>
    <n v="785"/>
    <s v="James White"/>
    <x v="783"/>
    <x v="2"/>
    <d v="2020-08-17T00:00:00"/>
    <x v="3"/>
    <x v="2"/>
    <x v="1"/>
    <x v="2"/>
    <x v="1"/>
    <x v="602"/>
    <d v="2021-01-29T00:00:00"/>
    <n v="4"/>
    <n v="144"/>
    <n v="120"/>
    <x v="1"/>
  </r>
  <r>
    <n v="786"/>
    <s v="Shaun Meyer DDS"/>
    <x v="784"/>
    <x v="6"/>
    <d v="2021-06-22T00:00:00"/>
    <x v="4"/>
    <x v="11"/>
    <x v="0"/>
    <x v="3"/>
    <x v="1"/>
    <x v="279"/>
    <d v="2021-07-29T00:00:00"/>
    <m/>
    <n v="192"/>
    <n v="168"/>
    <x v="1"/>
  </r>
  <r>
    <n v="787"/>
    <s v="Oscar Smith"/>
    <x v="785"/>
    <x v="10"/>
    <d v="2022-03-18T00:00:00"/>
    <x v="0"/>
    <x v="7"/>
    <x v="1"/>
    <x v="3"/>
    <x v="1"/>
    <x v="414"/>
    <d v="2022-05-03T00:00:00"/>
    <m/>
    <n v="264"/>
    <n v="168"/>
    <x v="1"/>
  </r>
  <r>
    <n v="788"/>
    <s v="Jennifer Cooper"/>
    <x v="786"/>
    <x v="7"/>
    <d v="2021-12-12T00:00:00"/>
    <x v="4"/>
    <x v="13"/>
    <x v="1"/>
    <x v="0"/>
    <x v="2"/>
    <x v="396"/>
    <d v="2022-07-15T00:00:00"/>
    <n v="4"/>
    <n v="24"/>
    <n v="48"/>
    <x v="0"/>
  </r>
  <r>
    <n v="789"/>
    <s v="Carlos Clarke"/>
    <x v="787"/>
    <x v="10"/>
    <d v="2021-03-23T00:00:00"/>
    <x v="3"/>
    <x v="5"/>
    <x v="1"/>
    <x v="3"/>
    <x v="1"/>
    <x v="603"/>
    <d v="2021-07-28T00:00:00"/>
    <n v="3"/>
    <n v="120"/>
    <n v="168"/>
    <x v="0"/>
  </r>
  <r>
    <n v="790"/>
    <s v="Amber Gomez"/>
    <x v="788"/>
    <x v="2"/>
    <d v="2023-01-10T00:00:00"/>
    <x v="3"/>
    <x v="3"/>
    <x v="3"/>
    <x v="0"/>
    <x v="1"/>
    <x v="604"/>
    <d v="2023-01-26T00:00:00"/>
    <m/>
    <n v="24"/>
    <n v="48"/>
    <x v="0"/>
  </r>
  <r>
    <n v="791"/>
    <s v="Catherine Thompson"/>
    <x v="789"/>
    <x v="10"/>
    <d v="2022-06-11T00:00:00"/>
    <x v="3"/>
    <x v="12"/>
    <x v="1"/>
    <x v="3"/>
    <x v="1"/>
    <x v="605"/>
    <d v="2022-11-06T00:00:00"/>
    <n v="4"/>
    <n v="72"/>
    <n v="168"/>
    <x v="0"/>
  </r>
  <r>
    <n v="792"/>
    <s v="David Lopez"/>
    <x v="790"/>
    <x v="0"/>
    <d v="2021-08-02T00:00:00"/>
    <x v="2"/>
    <x v="3"/>
    <x v="1"/>
    <x v="0"/>
    <x v="1"/>
    <x v="238"/>
    <d v="2021-08-13T00:00:00"/>
    <n v="4"/>
    <n v="24"/>
    <n v="48"/>
    <x v="0"/>
  </r>
  <r>
    <n v="793"/>
    <s v="William Ferguson"/>
    <x v="791"/>
    <x v="2"/>
    <d v="2023-04-08T00:00:00"/>
    <x v="3"/>
    <x v="12"/>
    <x v="1"/>
    <x v="2"/>
    <x v="0"/>
    <x v="606"/>
    <d v="2024-03-12T00:00:00"/>
    <m/>
    <n v="24"/>
    <n v="120"/>
    <x v="0"/>
  </r>
  <r>
    <n v="794"/>
    <s v="Jimmy Flores"/>
    <x v="792"/>
    <x v="6"/>
    <d v="2021-05-29T00:00:00"/>
    <x v="3"/>
    <x v="6"/>
    <x v="2"/>
    <x v="2"/>
    <x v="1"/>
    <x v="607"/>
    <d v="2021-09-07T00:00:00"/>
    <n v="5"/>
    <n v="96"/>
    <n v="120"/>
    <x v="0"/>
  </r>
  <r>
    <n v="795"/>
    <s v="Elizabeth Kemp"/>
    <x v="793"/>
    <x v="10"/>
    <d v="2021-06-10T00:00:00"/>
    <x v="0"/>
    <x v="7"/>
    <x v="1"/>
    <x v="0"/>
    <x v="1"/>
    <x v="608"/>
    <d v="2022-03-11T00:00:00"/>
    <m/>
    <n v="0"/>
    <n v="48"/>
    <x v="0"/>
  </r>
  <r>
    <n v="796"/>
    <s v="Monique Mccullough"/>
    <x v="794"/>
    <x v="10"/>
    <d v="2021-09-15T00:00:00"/>
    <x v="0"/>
    <x v="5"/>
    <x v="1"/>
    <x v="3"/>
    <x v="2"/>
    <x v="609"/>
    <d v="2021-11-03T00:00:00"/>
    <n v="5"/>
    <n v="192"/>
    <n v="168"/>
    <x v="1"/>
  </r>
  <r>
    <n v="797"/>
    <s v="Connie Howard"/>
    <x v="795"/>
    <x v="5"/>
    <d v="2020-12-11T00:00:00"/>
    <x v="2"/>
    <x v="11"/>
    <x v="1"/>
    <x v="2"/>
    <x v="1"/>
    <x v="65"/>
    <d v="2021-03-14T00:00:00"/>
    <m/>
    <n v="48"/>
    <n v="120"/>
    <x v="0"/>
  </r>
  <r>
    <n v="798"/>
    <s v="Pamela Gonzalez"/>
    <x v="796"/>
    <x v="1"/>
    <d v="2020-05-15T00:00:00"/>
    <x v="2"/>
    <x v="7"/>
    <x v="1"/>
    <x v="0"/>
    <x v="1"/>
    <x v="195"/>
    <d v="2021-04-15T00:00:00"/>
    <n v="4"/>
    <n v="72"/>
    <n v="48"/>
    <x v="1"/>
  </r>
  <r>
    <n v="799"/>
    <s v="Jennifer Henry"/>
    <x v="797"/>
    <x v="2"/>
    <d v="2023-01-17T00:00:00"/>
    <x v="2"/>
    <x v="2"/>
    <x v="1"/>
    <x v="0"/>
    <x v="3"/>
    <x v="610"/>
    <d v="2023-05-28T00:00:00"/>
    <n v="4"/>
    <n v="24"/>
    <n v="48"/>
    <x v="0"/>
  </r>
  <r>
    <n v="800"/>
    <s v="Jaclyn Watson"/>
    <x v="798"/>
    <x v="16"/>
    <d v="2020-05-16T00:00:00"/>
    <x v="4"/>
    <x v="10"/>
    <x v="1"/>
    <x v="2"/>
    <x v="1"/>
    <x v="611"/>
    <d v="2021-01-05T00:00:00"/>
    <n v="4"/>
    <n v="96"/>
    <n v="120"/>
    <x v="0"/>
  </r>
  <r>
    <n v="801"/>
    <s v="Stephen Figueroa"/>
    <x v="799"/>
    <x v="2"/>
    <d v="2023-02-04T00:00:00"/>
    <x v="4"/>
    <x v="0"/>
    <x v="0"/>
    <x v="2"/>
    <x v="1"/>
    <x v="47"/>
    <d v="2023-03-22T00:00:00"/>
    <m/>
    <n v="96"/>
    <n v="120"/>
    <x v="0"/>
  </r>
  <r>
    <n v="802"/>
    <s v="Jessica Mosley"/>
    <x v="800"/>
    <x v="0"/>
    <d v="2020-11-18T00:00:00"/>
    <x v="1"/>
    <x v="3"/>
    <x v="1"/>
    <x v="2"/>
    <x v="0"/>
    <x v="612"/>
    <d v="2020-12-26T00:00:00"/>
    <n v="4"/>
    <n v="48"/>
    <n v="120"/>
    <x v="0"/>
  </r>
  <r>
    <n v="803"/>
    <s v="William Fox"/>
    <x v="801"/>
    <x v="6"/>
    <d v="2020-01-11T00:00:00"/>
    <x v="2"/>
    <x v="14"/>
    <x v="3"/>
    <x v="1"/>
    <x v="1"/>
    <x v="613"/>
    <d v="2020-10-15T00:00:00"/>
    <m/>
    <n v="0"/>
    <n v="24"/>
    <x v="0"/>
  </r>
  <r>
    <n v="804"/>
    <s v="Thomas Perry"/>
    <x v="802"/>
    <x v="1"/>
    <d v="2020-11-05T00:00:00"/>
    <x v="4"/>
    <x v="9"/>
    <x v="3"/>
    <x v="3"/>
    <x v="1"/>
    <x v="614"/>
    <d v="2021-10-12T00:00:00"/>
    <m/>
    <n v="144"/>
    <n v="168"/>
    <x v="0"/>
  </r>
  <r>
    <n v="805"/>
    <s v="James Spencer"/>
    <x v="803"/>
    <x v="14"/>
    <d v="2021-04-17T00:00:00"/>
    <x v="4"/>
    <x v="1"/>
    <x v="1"/>
    <x v="2"/>
    <x v="1"/>
    <x v="615"/>
    <d v="2022-01-08T00:00:00"/>
    <n v="3"/>
    <n v="48"/>
    <n v="120"/>
    <x v="0"/>
  </r>
  <r>
    <n v="806"/>
    <s v="Patrick Walker DDS"/>
    <x v="804"/>
    <x v="16"/>
    <d v="2022-01-04T00:00:00"/>
    <x v="1"/>
    <x v="13"/>
    <x v="0"/>
    <x v="3"/>
    <x v="2"/>
    <x v="616"/>
    <d v="2022-05-01T00:00:00"/>
    <m/>
    <n v="240"/>
    <n v="168"/>
    <x v="1"/>
  </r>
  <r>
    <n v="807"/>
    <s v="Maxwell Roberts"/>
    <x v="805"/>
    <x v="8"/>
    <d v="2020-02-14T00:00:00"/>
    <x v="0"/>
    <x v="10"/>
    <x v="1"/>
    <x v="3"/>
    <x v="1"/>
    <x v="617"/>
    <d v="2020-11-05T00:00:00"/>
    <n v="4"/>
    <n v="240"/>
    <n v="168"/>
    <x v="1"/>
  </r>
  <r>
    <n v="808"/>
    <s v="Donald Gamble"/>
    <x v="806"/>
    <x v="8"/>
    <d v="2022-05-28T00:00:00"/>
    <x v="0"/>
    <x v="4"/>
    <x v="1"/>
    <x v="3"/>
    <x v="3"/>
    <x v="618"/>
    <d v="2023-03-17T00:00:00"/>
    <n v="4"/>
    <n v="72"/>
    <n v="168"/>
    <x v="0"/>
  </r>
  <r>
    <n v="809"/>
    <s v="David Jennings"/>
    <x v="807"/>
    <x v="17"/>
    <d v="2021-02-07T00:00:00"/>
    <x v="2"/>
    <x v="11"/>
    <x v="1"/>
    <x v="2"/>
    <x v="3"/>
    <x v="327"/>
    <d v="2021-08-26T00:00:00"/>
    <m/>
    <n v="120"/>
    <n v="120"/>
    <x v="0"/>
  </r>
  <r>
    <n v="810"/>
    <s v="Anthony Flores"/>
    <x v="808"/>
    <x v="9"/>
    <d v="2021-10-13T00:00:00"/>
    <x v="3"/>
    <x v="4"/>
    <x v="1"/>
    <x v="2"/>
    <x v="1"/>
    <x v="619"/>
    <d v="2022-01-12T00:00:00"/>
    <m/>
    <n v="96"/>
    <n v="120"/>
    <x v="0"/>
  </r>
  <r>
    <n v="811"/>
    <s v="Tina Williams"/>
    <x v="809"/>
    <x v="7"/>
    <d v="2023-04-05T00:00:00"/>
    <x v="4"/>
    <x v="5"/>
    <x v="0"/>
    <x v="3"/>
    <x v="3"/>
    <x v="620"/>
    <d v="2023-08-01T00:00:00"/>
    <m/>
    <n v="312"/>
    <n v="168"/>
    <x v="1"/>
  </r>
  <r>
    <n v="812"/>
    <s v="Pamela George"/>
    <x v="810"/>
    <x v="16"/>
    <d v="2023-05-27T00:00:00"/>
    <x v="4"/>
    <x v="12"/>
    <x v="1"/>
    <x v="0"/>
    <x v="2"/>
    <x v="621"/>
    <d v="2023-12-15T00:00:00"/>
    <m/>
    <n v="48"/>
    <n v="48"/>
    <x v="0"/>
  </r>
  <r>
    <n v="813"/>
    <s v="Michael Barker"/>
    <x v="811"/>
    <x v="7"/>
    <d v="2020-01-21T00:00:00"/>
    <x v="2"/>
    <x v="10"/>
    <x v="1"/>
    <x v="3"/>
    <x v="1"/>
    <x v="622"/>
    <d v="2020-09-05T00:00:00"/>
    <n v="4"/>
    <n v="168"/>
    <n v="168"/>
    <x v="0"/>
  </r>
  <r>
    <n v="814"/>
    <s v="Douglas Maxwell"/>
    <x v="812"/>
    <x v="6"/>
    <d v="2020-12-04T00:00:00"/>
    <x v="2"/>
    <x v="9"/>
    <x v="3"/>
    <x v="2"/>
    <x v="2"/>
    <x v="623"/>
    <d v="2021-07-24T00:00:00"/>
    <m/>
    <n v="96"/>
    <n v="120"/>
    <x v="0"/>
  </r>
  <r>
    <n v="815"/>
    <s v="Daniel Lopez"/>
    <x v="813"/>
    <x v="1"/>
    <d v="2020-07-22T00:00:00"/>
    <x v="1"/>
    <x v="1"/>
    <x v="1"/>
    <x v="2"/>
    <x v="0"/>
    <x v="624"/>
    <d v="2020-08-14T00:00:00"/>
    <n v="5"/>
    <n v="72"/>
    <n v="120"/>
    <x v="0"/>
  </r>
  <r>
    <n v="816"/>
    <s v="Karen Collins"/>
    <x v="814"/>
    <x v="3"/>
    <d v="2023-04-01T00:00:00"/>
    <x v="0"/>
    <x v="0"/>
    <x v="3"/>
    <x v="3"/>
    <x v="1"/>
    <x v="625"/>
    <d v="2023-11-08T00:00:00"/>
    <m/>
    <n v="216"/>
    <n v="168"/>
    <x v="1"/>
  </r>
  <r>
    <n v="817"/>
    <s v="Carrie Torres"/>
    <x v="815"/>
    <x v="17"/>
    <d v="2022-12-04T00:00:00"/>
    <x v="3"/>
    <x v="13"/>
    <x v="1"/>
    <x v="0"/>
    <x v="1"/>
    <x v="626"/>
    <d v="2023-11-27T00:00:00"/>
    <n v="3"/>
    <n v="24"/>
    <n v="48"/>
    <x v="0"/>
  </r>
  <r>
    <n v="818"/>
    <s v="Calvin Anderson"/>
    <x v="816"/>
    <x v="10"/>
    <d v="2020-04-30T00:00:00"/>
    <x v="1"/>
    <x v="1"/>
    <x v="3"/>
    <x v="3"/>
    <x v="3"/>
    <x v="627"/>
    <d v="2021-01-08T00:00:00"/>
    <m/>
    <n v="24"/>
    <n v="168"/>
    <x v="0"/>
  </r>
  <r>
    <n v="819"/>
    <s v="John Reynolds"/>
    <x v="817"/>
    <x v="5"/>
    <d v="2022-07-10T00:00:00"/>
    <x v="2"/>
    <x v="1"/>
    <x v="0"/>
    <x v="2"/>
    <x v="3"/>
    <x v="38"/>
    <d v="2022-10-06T00:00:00"/>
    <m/>
    <n v="96"/>
    <n v="120"/>
    <x v="0"/>
  </r>
  <r>
    <n v="820"/>
    <s v="Bryan King"/>
    <x v="818"/>
    <x v="4"/>
    <d v="2023-04-30T00:00:00"/>
    <x v="2"/>
    <x v="9"/>
    <x v="1"/>
    <x v="2"/>
    <x v="3"/>
    <x v="628"/>
    <d v="2023-11-24T00:00:00"/>
    <n v="2"/>
    <n v="96"/>
    <n v="120"/>
    <x v="0"/>
  </r>
  <r>
    <n v="821"/>
    <s v="Lance Matthews"/>
    <x v="819"/>
    <x v="9"/>
    <d v="2020-08-14T00:00:00"/>
    <x v="3"/>
    <x v="7"/>
    <x v="1"/>
    <x v="3"/>
    <x v="1"/>
    <x v="629"/>
    <d v="2021-05-29T00:00:00"/>
    <n v="5"/>
    <n v="192"/>
    <n v="168"/>
    <x v="1"/>
  </r>
  <r>
    <n v="822"/>
    <s v="Teresa Rush"/>
    <x v="820"/>
    <x v="7"/>
    <d v="2022-02-23T00:00:00"/>
    <x v="1"/>
    <x v="12"/>
    <x v="1"/>
    <x v="2"/>
    <x v="1"/>
    <x v="630"/>
    <d v="2022-04-30T00:00:00"/>
    <n v="5"/>
    <n v="72"/>
    <n v="120"/>
    <x v="0"/>
  </r>
  <r>
    <n v="823"/>
    <s v="Annette Lane"/>
    <x v="821"/>
    <x v="15"/>
    <d v="2020-09-23T00:00:00"/>
    <x v="3"/>
    <x v="1"/>
    <x v="1"/>
    <x v="2"/>
    <x v="3"/>
    <x v="607"/>
    <d v="2021-09-07T00:00:00"/>
    <n v="4"/>
    <n v="96"/>
    <n v="120"/>
    <x v="0"/>
  </r>
  <r>
    <n v="824"/>
    <s v="Kimberly Beltran"/>
    <x v="822"/>
    <x v="5"/>
    <d v="2022-01-07T00:00:00"/>
    <x v="4"/>
    <x v="0"/>
    <x v="1"/>
    <x v="1"/>
    <x v="2"/>
    <x v="400"/>
    <d v="2022-02-03T00:00:00"/>
    <n v="4"/>
    <n v="24"/>
    <n v="24"/>
    <x v="0"/>
  </r>
  <r>
    <n v="825"/>
    <s v="Kevin Gonzales"/>
    <x v="823"/>
    <x v="8"/>
    <d v="2021-10-20T00:00:00"/>
    <x v="4"/>
    <x v="13"/>
    <x v="3"/>
    <x v="0"/>
    <x v="0"/>
    <x v="517"/>
    <d v="2021-10-29T00:00:00"/>
    <m/>
    <n v="48"/>
    <n v="48"/>
    <x v="0"/>
  </r>
  <r>
    <n v="826"/>
    <s v="Darren Rodriguez"/>
    <x v="824"/>
    <x v="3"/>
    <d v="2022-02-09T00:00:00"/>
    <x v="0"/>
    <x v="1"/>
    <x v="1"/>
    <x v="0"/>
    <x v="1"/>
    <x v="499"/>
    <d v="2022-03-05T00:00:00"/>
    <m/>
    <n v="48"/>
    <n v="48"/>
    <x v="0"/>
  </r>
  <r>
    <n v="827"/>
    <s v="Michele Hawkins"/>
    <x v="825"/>
    <x v="0"/>
    <d v="2021-03-16T00:00:00"/>
    <x v="2"/>
    <x v="3"/>
    <x v="1"/>
    <x v="2"/>
    <x v="1"/>
    <x v="631"/>
    <d v="2021-07-14T00:00:00"/>
    <n v="5"/>
    <n v="48"/>
    <n v="120"/>
    <x v="0"/>
  </r>
  <r>
    <n v="828"/>
    <s v="Noah Mcdaniel"/>
    <x v="826"/>
    <x v="11"/>
    <d v="2021-10-26T00:00:00"/>
    <x v="3"/>
    <x v="13"/>
    <x v="3"/>
    <x v="1"/>
    <x v="3"/>
    <x v="546"/>
    <d v="2022-09-23T00:00:00"/>
    <m/>
    <n v="0"/>
    <n v="24"/>
    <x v="0"/>
  </r>
  <r>
    <n v="829"/>
    <s v="Benjamin Randall"/>
    <x v="827"/>
    <x v="12"/>
    <d v="2020-01-20T00:00:00"/>
    <x v="4"/>
    <x v="5"/>
    <x v="1"/>
    <x v="3"/>
    <x v="3"/>
    <x v="145"/>
    <d v="2020-11-10T00:00:00"/>
    <n v="4"/>
    <n v="96"/>
    <n v="168"/>
    <x v="0"/>
  </r>
  <r>
    <n v="830"/>
    <s v="Mrs. Ashley Kim DDS"/>
    <x v="828"/>
    <x v="4"/>
    <d v="2022-07-06T00:00:00"/>
    <x v="4"/>
    <x v="2"/>
    <x v="1"/>
    <x v="2"/>
    <x v="3"/>
    <x v="304"/>
    <d v="2023-06-14T00:00:00"/>
    <n v="4"/>
    <n v="48"/>
    <n v="120"/>
    <x v="0"/>
  </r>
  <r>
    <n v="831"/>
    <s v="Natalie Stafford"/>
    <x v="829"/>
    <x v="8"/>
    <d v="2020-11-07T00:00:00"/>
    <x v="3"/>
    <x v="8"/>
    <x v="1"/>
    <x v="3"/>
    <x v="1"/>
    <x v="68"/>
    <d v="2021-03-12T00:00:00"/>
    <n v="5"/>
    <n v="144"/>
    <n v="168"/>
    <x v="0"/>
  </r>
  <r>
    <n v="832"/>
    <s v="Wanda Martinez"/>
    <x v="830"/>
    <x v="13"/>
    <d v="2023-04-04T00:00:00"/>
    <x v="2"/>
    <x v="13"/>
    <x v="1"/>
    <x v="2"/>
    <x v="2"/>
    <x v="185"/>
    <d v="2023-09-06T00:00:00"/>
    <m/>
    <n v="96"/>
    <n v="120"/>
    <x v="0"/>
  </r>
  <r>
    <n v="833"/>
    <s v="Denise Clarke"/>
    <x v="831"/>
    <x v="6"/>
    <d v="2021-09-20T00:00:00"/>
    <x v="3"/>
    <x v="3"/>
    <x v="1"/>
    <x v="3"/>
    <x v="0"/>
    <x v="130"/>
    <d v="2022-02-15T00:00:00"/>
    <n v="5"/>
    <n v="144"/>
    <n v="168"/>
    <x v="0"/>
  </r>
  <r>
    <n v="834"/>
    <s v="Ms. Brittany Gibson"/>
    <x v="832"/>
    <x v="4"/>
    <d v="2020-07-28T00:00:00"/>
    <x v="4"/>
    <x v="7"/>
    <x v="1"/>
    <x v="2"/>
    <x v="3"/>
    <x v="325"/>
    <d v="2021-01-25T00:00:00"/>
    <m/>
    <n v="144"/>
    <n v="120"/>
    <x v="1"/>
  </r>
  <r>
    <n v="835"/>
    <s v="Oscar Greer"/>
    <x v="833"/>
    <x v="18"/>
    <d v="2022-07-28T00:00:00"/>
    <x v="4"/>
    <x v="3"/>
    <x v="2"/>
    <x v="2"/>
    <x v="1"/>
    <x v="435"/>
    <d v="2023-01-12T00:00:00"/>
    <n v="4"/>
    <n v="96"/>
    <n v="120"/>
    <x v="0"/>
  </r>
  <r>
    <n v="836"/>
    <s v="Brittany Howell"/>
    <x v="834"/>
    <x v="3"/>
    <d v="2023-04-07T00:00:00"/>
    <x v="4"/>
    <x v="13"/>
    <x v="1"/>
    <x v="3"/>
    <x v="3"/>
    <x v="632"/>
    <d v="2024-02-07T00:00:00"/>
    <n v="3"/>
    <n v="72"/>
    <n v="168"/>
    <x v="0"/>
  </r>
  <r>
    <n v="837"/>
    <s v="John Carter MD"/>
    <x v="835"/>
    <x v="16"/>
    <d v="2023-04-01T00:00:00"/>
    <x v="2"/>
    <x v="0"/>
    <x v="1"/>
    <x v="2"/>
    <x v="2"/>
    <x v="633"/>
    <d v="2023-07-03T00:00:00"/>
    <m/>
    <n v="72"/>
    <n v="120"/>
    <x v="0"/>
  </r>
  <r>
    <n v="838"/>
    <s v="Jeffrey Melendez"/>
    <x v="836"/>
    <x v="2"/>
    <d v="2021-12-15T00:00:00"/>
    <x v="2"/>
    <x v="8"/>
    <x v="1"/>
    <x v="2"/>
    <x v="1"/>
    <x v="634"/>
    <d v="2022-07-09T00:00:00"/>
    <n v="4"/>
    <n v="72"/>
    <n v="120"/>
    <x v="0"/>
  </r>
  <r>
    <n v="839"/>
    <s v="Christopher Hopkins"/>
    <x v="837"/>
    <x v="16"/>
    <d v="2020-07-27T00:00:00"/>
    <x v="2"/>
    <x v="10"/>
    <x v="1"/>
    <x v="3"/>
    <x v="1"/>
    <x v="635"/>
    <d v="2020-09-14T00:00:00"/>
    <n v="4"/>
    <n v="168"/>
    <n v="168"/>
    <x v="0"/>
  </r>
  <r>
    <n v="840"/>
    <s v="James Gallagher"/>
    <x v="838"/>
    <x v="17"/>
    <d v="2022-06-07T00:00:00"/>
    <x v="3"/>
    <x v="14"/>
    <x v="1"/>
    <x v="0"/>
    <x v="1"/>
    <x v="434"/>
    <d v="2023-03-22T00:00:00"/>
    <n v="4"/>
    <n v="24"/>
    <n v="48"/>
    <x v="0"/>
  </r>
  <r>
    <n v="841"/>
    <s v="Justin Moore"/>
    <x v="839"/>
    <x v="2"/>
    <d v="2022-08-16T00:00:00"/>
    <x v="0"/>
    <x v="0"/>
    <x v="1"/>
    <x v="2"/>
    <x v="1"/>
    <x v="636"/>
    <d v="2023-04-28T00:00:00"/>
    <n v="2"/>
    <n v="96"/>
    <n v="120"/>
    <x v="0"/>
  </r>
  <r>
    <n v="842"/>
    <s v="Pamela Mitchell"/>
    <x v="840"/>
    <x v="15"/>
    <d v="2021-06-25T00:00:00"/>
    <x v="1"/>
    <x v="2"/>
    <x v="1"/>
    <x v="2"/>
    <x v="2"/>
    <x v="637"/>
    <d v="2021-08-29T00:00:00"/>
    <n v="4"/>
    <n v="48"/>
    <n v="120"/>
    <x v="0"/>
  </r>
  <r>
    <n v="843"/>
    <s v="Lauren Hubbard"/>
    <x v="841"/>
    <x v="2"/>
    <d v="2021-10-01T00:00:00"/>
    <x v="1"/>
    <x v="11"/>
    <x v="1"/>
    <x v="2"/>
    <x v="2"/>
    <x v="197"/>
    <d v="2022-09-24T00:00:00"/>
    <n v="4"/>
    <n v="48"/>
    <n v="120"/>
    <x v="0"/>
  </r>
  <r>
    <n v="844"/>
    <s v="Matthew Wright"/>
    <x v="842"/>
    <x v="8"/>
    <d v="2021-06-08T00:00:00"/>
    <x v="0"/>
    <x v="11"/>
    <x v="1"/>
    <x v="0"/>
    <x v="1"/>
    <x v="638"/>
    <d v="2022-06-03T00:00:00"/>
    <n v="5"/>
    <n v="72"/>
    <n v="48"/>
    <x v="1"/>
  </r>
  <r>
    <n v="845"/>
    <s v="Joshua Johnson"/>
    <x v="843"/>
    <x v="8"/>
    <d v="2020-02-01T00:00:00"/>
    <x v="0"/>
    <x v="4"/>
    <x v="1"/>
    <x v="2"/>
    <x v="2"/>
    <x v="639"/>
    <d v="2020-04-03T00:00:00"/>
    <n v="5"/>
    <n v="72"/>
    <n v="120"/>
    <x v="0"/>
  </r>
  <r>
    <n v="846"/>
    <s v="Leah Odom"/>
    <x v="844"/>
    <x v="16"/>
    <d v="2020-05-31T00:00:00"/>
    <x v="1"/>
    <x v="13"/>
    <x v="1"/>
    <x v="2"/>
    <x v="1"/>
    <x v="568"/>
    <d v="2020-08-27T00:00:00"/>
    <n v="4"/>
    <n v="96"/>
    <n v="120"/>
    <x v="0"/>
  </r>
  <r>
    <n v="847"/>
    <s v="Ariel Leonard"/>
    <x v="845"/>
    <x v="9"/>
    <d v="2021-04-10T00:00:00"/>
    <x v="2"/>
    <x v="13"/>
    <x v="0"/>
    <x v="3"/>
    <x v="0"/>
    <x v="640"/>
    <d v="2021-06-09T00:00:00"/>
    <m/>
    <n v="120"/>
    <n v="168"/>
    <x v="0"/>
  </r>
  <r>
    <n v="848"/>
    <s v="Jeffrey Crawford"/>
    <x v="846"/>
    <x v="7"/>
    <d v="2021-02-15T00:00:00"/>
    <x v="1"/>
    <x v="13"/>
    <x v="1"/>
    <x v="3"/>
    <x v="1"/>
    <x v="641"/>
    <d v="2021-03-03T00:00:00"/>
    <n v="4"/>
    <n v="288"/>
    <n v="168"/>
    <x v="1"/>
  </r>
  <r>
    <n v="849"/>
    <s v="Zachary Morales"/>
    <x v="847"/>
    <x v="3"/>
    <d v="2022-06-17T00:00:00"/>
    <x v="4"/>
    <x v="12"/>
    <x v="1"/>
    <x v="0"/>
    <x v="3"/>
    <x v="282"/>
    <d v="2022-12-27T00:00:00"/>
    <n v="4"/>
    <n v="48"/>
    <n v="48"/>
    <x v="0"/>
  </r>
  <r>
    <n v="850"/>
    <s v="George Jones"/>
    <x v="848"/>
    <x v="3"/>
    <d v="2022-10-09T00:00:00"/>
    <x v="4"/>
    <x v="0"/>
    <x v="1"/>
    <x v="3"/>
    <x v="2"/>
    <x v="642"/>
    <d v="2023-01-22T00:00:00"/>
    <n v="4"/>
    <n v="168"/>
    <n v="168"/>
    <x v="0"/>
  </r>
  <r>
    <n v="851"/>
    <s v="Kathy Evans"/>
    <x v="849"/>
    <x v="17"/>
    <d v="2022-03-11T00:00:00"/>
    <x v="3"/>
    <x v="10"/>
    <x v="1"/>
    <x v="2"/>
    <x v="1"/>
    <x v="274"/>
    <d v="2022-05-18T00:00:00"/>
    <n v="5"/>
    <n v="120"/>
    <n v="120"/>
    <x v="0"/>
  </r>
  <r>
    <n v="852"/>
    <s v="Phillip White"/>
    <x v="850"/>
    <x v="8"/>
    <d v="2022-06-15T00:00:00"/>
    <x v="1"/>
    <x v="4"/>
    <x v="0"/>
    <x v="3"/>
    <x v="3"/>
    <x v="643"/>
    <d v="2023-05-23T00:00:00"/>
    <m/>
    <n v="48"/>
    <n v="168"/>
    <x v="0"/>
  </r>
  <r>
    <n v="853"/>
    <s v="Mr. Rodney Hurley III"/>
    <x v="851"/>
    <x v="13"/>
    <d v="2020-04-03T00:00:00"/>
    <x v="4"/>
    <x v="5"/>
    <x v="1"/>
    <x v="2"/>
    <x v="1"/>
    <x v="644"/>
    <d v="2020-12-01T00:00:00"/>
    <n v="5"/>
    <n v="0"/>
    <n v="120"/>
    <x v="0"/>
  </r>
  <r>
    <n v="854"/>
    <s v="Helen Hernandez"/>
    <x v="852"/>
    <x v="17"/>
    <d v="2021-09-29T00:00:00"/>
    <x v="2"/>
    <x v="13"/>
    <x v="0"/>
    <x v="2"/>
    <x v="3"/>
    <x v="645"/>
    <d v="2022-08-08T00:00:00"/>
    <m/>
    <n v="24"/>
    <n v="120"/>
    <x v="0"/>
  </r>
  <r>
    <n v="855"/>
    <s v="Ronald Brown"/>
    <x v="853"/>
    <x v="6"/>
    <d v="2022-09-30T00:00:00"/>
    <x v="0"/>
    <x v="11"/>
    <x v="3"/>
    <x v="3"/>
    <x v="1"/>
    <x v="120"/>
    <d v="2022-10-19T00:00:00"/>
    <m/>
    <n v="144"/>
    <n v="168"/>
    <x v="0"/>
  </r>
  <r>
    <n v="856"/>
    <s v="Michael Young"/>
    <x v="854"/>
    <x v="13"/>
    <d v="2023-05-23T00:00:00"/>
    <x v="1"/>
    <x v="14"/>
    <x v="3"/>
    <x v="0"/>
    <x v="1"/>
    <x v="646"/>
    <d v="2024-02-11T00:00:00"/>
    <m/>
    <n v="24"/>
    <n v="48"/>
    <x v="0"/>
  </r>
  <r>
    <n v="857"/>
    <s v="Julie Castro"/>
    <x v="855"/>
    <x v="15"/>
    <d v="2020-09-04T00:00:00"/>
    <x v="2"/>
    <x v="11"/>
    <x v="3"/>
    <x v="0"/>
    <x v="1"/>
    <x v="71"/>
    <d v="2021-02-17T00:00:00"/>
    <m/>
    <n v="0"/>
    <n v="48"/>
    <x v="0"/>
  </r>
  <r>
    <n v="858"/>
    <s v="Allen Clarke"/>
    <x v="856"/>
    <x v="0"/>
    <d v="2022-01-24T00:00:00"/>
    <x v="0"/>
    <x v="8"/>
    <x v="1"/>
    <x v="0"/>
    <x v="2"/>
    <x v="223"/>
    <d v="2022-08-11T00:00:00"/>
    <n v="5"/>
    <n v="48"/>
    <n v="48"/>
    <x v="0"/>
  </r>
  <r>
    <n v="859"/>
    <s v="Amy Mosley"/>
    <x v="857"/>
    <x v="9"/>
    <d v="2022-11-09T00:00:00"/>
    <x v="2"/>
    <x v="11"/>
    <x v="3"/>
    <x v="3"/>
    <x v="2"/>
    <x v="647"/>
    <d v="2023-04-17T00:00:00"/>
    <m/>
    <n v="120"/>
    <n v="168"/>
    <x v="0"/>
  </r>
  <r>
    <n v="860"/>
    <s v="Ann Hahn"/>
    <x v="858"/>
    <x v="12"/>
    <d v="2020-07-06T00:00:00"/>
    <x v="3"/>
    <x v="12"/>
    <x v="1"/>
    <x v="0"/>
    <x v="2"/>
    <x v="145"/>
    <d v="2020-11-06T00:00:00"/>
    <m/>
    <n v="0"/>
    <n v="48"/>
    <x v="0"/>
  </r>
  <r>
    <n v="861"/>
    <s v="Sandra Herring"/>
    <x v="859"/>
    <x v="4"/>
    <d v="2020-07-08T00:00:00"/>
    <x v="4"/>
    <x v="4"/>
    <x v="3"/>
    <x v="0"/>
    <x v="1"/>
    <x v="648"/>
    <d v="2021-01-21T00:00:00"/>
    <m/>
    <n v="24"/>
    <n v="48"/>
    <x v="0"/>
  </r>
  <r>
    <n v="862"/>
    <s v="Emily Collier"/>
    <x v="860"/>
    <x v="12"/>
    <d v="2021-10-18T00:00:00"/>
    <x v="0"/>
    <x v="0"/>
    <x v="2"/>
    <x v="0"/>
    <x v="0"/>
    <x v="30"/>
    <d v="2022-09-09T00:00:00"/>
    <n v="3"/>
    <n v="48"/>
    <n v="48"/>
    <x v="0"/>
  </r>
  <r>
    <n v="863"/>
    <s v="Brian Lewis"/>
    <x v="861"/>
    <x v="17"/>
    <d v="2022-01-31T00:00:00"/>
    <x v="1"/>
    <x v="0"/>
    <x v="1"/>
    <x v="3"/>
    <x v="1"/>
    <x v="649"/>
    <d v="2022-08-21T00:00:00"/>
    <n v="4"/>
    <n v="168"/>
    <n v="168"/>
    <x v="0"/>
  </r>
  <r>
    <n v="864"/>
    <s v="Melissa Rodriguez"/>
    <x v="862"/>
    <x v="4"/>
    <d v="2023-05-03T00:00:00"/>
    <x v="0"/>
    <x v="13"/>
    <x v="3"/>
    <x v="3"/>
    <x v="2"/>
    <x v="650"/>
    <d v="2024-03-09T00:00:00"/>
    <m/>
    <n v="192"/>
    <n v="168"/>
    <x v="1"/>
  </r>
  <r>
    <n v="865"/>
    <s v="Heidi Baldwin"/>
    <x v="863"/>
    <x v="8"/>
    <d v="2022-10-25T00:00:00"/>
    <x v="4"/>
    <x v="2"/>
    <x v="1"/>
    <x v="2"/>
    <x v="1"/>
    <x v="426"/>
    <d v="2023-04-06T00:00:00"/>
    <n v="3"/>
    <n v="96"/>
    <n v="120"/>
    <x v="0"/>
  </r>
  <r>
    <n v="866"/>
    <s v="Amy Lowery"/>
    <x v="864"/>
    <x v="1"/>
    <d v="2022-12-24T00:00:00"/>
    <x v="4"/>
    <x v="9"/>
    <x v="3"/>
    <x v="1"/>
    <x v="1"/>
    <x v="526"/>
    <d v="2023-04-17T00:00:00"/>
    <m/>
    <n v="24"/>
    <n v="24"/>
    <x v="0"/>
  </r>
  <r>
    <n v="867"/>
    <s v="Robert Martinez"/>
    <x v="865"/>
    <x v="5"/>
    <d v="2021-01-31T00:00:00"/>
    <x v="1"/>
    <x v="2"/>
    <x v="1"/>
    <x v="0"/>
    <x v="3"/>
    <x v="477"/>
    <d v="2021-04-17T00:00:00"/>
    <m/>
    <n v="24"/>
    <n v="48"/>
    <x v="0"/>
  </r>
  <r>
    <n v="868"/>
    <s v="Timothy Sherman"/>
    <x v="866"/>
    <x v="0"/>
    <d v="2021-05-07T00:00:00"/>
    <x v="2"/>
    <x v="8"/>
    <x v="1"/>
    <x v="3"/>
    <x v="0"/>
    <x v="461"/>
    <d v="2021-10-01T00:00:00"/>
    <m/>
    <n v="144"/>
    <n v="168"/>
    <x v="0"/>
  </r>
  <r>
    <n v="869"/>
    <s v="Pamela Sullivan"/>
    <x v="867"/>
    <x v="4"/>
    <d v="2022-01-01T00:00:00"/>
    <x v="4"/>
    <x v="14"/>
    <x v="1"/>
    <x v="0"/>
    <x v="1"/>
    <x v="554"/>
    <d v="2022-03-21T00:00:00"/>
    <n v="4"/>
    <n v="24"/>
    <n v="48"/>
    <x v="0"/>
  </r>
  <r>
    <n v="870"/>
    <s v="Tammy Cook"/>
    <x v="868"/>
    <x v="17"/>
    <d v="2022-12-21T00:00:00"/>
    <x v="2"/>
    <x v="5"/>
    <x v="1"/>
    <x v="3"/>
    <x v="1"/>
    <x v="362"/>
    <d v="2023-05-28T00:00:00"/>
    <n v="4"/>
    <n v="96"/>
    <n v="168"/>
    <x v="0"/>
  </r>
  <r>
    <n v="871"/>
    <s v="Austin Fisher"/>
    <x v="869"/>
    <x v="17"/>
    <d v="2022-09-23T00:00:00"/>
    <x v="4"/>
    <x v="5"/>
    <x v="3"/>
    <x v="2"/>
    <x v="1"/>
    <x v="651"/>
    <d v="2022-11-04T00:00:00"/>
    <m/>
    <n v="144"/>
    <n v="120"/>
    <x v="1"/>
  </r>
  <r>
    <n v="872"/>
    <s v="Jeremy Davidson"/>
    <x v="870"/>
    <x v="1"/>
    <d v="2022-06-13T00:00:00"/>
    <x v="1"/>
    <x v="4"/>
    <x v="1"/>
    <x v="3"/>
    <x v="3"/>
    <x v="122"/>
    <d v="2022-07-13T00:00:00"/>
    <n v="3"/>
    <n v="72"/>
    <n v="168"/>
    <x v="0"/>
  </r>
  <r>
    <n v="873"/>
    <s v="Christopher Black"/>
    <x v="871"/>
    <x v="10"/>
    <d v="2021-12-02T00:00:00"/>
    <x v="4"/>
    <x v="1"/>
    <x v="1"/>
    <x v="1"/>
    <x v="2"/>
    <x v="86"/>
    <d v="2022-03-13T00:00:00"/>
    <m/>
    <n v="24"/>
    <n v="24"/>
    <x v="0"/>
  </r>
  <r>
    <n v="874"/>
    <s v="Nicholas Green"/>
    <x v="872"/>
    <x v="16"/>
    <d v="2021-07-25T00:00:00"/>
    <x v="0"/>
    <x v="11"/>
    <x v="1"/>
    <x v="3"/>
    <x v="1"/>
    <x v="652"/>
    <d v="2022-07-13T00:00:00"/>
    <n v="3"/>
    <n v="144"/>
    <n v="168"/>
    <x v="0"/>
  </r>
  <r>
    <n v="875"/>
    <s v="Shawn Duffy"/>
    <x v="873"/>
    <x v="16"/>
    <d v="2022-10-02T00:00:00"/>
    <x v="4"/>
    <x v="11"/>
    <x v="1"/>
    <x v="2"/>
    <x v="3"/>
    <x v="358"/>
    <d v="2022-12-22T00:00:00"/>
    <n v="4"/>
    <n v="120"/>
    <n v="120"/>
    <x v="0"/>
  </r>
  <r>
    <n v="876"/>
    <s v="Crystal Davis"/>
    <x v="874"/>
    <x v="9"/>
    <d v="2020-03-18T00:00:00"/>
    <x v="3"/>
    <x v="0"/>
    <x v="1"/>
    <x v="3"/>
    <x v="1"/>
    <x v="317"/>
    <d v="2020-11-22T00:00:00"/>
    <n v="5"/>
    <n v="288"/>
    <n v="168"/>
    <x v="1"/>
  </r>
  <r>
    <n v="877"/>
    <s v="Jeffrey Green"/>
    <x v="875"/>
    <x v="18"/>
    <d v="2020-07-01T00:00:00"/>
    <x v="4"/>
    <x v="1"/>
    <x v="1"/>
    <x v="2"/>
    <x v="0"/>
    <x v="653"/>
    <d v="2020-10-27T00:00:00"/>
    <n v="5"/>
    <n v="72"/>
    <n v="120"/>
    <x v="0"/>
  </r>
  <r>
    <n v="878"/>
    <s v="Joseph Ayala"/>
    <x v="876"/>
    <x v="16"/>
    <d v="2020-12-14T00:00:00"/>
    <x v="3"/>
    <x v="1"/>
    <x v="3"/>
    <x v="0"/>
    <x v="1"/>
    <x v="594"/>
    <d v="2021-05-16T00:00:00"/>
    <m/>
    <n v="24"/>
    <n v="48"/>
    <x v="0"/>
  </r>
  <r>
    <n v="879"/>
    <s v="Cheryl Atkins"/>
    <x v="877"/>
    <x v="12"/>
    <d v="2021-11-01T00:00:00"/>
    <x v="3"/>
    <x v="6"/>
    <x v="1"/>
    <x v="2"/>
    <x v="0"/>
    <x v="315"/>
    <d v="2022-08-07T00:00:00"/>
    <n v="4"/>
    <n v="120"/>
    <n v="120"/>
    <x v="0"/>
  </r>
  <r>
    <n v="880"/>
    <s v="Lindsay Carney"/>
    <x v="878"/>
    <x v="0"/>
    <d v="2021-09-26T00:00:00"/>
    <x v="4"/>
    <x v="11"/>
    <x v="1"/>
    <x v="3"/>
    <x v="1"/>
    <x v="654"/>
    <d v="2022-02-18T00:00:00"/>
    <n v="5"/>
    <n v="1272"/>
    <n v="168"/>
    <x v="1"/>
  </r>
  <r>
    <n v="881"/>
    <s v="Alyssa Cherry"/>
    <x v="879"/>
    <x v="12"/>
    <d v="2022-06-24T00:00:00"/>
    <x v="2"/>
    <x v="11"/>
    <x v="1"/>
    <x v="1"/>
    <x v="3"/>
    <x v="97"/>
    <d v="2022-11-03T00:00:00"/>
    <n v="3"/>
    <n v="24"/>
    <n v="24"/>
    <x v="0"/>
  </r>
  <r>
    <n v="882"/>
    <s v="Judith Smith"/>
    <x v="880"/>
    <x v="7"/>
    <d v="2022-12-02T00:00:00"/>
    <x v="1"/>
    <x v="2"/>
    <x v="1"/>
    <x v="2"/>
    <x v="3"/>
    <x v="282"/>
    <d v="2022-12-29T00:00:00"/>
    <m/>
    <n v="96"/>
    <n v="120"/>
    <x v="0"/>
  </r>
  <r>
    <n v="883"/>
    <s v="James Henderson"/>
    <x v="881"/>
    <x v="2"/>
    <d v="2021-06-01T00:00:00"/>
    <x v="1"/>
    <x v="14"/>
    <x v="1"/>
    <x v="0"/>
    <x v="1"/>
    <x v="655"/>
    <d v="2022-04-08T00:00:00"/>
    <n v="5"/>
    <n v="24"/>
    <n v="48"/>
    <x v="0"/>
  </r>
  <r>
    <n v="884"/>
    <s v="Kaitlin Gomez"/>
    <x v="882"/>
    <x v="6"/>
    <d v="2021-04-14T00:00:00"/>
    <x v="1"/>
    <x v="1"/>
    <x v="1"/>
    <x v="2"/>
    <x v="3"/>
    <x v="656"/>
    <d v="2022-02-20T00:00:00"/>
    <n v="4"/>
    <n v="96"/>
    <n v="120"/>
    <x v="0"/>
  </r>
  <r>
    <n v="885"/>
    <s v="Megan Anderson"/>
    <x v="883"/>
    <x v="3"/>
    <d v="2022-02-04T00:00:00"/>
    <x v="1"/>
    <x v="11"/>
    <x v="1"/>
    <x v="3"/>
    <x v="1"/>
    <x v="657"/>
    <d v="2022-09-03T00:00:00"/>
    <n v="3"/>
    <n v="168"/>
    <n v="168"/>
    <x v="0"/>
  </r>
  <r>
    <n v="886"/>
    <s v="Sherry Anderson"/>
    <x v="884"/>
    <x v="10"/>
    <d v="2020-06-30T00:00:00"/>
    <x v="2"/>
    <x v="1"/>
    <x v="1"/>
    <x v="3"/>
    <x v="1"/>
    <x v="599"/>
    <d v="2021-07-04T00:00:00"/>
    <n v="5"/>
    <n v="96"/>
    <n v="168"/>
    <x v="0"/>
  </r>
  <r>
    <n v="887"/>
    <s v="William Porter"/>
    <x v="885"/>
    <x v="14"/>
    <d v="2022-08-10T00:00:00"/>
    <x v="1"/>
    <x v="6"/>
    <x v="1"/>
    <x v="2"/>
    <x v="1"/>
    <x v="658"/>
    <d v="2022-09-20T00:00:00"/>
    <n v="3"/>
    <n v="48"/>
    <n v="120"/>
    <x v="0"/>
  </r>
  <r>
    <n v="888"/>
    <s v="Tammy Black"/>
    <x v="886"/>
    <x v="14"/>
    <d v="2022-02-02T00:00:00"/>
    <x v="4"/>
    <x v="2"/>
    <x v="1"/>
    <x v="2"/>
    <x v="2"/>
    <x v="567"/>
    <d v="2022-06-26T00:00:00"/>
    <n v="5"/>
    <n v="96"/>
    <n v="120"/>
    <x v="0"/>
  </r>
  <r>
    <n v="889"/>
    <s v="Brittany Farrell"/>
    <x v="887"/>
    <x v="7"/>
    <d v="2020-12-23T00:00:00"/>
    <x v="0"/>
    <x v="0"/>
    <x v="3"/>
    <x v="2"/>
    <x v="3"/>
    <x v="149"/>
    <d v="2021-10-25T00:00:00"/>
    <m/>
    <n v="120"/>
    <n v="120"/>
    <x v="0"/>
  </r>
  <r>
    <n v="890"/>
    <s v="John Martin"/>
    <x v="888"/>
    <x v="15"/>
    <d v="2021-11-16T00:00:00"/>
    <x v="0"/>
    <x v="7"/>
    <x v="1"/>
    <x v="3"/>
    <x v="0"/>
    <x v="171"/>
    <d v="2022-02-20T00:00:00"/>
    <m/>
    <n v="216"/>
    <n v="168"/>
    <x v="1"/>
  </r>
  <r>
    <n v="891"/>
    <s v="Michael Washington"/>
    <x v="889"/>
    <x v="17"/>
    <d v="2020-07-11T00:00:00"/>
    <x v="0"/>
    <x v="13"/>
    <x v="1"/>
    <x v="2"/>
    <x v="1"/>
    <x v="65"/>
    <d v="2021-03-14T00:00:00"/>
    <n v="3"/>
    <n v="48"/>
    <n v="120"/>
    <x v="0"/>
  </r>
  <r>
    <n v="892"/>
    <s v="Dalton Mitchell"/>
    <x v="890"/>
    <x v="2"/>
    <d v="2022-10-27T00:00:00"/>
    <x v="2"/>
    <x v="2"/>
    <x v="1"/>
    <x v="3"/>
    <x v="1"/>
    <x v="659"/>
    <d v="2023-11-04T00:00:00"/>
    <n v="4"/>
    <n v="264"/>
    <n v="168"/>
    <x v="1"/>
  </r>
  <r>
    <n v="893"/>
    <s v="Lauren Bonilla"/>
    <x v="891"/>
    <x v="16"/>
    <d v="2022-11-17T00:00:00"/>
    <x v="2"/>
    <x v="6"/>
    <x v="3"/>
    <x v="3"/>
    <x v="2"/>
    <x v="660"/>
    <d v="2023-08-16T00:00:00"/>
    <m/>
    <n v="144"/>
    <n v="168"/>
    <x v="0"/>
  </r>
  <r>
    <n v="894"/>
    <s v="Gary Mitchell"/>
    <x v="892"/>
    <x v="4"/>
    <d v="2021-05-17T00:00:00"/>
    <x v="3"/>
    <x v="13"/>
    <x v="0"/>
    <x v="0"/>
    <x v="3"/>
    <x v="502"/>
    <d v="2021-07-05T00:00:00"/>
    <m/>
    <n v="72"/>
    <n v="48"/>
    <x v="1"/>
  </r>
  <r>
    <n v="895"/>
    <s v="Brad Rivas"/>
    <x v="893"/>
    <x v="7"/>
    <d v="2022-10-19T00:00:00"/>
    <x v="2"/>
    <x v="2"/>
    <x v="2"/>
    <x v="3"/>
    <x v="1"/>
    <x v="276"/>
    <d v="2023-09-09T00:00:00"/>
    <n v="4"/>
    <n v="1008"/>
    <n v="168"/>
    <x v="1"/>
  </r>
  <r>
    <n v="896"/>
    <s v="Wayne Douglas"/>
    <x v="894"/>
    <x v="12"/>
    <d v="2023-05-23T00:00:00"/>
    <x v="0"/>
    <x v="13"/>
    <x v="0"/>
    <x v="1"/>
    <x v="1"/>
    <x v="661"/>
    <d v="2024-05-15T00:00:00"/>
    <m/>
    <n v="24"/>
    <n v="24"/>
    <x v="0"/>
  </r>
  <r>
    <n v="897"/>
    <s v="Christine Williams"/>
    <x v="895"/>
    <x v="2"/>
    <d v="2022-07-24T00:00:00"/>
    <x v="3"/>
    <x v="7"/>
    <x v="2"/>
    <x v="3"/>
    <x v="3"/>
    <x v="31"/>
    <d v="2022-12-02T00:00:00"/>
    <n v="5"/>
    <n v="120"/>
    <n v="168"/>
    <x v="0"/>
  </r>
  <r>
    <n v="898"/>
    <s v="James Thompson"/>
    <x v="896"/>
    <x v="3"/>
    <d v="2021-08-26T00:00:00"/>
    <x v="1"/>
    <x v="8"/>
    <x v="1"/>
    <x v="3"/>
    <x v="1"/>
    <x v="662"/>
    <d v="2022-08-13T00:00:00"/>
    <n v="4"/>
    <n v="168"/>
    <n v="168"/>
    <x v="0"/>
  </r>
  <r>
    <n v="899"/>
    <s v="Dominique Goodwin"/>
    <x v="897"/>
    <x v="17"/>
    <d v="2023-02-17T00:00:00"/>
    <x v="3"/>
    <x v="10"/>
    <x v="1"/>
    <x v="0"/>
    <x v="0"/>
    <x v="663"/>
    <d v="2023-05-18T00:00:00"/>
    <n v="4"/>
    <n v="72"/>
    <n v="48"/>
    <x v="1"/>
  </r>
  <r>
    <n v="900"/>
    <s v="Emily Cohen"/>
    <x v="898"/>
    <x v="7"/>
    <d v="2022-03-07T00:00:00"/>
    <x v="0"/>
    <x v="14"/>
    <x v="1"/>
    <x v="3"/>
    <x v="2"/>
    <x v="664"/>
    <d v="2022-07-28T00:00:00"/>
    <m/>
    <n v="192"/>
    <n v="168"/>
    <x v="1"/>
  </r>
  <r>
    <n v="901"/>
    <s v="Jeremy Hughes"/>
    <x v="899"/>
    <x v="5"/>
    <d v="2021-07-26T00:00:00"/>
    <x v="4"/>
    <x v="1"/>
    <x v="1"/>
    <x v="1"/>
    <x v="1"/>
    <x v="665"/>
    <d v="2022-06-14T00:00:00"/>
    <n v="4"/>
    <n v="168"/>
    <n v="24"/>
    <x v="1"/>
  </r>
  <r>
    <n v="902"/>
    <s v="Jessica Simmons"/>
    <x v="900"/>
    <x v="0"/>
    <d v="2020-12-14T00:00:00"/>
    <x v="4"/>
    <x v="6"/>
    <x v="1"/>
    <x v="0"/>
    <x v="3"/>
    <x v="666"/>
    <d v="2021-07-23T00:00:00"/>
    <n v="3"/>
    <n v="24"/>
    <n v="48"/>
    <x v="0"/>
  </r>
  <r>
    <n v="903"/>
    <s v="Michelle Arias"/>
    <x v="901"/>
    <x v="14"/>
    <d v="2021-04-11T00:00:00"/>
    <x v="2"/>
    <x v="11"/>
    <x v="3"/>
    <x v="2"/>
    <x v="1"/>
    <x v="387"/>
    <d v="2021-12-07T00:00:00"/>
    <m/>
    <n v="0"/>
    <n v="120"/>
    <x v="0"/>
  </r>
  <r>
    <n v="904"/>
    <s v="Carl Leach"/>
    <x v="902"/>
    <x v="5"/>
    <d v="2022-05-05T00:00:00"/>
    <x v="4"/>
    <x v="1"/>
    <x v="0"/>
    <x v="3"/>
    <x v="1"/>
    <x v="343"/>
    <d v="2022-09-02T00:00:00"/>
    <m/>
    <n v="912"/>
    <n v="168"/>
    <x v="1"/>
  </r>
  <r>
    <n v="905"/>
    <s v="Andrew Rodriguez"/>
    <x v="903"/>
    <x v="16"/>
    <d v="2023-01-23T00:00:00"/>
    <x v="2"/>
    <x v="9"/>
    <x v="1"/>
    <x v="0"/>
    <x v="1"/>
    <x v="667"/>
    <d v="2023-07-12T00:00:00"/>
    <n v="4"/>
    <n v="24"/>
    <n v="48"/>
    <x v="0"/>
  </r>
  <r>
    <n v="906"/>
    <s v="Dawn Scott"/>
    <x v="904"/>
    <x v="6"/>
    <d v="2022-10-24T00:00:00"/>
    <x v="4"/>
    <x v="0"/>
    <x v="1"/>
    <x v="3"/>
    <x v="0"/>
    <x v="138"/>
    <d v="2023-04-14T00:00:00"/>
    <m/>
    <n v="144"/>
    <n v="168"/>
    <x v="0"/>
  </r>
  <r>
    <n v="907"/>
    <s v="Richard Cameron"/>
    <x v="905"/>
    <x v="8"/>
    <d v="2021-05-02T00:00:00"/>
    <x v="0"/>
    <x v="13"/>
    <x v="1"/>
    <x v="2"/>
    <x v="1"/>
    <x v="342"/>
    <d v="2021-07-09T00:00:00"/>
    <n v="5"/>
    <n v="96"/>
    <n v="120"/>
    <x v="0"/>
  </r>
  <r>
    <n v="908"/>
    <s v="Jordan Santiago"/>
    <x v="906"/>
    <x v="13"/>
    <d v="2020-05-01T00:00:00"/>
    <x v="1"/>
    <x v="6"/>
    <x v="1"/>
    <x v="0"/>
    <x v="1"/>
    <x v="166"/>
    <d v="2020-09-28T00:00:00"/>
    <n v="4"/>
    <n v="48"/>
    <n v="48"/>
    <x v="0"/>
  </r>
  <r>
    <n v="909"/>
    <s v="Lindsey Savage"/>
    <x v="907"/>
    <x v="11"/>
    <d v="2020-06-30T00:00:00"/>
    <x v="0"/>
    <x v="7"/>
    <x v="3"/>
    <x v="3"/>
    <x v="0"/>
    <x v="439"/>
    <d v="2021-06-29T00:00:00"/>
    <m/>
    <n v="144"/>
    <n v="168"/>
    <x v="0"/>
  </r>
  <r>
    <n v="910"/>
    <s v="Matthew Stevens"/>
    <x v="908"/>
    <x v="3"/>
    <d v="2023-02-01T00:00:00"/>
    <x v="4"/>
    <x v="4"/>
    <x v="1"/>
    <x v="2"/>
    <x v="1"/>
    <x v="668"/>
    <d v="2023-05-13T00:00:00"/>
    <n v="4"/>
    <n v="96"/>
    <n v="120"/>
    <x v="0"/>
  </r>
  <r>
    <n v="911"/>
    <s v="Mr. William Ward"/>
    <x v="909"/>
    <x v="8"/>
    <d v="2020-07-28T00:00:00"/>
    <x v="4"/>
    <x v="5"/>
    <x v="1"/>
    <x v="3"/>
    <x v="2"/>
    <x v="1"/>
    <d v="2021-06-19T00:00:00"/>
    <n v="4"/>
    <n v="264"/>
    <n v="168"/>
    <x v="1"/>
  </r>
  <r>
    <n v="912"/>
    <s v="Brian Smith"/>
    <x v="910"/>
    <x v="15"/>
    <d v="2020-08-13T00:00:00"/>
    <x v="4"/>
    <x v="5"/>
    <x v="2"/>
    <x v="1"/>
    <x v="0"/>
    <x v="669"/>
    <d v="2021-05-02T00:00:00"/>
    <m/>
    <n v="24"/>
    <n v="24"/>
    <x v="0"/>
  </r>
  <r>
    <n v="913"/>
    <s v="Jessica Garrett"/>
    <x v="911"/>
    <x v="3"/>
    <d v="2022-01-06T00:00:00"/>
    <x v="2"/>
    <x v="12"/>
    <x v="1"/>
    <x v="3"/>
    <x v="3"/>
    <x v="670"/>
    <d v="2022-02-03T00:00:00"/>
    <n v="5"/>
    <n v="192"/>
    <n v="168"/>
    <x v="1"/>
  </r>
  <r>
    <n v="914"/>
    <s v="Bruce Barrera"/>
    <x v="912"/>
    <x v="13"/>
    <d v="2021-11-29T00:00:00"/>
    <x v="1"/>
    <x v="13"/>
    <x v="3"/>
    <x v="0"/>
    <x v="1"/>
    <x v="113"/>
    <d v="2022-06-05T00:00:00"/>
    <m/>
    <n v="48"/>
    <n v="48"/>
    <x v="0"/>
  </r>
  <r>
    <n v="915"/>
    <s v="Christina Hudson"/>
    <x v="913"/>
    <x v="2"/>
    <d v="2022-09-06T00:00:00"/>
    <x v="4"/>
    <x v="11"/>
    <x v="1"/>
    <x v="2"/>
    <x v="2"/>
    <x v="671"/>
    <d v="2023-07-05T00:00:00"/>
    <n v="4"/>
    <n v="24"/>
    <n v="120"/>
    <x v="0"/>
  </r>
  <r>
    <n v="916"/>
    <s v="Jessica Perry"/>
    <x v="914"/>
    <x v="0"/>
    <d v="2022-05-11T00:00:00"/>
    <x v="3"/>
    <x v="2"/>
    <x v="1"/>
    <x v="3"/>
    <x v="2"/>
    <x v="672"/>
    <d v="2022-06-06T00:00:00"/>
    <n v="4"/>
    <n v="120"/>
    <n v="168"/>
    <x v="0"/>
  </r>
  <r>
    <n v="917"/>
    <s v="Mrs. Jennifer Palmer DDS"/>
    <x v="915"/>
    <x v="7"/>
    <d v="2020-01-30T00:00:00"/>
    <x v="0"/>
    <x v="13"/>
    <x v="0"/>
    <x v="0"/>
    <x v="1"/>
    <x v="673"/>
    <d v="2020-10-01T00:00:00"/>
    <m/>
    <n v="48"/>
    <n v="48"/>
    <x v="0"/>
  </r>
  <r>
    <n v="918"/>
    <s v="Ethan Brown"/>
    <x v="916"/>
    <x v="11"/>
    <d v="2022-08-25T00:00:00"/>
    <x v="2"/>
    <x v="2"/>
    <x v="3"/>
    <x v="3"/>
    <x v="1"/>
    <x v="313"/>
    <d v="2023-06-18T00:00:00"/>
    <m/>
    <n v="240"/>
    <n v="168"/>
    <x v="1"/>
  </r>
  <r>
    <n v="919"/>
    <s v="Hannah Terry"/>
    <x v="917"/>
    <x v="18"/>
    <d v="2021-06-18T00:00:00"/>
    <x v="4"/>
    <x v="13"/>
    <x v="2"/>
    <x v="2"/>
    <x v="1"/>
    <x v="674"/>
    <d v="2021-07-03T00:00:00"/>
    <n v="4"/>
    <n v="96"/>
    <n v="120"/>
    <x v="0"/>
  </r>
  <r>
    <n v="920"/>
    <s v="Jordan Matthews"/>
    <x v="918"/>
    <x v="13"/>
    <d v="2023-01-28T00:00:00"/>
    <x v="2"/>
    <x v="1"/>
    <x v="1"/>
    <x v="2"/>
    <x v="3"/>
    <x v="675"/>
    <d v="2024-01-19T00:00:00"/>
    <n v="4"/>
    <n v="144"/>
    <n v="120"/>
    <x v="1"/>
  </r>
  <r>
    <n v="921"/>
    <s v="Toni Whitaker"/>
    <x v="919"/>
    <x v="10"/>
    <d v="2021-03-14T00:00:00"/>
    <x v="0"/>
    <x v="9"/>
    <x v="0"/>
    <x v="2"/>
    <x v="2"/>
    <x v="437"/>
    <d v="2021-06-24T00:00:00"/>
    <m/>
    <n v="192"/>
    <n v="120"/>
    <x v="1"/>
  </r>
  <r>
    <n v="922"/>
    <s v="Angelica Webb"/>
    <x v="920"/>
    <x v="18"/>
    <d v="2023-05-17T00:00:00"/>
    <x v="4"/>
    <x v="8"/>
    <x v="1"/>
    <x v="2"/>
    <x v="1"/>
    <x v="676"/>
    <d v="2024-05-17T00:00:00"/>
    <n v="3"/>
    <n v="96"/>
    <n v="120"/>
    <x v="0"/>
  </r>
  <r>
    <n v="923"/>
    <s v="Xavier Torres"/>
    <x v="921"/>
    <x v="7"/>
    <d v="2021-02-09T00:00:00"/>
    <x v="3"/>
    <x v="11"/>
    <x v="0"/>
    <x v="3"/>
    <x v="2"/>
    <x v="677"/>
    <d v="2021-03-10T00:00:00"/>
    <m/>
    <n v="216"/>
    <n v="168"/>
    <x v="1"/>
  </r>
  <r>
    <n v="924"/>
    <s v="Christopher Clayton"/>
    <x v="922"/>
    <x v="14"/>
    <d v="2022-08-17T00:00:00"/>
    <x v="0"/>
    <x v="10"/>
    <x v="1"/>
    <x v="1"/>
    <x v="1"/>
    <x v="678"/>
    <d v="2022-12-03T00:00:00"/>
    <n v="5"/>
    <n v="24"/>
    <n v="24"/>
    <x v="0"/>
  </r>
  <r>
    <n v="925"/>
    <s v="Justin Tucker"/>
    <x v="923"/>
    <x v="16"/>
    <d v="2020-08-22T00:00:00"/>
    <x v="1"/>
    <x v="12"/>
    <x v="0"/>
    <x v="3"/>
    <x v="1"/>
    <x v="106"/>
    <d v="2021-07-09T00:00:00"/>
    <m/>
    <n v="192"/>
    <n v="168"/>
    <x v="1"/>
  </r>
  <r>
    <n v="926"/>
    <s v="Shelly Munoz"/>
    <x v="924"/>
    <x v="11"/>
    <d v="2023-05-26T00:00:00"/>
    <x v="2"/>
    <x v="11"/>
    <x v="1"/>
    <x v="3"/>
    <x v="0"/>
    <x v="227"/>
    <d v="2023-06-09T00:00:00"/>
    <n v="3"/>
    <n v="144"/>
    <n v="168"/>
    <x v="0"/>
  </r>
  <r>
    <n v="927"/>
    <s v="Ryan Rodriguez"/>
    <x v="925"/>
    <x v="12"/>
    <d v="2022-05-23T00:00:00"/>
    <x v="4"/>
    <x v="9"/>
    <x v="3"/>
    <x v="0"/>
    <x v="0"/>
    <x v="318"/>
    <d v="2022-09-06T00:00:00"/>
    <m/>
    <n v="24"/>
    <n v="48"/>
    <x v="0"/>
  </r>
  <r>
    <n v="928"/>
    <s v="Brian Soto"/>
    <x v="926"/>
    <x v="14"/>
    <d v="2023-01-05T00:00:00"/>
    <x v="4"/>
    <x v="7"/>
    <x v="1"/>
    <x v="3"/>
    <x v="2"/>
    <x v="679"/>
    <d v="2023-08-19T00:00:00"/>
    <n v="4"/>
    <n v="96"/>
    <n v="168"/>
    <x v="0"/>
  </r>
  <r>
    <n v="929"/>
    <s v="Jonathan Oconnor"/>
    <x v="927"/>
    <x v="3"/>
    <d v="2020-07-10T00:00:00"/>
    <x v="4"/>
    <x v="0"/>
    <x v="1"/>
    <x v="2"/>
    <x v="1"/>
    <x v="341"/>
    <d v="2021-06-10T00:00:00"/>
    <n v="5"/>
    <n v="96"/>
    <n v="120"/>
    <x v="0"/>
  </r>
  <r>
    <n v="930"/>
    <s v="Jessica Perry"/>
    <x v="928"/>
    <x v="5"/>
    <d v="2021-03-21T00:00:00"/>
    <x v="2"/>
    <x v="1"/>
    <x v="3"/>
    <x v="0"/>
    <x v="3"/>
    <x v="680"/>
    <d v="2022-02-17T00:00:00"/>
    <m/>
    <n v="48"/>
    <n v="48"/>
    <x v="0"/>
  </r>
  <r>
    <n v="931"/>
    <s v="Angela Watson"/>
    <x v="929"/>
    <x v="8"/>
    <d v="2020-08-23T00:00:00"/>
    <x v="3"/>
    <x v="10"/>
    <x v="0"/>
    <x v="3"/>
    <x v="1"/>
    <x v="243"/>
    <d v="2020-10-21T00:00:00"/>
    <m/>
    <n v="72"/>
    <n v="168"/>
    <x v="0"/>
  </r>
  <r>
    <n v="932"/>
    <s v="Kendra Cobb"/>
    <x v="930"/>
    <x v="6"/>
    <d v="2021-12-13T00:00:00"/>
    <x v="3"/>
    <x v="3"/>
    <x v="3"/>
    <x v="3"/>
    <x v="2"/>
    <x v="681"/>
    <d v="2022-11-15T00:00:00"/>
    <m/>
    <n v="384"/>
    <n v="168"/>
    <x v="1"/>
  </r>
  <r>
    <n v="933"/>
    <s v="Kelli Fleming"/>
    <x v="931"/>
    <x v="6"/>
    <d v="2022-03-14T00:00:00"/>
    <x v="0"/>
    <x v="13"/>
    <x v="1"/>
    <x v="3"/>
    <x v="1"/>
    <x v="287"/>
    <d v="2022-11-24T00:00:00"/>
    <n v="4"/>
    <n v="240"/>
    <n v="168"/>
    <x v="1"/>
  </r>
  <r>
    <n v="934"/>
    <s v="Angela Edwards"/>
    <x v="932"/>
    <x v="12"/>
    <d v="2022-10-22T00:00:00"/>
    <x v="2"/>
    <x v="12"/>
    <x v="0"/>
    <x v="1"/>
    <x v="2"/>
    <x v="491"/>
    <d v="2022-12-24T00:00:00"/>
    <m/>
    <n v="0"/>
    <n v="24"/>
    <x v="0"/>
  </r>
  <r>
    <n v="935"/>
    <s v="Brittany Andrews"/>
    <x v="933"/>
    <x v="8"/>
    <d v="2023-02-27T00:00:00"/>
    <x v="2"/>
    <x v="11"/>
    <x v="1"/>
    <x v="2"/>
    <x v="2"/>
    <x v="682"/>
    <d v="2023-06-25T00:00:00"/>
    <m/>
    <n v="96"/>
    <n v="120"/>
    <x v="0"/>
  </r>
  <r>
    <n v="936"/>
    <s v="Gregory Wilcox"/>
    <x v="934"/>
    <x v="0"/>
    <d v="2022-04-25T00:00:00"/>
    <x v="3"/>
    <x v="5"/>
    <x v="1"/>
    <x v="0"/>
    <x v="3"/>
    <x v="683"/>
    <d v="2023-01-02T00:00:00"/>
    <m/>
    <n v="24"/>
    <n v="48"/>
    <x v="0"/>
  </r>
  <r>
    <n v="937"/>
    <s v="Lisa Ramos"/>
    <x v="935"/>
    <x v="9"/>
    <d v="2020-05-10T00:00:00"/>
    <x v="1"/>
    <x v="7"/>
    <x v="1"/>
    <x v="0"/>
    <x v="1"/>
    <x v="684"/>
    <d v="2020-06-03T00:00:00"/>
    <n v="4"/>
    <n v="48"/>
    <n v="48"/>
    <x v="0"/>
  </r>
  <r>
    <n v="938"/>
    <s v="George Hardy"/>
    <x v="936"/>
    <x v="2"/>
    <d v="2020-05-24T00:00:00"/>
    <x v="3"/>
    <x v="14"/>
    <x v="3"/>
    <x v="2"/>
    <x v="0"/>
    <x v="685"/>
    <d v="2020-07-20T00:00:00"/>
    <m/>
    <n v="96"/>
    <n v="120"/>
    <x v="0"/>
  </r>
  <r>
    <n v="939"/>
    <s v="Emily Peterson"/>
    <x v="937"/>
    <x v="6"/>
    <d v="2022-07-09T00:00:00"/>
    <x v="3"/>
    <x v="7"/>
    <x v="2"/>
    <x v="0"/>
    <x v="0"/>
    <x v="537"/>
    <d v="2023-06-10T00:00:00"/>
    <n v="4"/>
    <n v="24"/>
    <n v="48"/>
    <x v="0"/>
  </r>
  <r>
    <n v="940"/>
    <s v="Ronnie Torres"/>
    <x v="938"/>
    <x v="11"/>
    <d v="2020-04-03T00:00:00"/>
    <x v="2"/>
    <x v="7"/>
    <x v="1"/>
    <x v="3"/>
    <x v="1"/>
    <x v="686"/>
    <d v="2020-06-25T00:00:00"/>
    <n v="4"/>
    <n v="216"/>
    <n v="168"/>
    <x v="1"/>
  </r>
  <r>
    <n v="941"/>
    <s v="Debbie Romero"/>
    <x v="939"/>
    <x v="4"/>
    <d v="2021-11-28T00:00:00"/>
    <x v="0"/>
    <x v="2"/>
    <x v="1"/>
    <x v="3"/>
    <x v="3"/>
    <x v="293"/>
    <d v="2022-02-17T00:00:00"/>
    <n v="4"/>
    <n v="264"/>
    <n v="168"/>
    <x v="1"/>
  </r>
  <r>
    <n v="942"/>
    <s v="Norman Chavez"/>
    <x v="940"/>
    <x v="17"/>
    <d v="2023-01-15T00:00:00"/>
    <x v="4"/>
    <x v="5"/>
    <x v="1"/>
    <x v="2"/>
    <x v="0"/>
    <x v="687"/>
    <d v="2023-03-02T00:00:00"/>
    <n v="5"/>
    <n v="96"/>
    <n v="120"/>
    <x v="0"/>
  </r>
  <r>
    <n v="943"/>
    <s v="Lori Ferguson"/>
    <x v="941"/>
    <x v="8"/>
    <d v="2022-06-08T00:00:00"/>
    <x v="4"/>
    <x v="10"/>
    <x v="0"/>
    <x v="3"/>
    <x v="1"/>
    <x v="505"/>
    <d v="2022-12-13T00:00:00"/>
    <m/>
    <n v="72"/>
    <n v="168"/>
    <x v="0"/>
  </r>
  <r>
    <n v="944"/>
    <s v="Michelle Stone"/>
    <x v="942"/>
    <x v="5"/>
    <d v="2023-04-24T00:00:00"/>
    <x v="4"/>
    <x v="0"/>
    <x v="1"/>
    <x v="2"/>
    <x v="1"/>
    <x v="278"/>
    <d v="2023-07-07T00:00:00"/>
    <m/>
    <n v="24"/>
    <n v="120"/>
    <x v="0"/>
  </r>
  <r>
    <n v="945"/>
    <s v="Brent Dawson"/>
    <x v="943"/>
    <x v="6"/>
    <d v="2020-07-21T00:00:00"/>
    <x v="0"/>
    <x v="0"/>
    <x v="0"/>
    <x v="3"/>
    <x v="1"/>
    <x v="688"/>
    <d v="2021-02-01T00:00:00"/>
    <m/>
    <n v="48"/>
    <n v="168"/>
    <x v="0"/>
  </r>
  <r>
    <n v="946"/>
    <s v="Jeremy Wood"/>
    <x v="944"/>
    <x v="13"/>
    <d v="2021-02-13T00:00:00"/>
    <x v="0"/>
    <x v="14"/>
    <x v="0"/>
    <x v="1"/>
    <x v="1"/>
    <x v="456"/>
    <d v="2021-12-15T00:00:00"/>
    <m/>
    <n v="24"/>
    <n v="24"/>
    <x v="0"/>
  </r>
  <r>
    <n v="947"/>
    <s v="Mallory Barajas"/>
    <x v="945"/>
    <x v="16"/>
    <d v="2020-08-12T00:00:00"/>
    <x v="1"/>
    <x v="9"/>
    <x v="2"/>
    <x v="2"/>
    <x v="3"/>
    <x v="430"/>
    <d v="2020-10-30T00:00:00"/>
    <n v="5"/>
    <n v="72"/>
    <n v="120"/>
    <x v="0"/>
  </r>
  <r>
    <n v="948"/>
    <s v="Kari Ellis"/>
    <x v="946"/>
    <x v="8"/>
    <d v="2023-03-05T00:00:00"/>
    <x v="2"/>
    <x v="14"/>
    <x v="1"/>
    <x v="1"/>
    <x v="1"/>
    <x v="276"/>
    <d v="2023-07-29T00:00:00"/>
    <n v="4"/>
    <n v="0"/>
    <n v="24"/>
    <x v="0"/>
  </r>
  <r>
    <n v="949"/>
    <s v="Justin Dorsey"/>
    <x v="947"/>
    <x v="5"/>
    <d v="2021-07-28T00:00:00"/>
    <x v="1"/>
    <x v="0"/>
    <x v="1"/>
    <x v="2"/>
    <x v="2"/>
    <x v="215"/>
    <d v="2022-05-13T00:00:00"/>
    <n v="5"/>
    <n v="144"/>
    <n v="120"/>
    <x v="1"/>
  </r>
  <r>
    <n v="950"/>
    <s v="Amanda Hernandez"/>
    <x v="948"/>
    <x v="6"/>
    <d v="2022-01-24T00:00:00"/>
    <x v="3"/>
    <x v="14"/>
    <x v="2"/>
    <x v="1"/>
    <x v="3"/>
    <x v="403"/>
    <d v="2022-05-13T00:00:00"/>
    <n v="5"/>
    <n v="24"/>
    <n v="24"/>
    <x v="0"/>
  </r>
  <r>
    <n v="951"/>
    <s v="Charles Bowers"/>
    <x v="949"/>
    <x v="13"/>
    <d v="2020-11-30T00:00:00"/>
    <x v="2"/>
    <x v="3"/>
    <x v="0"/>
    <x v="2"/>
    <x v="1"/>
    <x v="485"/>
    <d v="2021-05-14T00:00:00"/>
    <m/>
    <n v="120"/>
    <n v="120"/>
    <x v="0"/>
  </r>
  <r>
    <n v="952"/>
    <s v="Patrick Smith"/>
    <x v="950"/>
    <x v="11"/>
    <d v="2022-06-09T00:00:00"/>
    <x v="3"/>
    <x v="0"/>
    <x v="1"/>
    <x v="2"/>
    <x v="1"/>
    <x v="39"/>
    <d v="2022-08-07T00:00:00"/>
    <n v="5"/>
    <n v="96"/>
    <n v="120"/>
    <x v="0"/>
  </r>
  <r>
    <n v="953"/>
    <s v="Jesse Morgan"/>
    <x v="951"/>
    <x v="8"/>
    <d v="2020-07-25T00:00:00"/>
    <x v="3"/>
    <x v="7"/>
    <x v="1"/>
    <x v="0"/>
    <x v="3"/>
    <x v="689"/>
    <d v="2020-12-31T00:00:00"/>
    <m/>
    <n v="24"/>
    <n v="48"/>
    <x v="0"/>
  </r>
  <r>
    <n v="954"/>
    <s v="Kathy Murray"/>
    <x v="952"/>
    <x v="13"/>
    <d v="2021-05-20T00:00:00"/>
    <x v="0"/>
    <x v="3"/>
    <x v="3"/>
    <x v="0"/>
    <x v="2"/>
    <x v="433"/>
    <d v="2021-06-13T00:00:00"/>
    <m/>
    <n v="24"/>
    <n v="48"/>
    <x v="0"/>
  </r>
  <r>
    <n v="955"/>
    <s v="Mario Hanson"/>
    <x v="953"/>
    <x v="4"/>
    <d v="2022-04-20T00:00:00"/>
    <x v="0"/>
    <x v="0"/>
    <x v="0"/>
    <x v="3"/>
    <x v="1"/>
    <x v="690"/>
    <d v="2022-11-12T00:00:00"/>
    <m/>
    <n v="144"/>
    <n v="168"/>
    <x v="0"/>
  </r>
  <r>
    <n v="956"/>
    <s v="Michael Ramos"/>
    <x v="954"/>
    <x v="18"/>
    <d v="2022-09-05T00:00:00"/>
    <x v="2"/>
    <x v="0"/>
    <x v="0"/>
    <x v="3"/>
    <x v="1"/>
    <x v="436"/>
    <d v="2022-11-26T00:00:00"/>
    <m/>
    <n v="144"/>
    <n v="168"/>
    <x v="0"/>
  </r>
  <r>
    <n v="957"/>
    <s v="Michelle Hoffman"/>
    <x v="955"/>
    <x v="9"/>
    <d v="2022-04-21T00:00:00"/>
    <x v="0"/>
    <x v="13"/>
    <x v="1"/>
    <x v="3"/>
    <x v="2"/>
    <x v="691"/>
    <d v="2022-08-22T00:00:00"/>
    <n v="5"/>
    <n v="120"/>
    <n v="168"/>
    <x v="0"/>
  </r>
  <r>
    <n v="958"/>
    <s v="Amy Hudson"/>
    <x v="956"/>
    <x v="18"/>
    <d v="2020-07-05T00:00:00"/>
    <x v="2"/>
    <x v="3"/>
    <x v="2"/>
    <x v="0"/>
    <x v="1"/>
    <x v="692"/>
    <d v="2020-12-28T00:00:00"/>
    <n v="4"/>
    <n v="48"/>
    <n v="48"/>
    <x v="0"/>
  </r>
  <r>
    <n v="959"/>
    <s v="Kim Rivers"/>
    <x v="957"/>
    <x v="9"/>
    <d v="2020-05-11T00:00:00"/>
    <x v="1"/>
    <x v="2"/>
    <x v="0"/>
    <x v="3"/>
    <x v="0"/>
    <x v="693"/>
    <d v="2020-08-08T00:00:00"/>
    <m/>
    <n v="264"/>
    <n v="168"/>
    <x v="1"/>
  </r>
  <r>
    <n v="960"/>
    <s v="Lisa Morales"/>
    <x v="958"/>
    <x v="9"/>
    <d v="2021-11-09T00:00:00"/>
    <x v="3"/>
    <x v="0"/>
    <x v="1"/>
    <x v="2"/>
    <x v="1"/>
    <x v="235"/>
    <d v="2022-07-24T00:00:00"/>
    <n v="4"/>
    <n v="48"/>
    <n v="120"/>
    <x v="0"/>
  </r>
  <r>
    <n v="961"/>
    <s v="Alexander Rice"/>
    <x v="959"/>
    <x v="5"/>
    <d v="2022-04-21T00:00:00"/>
    <x v="0"/>
    <x v="9"/>
    <x v="3"/>
    <x v="3"/>
    <x v="2"/>
    <x v="241"/>
    <d v="2022-09-05T00:00:00"/>
    <m/>
    <n v="96"/>
    <n v="168"/>
    <x v="0"/>
  </r>
  <r>
    <n v="962"/>
    <s v="Charles Scott"/>
    <x v="960"/>
    <x v="15"/>
    <d v="2020-09-19T00:00:00"/>
    <x v="0"/>
    <x v="5"/>
    <x v="1"/>
    <x v="2"/>
    <x v="1"/>
    <x v="459"/>
    <d v="2021-03-25T00:00:00"/>
    <n v="4"/>
    <n v="24"/>
    <n v="120"/>
    <x v="0"/>
  </r>
  <r>
    <n v="963"/>
    <s v="Tyrone White"/>
    <x v="961"/>
    <x v="16"/>
    <d v="2021-10-03T00:00:00"/>
    <x v="3"/>
    <x v="13"/>
    <x v="0"/>
    <x v="3"/>
    <x v="2"/>
    <x v="694"/>
    <d v="2022-06-25T00:00:00"/>
    <m/>
    <n v="144"/>
    <n v="168"/>
    <x v="0"/>
  </r>
  <r>
    <n v="964"/>
    <s v="Deanna David"/>
    <x v="962"/>
    <x v="14"/>
    <d v="2022-06-29T00:00:00"/>
    <x v="3"/>
    <x v="3"/>
    <x v="1"/>
    <x v="1"/>
    <x v="1"/>
    <x v="695"/>
    <d v="2023-06-23T00:00:00"/>
    <n v="5"/>
    <n v="24"/>
    <n v="24"/>
    <x v="0"/>
  </r>
  <r>
    <n v="965"/>
    <s v="Jordan Gordon"/>
    <x v="963"/>
    <x v="5"/>
    <d v="2021-09-24T00:00:00"/>
    <x v="3"/>
    <x v="4"/>
    <x v="1"/>
    <x v="2"/>
    <x v="1"/>
    <x v="241"/>
    <d v="2022-09-03T00:00:00"/>
    <m/>
    <n v="48"/>
    <n v="120"/>
    <x v="0"/>
  </r>
  <r>
    <n v="966"/>
    <s v="Allen Schultz"/>
    <x v="964"/>
    <x v="17"/>
    <d v="2020-06-06T00:00:00"/>
    <x v="2"/>
    <x v="0"/>
    <x v="1"/>
    <x v="2"/>
    <x v="0"/>
    <x v="696"/>
    <d v="2021-01-19T00:00:00"/>
    <n v="5"/>
    <n v="144"/>
    <n v="120"/>
    <x v="1"/>
  </r>
  <r>
    <n v="967"/>
    <s v="Justin Glover"/>
    <x v="965"/>
    <x v="15"/>
    <d v="2022-02-16T00:00:00"/>
    <x v="2"/>
    <x v="8"/>
    <x v="0"/>
    <x v="2"/>
    <x v="3"/>
    <x v="697"/>
    <d v="2022-11-26T00:00:00"/>
    <m/>
    <n v="96"/>
    <n v="120"/>
    <x v="0"/>
  </r>
  <r>
    <n v="968"/>
    <s v="Walter Brooks"/>
    <x v="966"/>
    <x v="2"/>
    <d v="2022-05-12T00:00:00"/>
    <x v="2"/>
    <x v="10"/>
    <x v="0"/>
    <x v="0"/>
    <x v="0"/>
    <x v="136"/>
    <d v="2022-12-20T00:00:00"/>
    <m/>
    <n v="24"/>
    <n v="48"/>
    <x v="0"/>
  </r>
  <r>
    <n v="969"/>
    <s v="Aaron Marshall"/>
    <x v="967"/>
    <x v="11"/>
    <d v="2022-01-19T00:00:00"/>
    <x v="2"/>
    <x v="14"/>
    <x v="0"/>
    <x v="0"/>
    <x v="2"/>
    <x v="505"/>
    <d v="2022-12-11T00:00:00"/>
    <m/>
    <n v="24"/>
    <n v="48"/>
    <x v="0"/>
  </r>
  <r>
    <n v="970"/>
    <s v="David Frazier"/>
    <x v="968"/>
    <x v="16"/>
    <d v="2021-03-13T00:00:00"/>
    <x v="2"/>
    <x v="5"/>
    <x v="0"/>
    <x v="3"/>
    <x v="2"/>
    <x v="585"/>
    <d v="2021-12-11T00:00:00"/>
    <m/>
    <n v="120"/>
    <n v="168"/>
    <x v="0"/>
  </r>
  <r>
    <n v="971"/>
    <s v="Patrick Hart"/>
    <x v="969"/>
    <x v="7"/>
    <d v="2022-05-14T00:00:00"/>
    <x v="2"/>
    <x v="5"/>
    <x v="3"/>
    <x v="3"/>
    <x v="2"/>
    <x v="662"/>
    <d v="2022-08-16T00:00:00"/>
    <m/>
    <n v="240"/>
    <n v="168"/>
    <x v="1"/>
  </r>
  <r>
    <n v="972"/>
    <s v="Dr. Christine Wagner PhD"/>
    <x v="970"/>
    <x v="1"/>
    <d v="2022-10-25T00:00:00"/>
    <x v="4"/>
    <x v="5"/>
    <x v="1"/>
    <x v="2"/>
    <x v="3"/>
    <x v="698"/>
    <d v="2023-05-19T00:00:00"/>
    <n v="5"/>
    <n v="168"/>
    <n v="120"/>
    <x v="1"/>
  </r>
  <r>
    <n v="973"/>
    <s v="Mrs. Julia Greene"/>
    <x v="971"/>
    <x v="4"/>
    <d v="2022-08-03T00:00:00"/>
    <x v="2"/>
    <x v="10"/>
    <x v="1"/>
    <x v="2"/>
    <x v="2"/>
    <x v="699"/>
    <d v="2022-08-13T00:00:00"/>
    <n v="3"/>
    <n v="72"/>
    <n v="120"/>
    <x v="0"/>
  </r>
  <r>
    <n v="974"/>
    <s v="Steven Chambers"/>
    <x v="972"/>
    <x v="8"/>
    <d v="2022-01-29T00:00:00"/>
    <x v="4"/>
    <x v="1"/>
    <x v="1"/>
    <x v="3"/>
    <x v="1"/>
    <x v="153"/>
    <d v="2022-09-23T00:00:00"/>
    <n v="3"/>
    <n v="168"/>
    <n v="168"/>
    <x v="0"/>
  </r>
  <r>
    <n v="975"/>
    <s v="Kimberly Cobb"/>
    <x v="973"/>
    <x v="3"/>
    <d v="2021-11-22T00:00:00"/>
    <x v="1"/>
    <x v="8"/>
    <x v="1"/>
    <x v="2"/>
    <x v="1"/>
    <x v="261"/>
    <d v="2022-09-29T00:00:00"/>
    <n v="4"/>
    <n v="96"/>
    <n v="120"/>
    <x v="0"/>
  </r>
  <r>
    <n v="976"/>
    <s v="Heather Hess"/>
    <x v="974"/>
    <x v="7"/>
    <d v="2021-07-29T00:00:00"/>
    <x v="0"/>
    <x v="1"/>
    <x v="1"/>
    <x v="0"/>
    <x v="1"/>
    <x v="700"/>
    <d v="2022-04-13T00:00:00"/>
    <n v="3"/>
    <n v="24"/>
    <n v="48"/>
    <x v="0"/>
  </r>
  <r>
    <n v="977"/>
    <s v="Jill Walker"/>
    <x v="975"/>
    <x v="4"/>
    <d v="2021-07-09T00:00:00"/>
    <x v="1"/>
    <x v="14"/>
    <x v="1"/>
    <x v="2"/>
    <x v="1"/>
    <x v="701"/>
    <d v="2021-09-09T00:00:00"/>
    <n v="4"/>
    <n v="96"/>
    <n v="120"/>
    <x v="0"/>
  </r>
  <r>
    <n v="978"/>
    <s v="Robert Garrett"/>
    <x v="976"/>
    <x v="16"/>
    <d v="2020-02-27T00:00:00"/>
    <x v="3"/>
    <x v="0"/>
    <x v="2"/>
    <x v="2"/>
    <x v="0"/>
    <x v="702"/>
    <d v="2021-01-18T00:00:00"/>
    <n v="2"/>
    <n v="48"/>
    <n v="120"/>
    <x v="0"/>
  </r>
  <r>
    <n v="979"/>
    <s v="Tanner Mann"/>
    <x v="977"/>
    <x v="16"/>
    <d v="2021-09-07T00:00:00"/>
    <x v="0"/>
    <x v="6"/>
    <x v="0"/>
    <x v="3"/>
    <x v="1"/>
    <x v="103"/>
    <d v="2021-11-05T00:00:00"/>
    <m/>
    <n v="144"/>
    <n v="168"/>
    <x v="0"/>
  </r>
  <r>
    <n v="980"/>
    <s v="Donald Mason"/>
    <x v="978"/>
    <x v="15"/>
    <d v="2022-11-10T00:00:00"/>
    <x v="2"/>
    <x v="0"/>
    <x v="1"/>
    <x v="2"/>
    <x v="1"/>
    <x v="703"/>
    <d v="2023-10-23T00:00:00"/>
    <n v="5"/>
    <n v="144"/>
    <n v="120"/>
    <x v="1"/>
  </r>
  <r>
    <n v="981"/>
    <s v="Krystal Jones"/>
    <x v="979"/>
    <x v="5"/>
    <d v="2020-12-20T00:00:00"/>
    <x v="0"/>
    <x v="10"/>
    <x v="2"/>
    <x v="2"/>
    <x v="0"/>
    <x v="284"/>
    <d v="2021-07-22T00:00:00"/>
    <n v="4"/>
    <n v="72"/>
    <n v="120"/>
    <x v="0"/>
  </r>
  <r>
    <n v="982"/>
    <s v="Monica Hill"/>
    <x v="980"/>
    <x v="11"/>
    <d v="2022-08-12T00:00:00"/>
    <x v="3"/>
    <x v="8"/>
    <x v="3"/>
    <x v="3"/>
    <x v="1"/>
    <x v="704"/>
    <d v="2023-01-24T00:00:00"/>
    <m/>
    <n v="192"/>
    <n v="168"/>
    <x v="1"/>
  </r>
  <r>
    <n v="983"/>
    <s v="Justin Gibson"/>
    <x v="981"/>
    <x v="6"/>
    <d v="2021-05-16T00:00:00"/>
    <x v="2"/>
    <x v="3"/>
    <x v="1"/>
    <x v="2"/>
    <x v="3"/>
    <x v="705"/>
    <d v="2021-11-25T00:00:00"/>
    <n v="4"/>
    <n v="48"/>
    <n v="120"/>
    <x v="0"/>
  </r>
  <r>
    <n v="984"/>
    <s v="Zachary Hill"/>
    <x v="982"/>
    <x v="17"/>
    <d v="2023-01-25T00:00:00"/>
    <x v="2"/>
    <x v="13"/>
    <x v="1"/>
    <x v="2"/>
    <x v="2"/>
    <x v="706"/>
    <d v="2023-05-08T00:00:00"/>
    <n v="5"/>
    <n v="120"/>
    <n v="120"/>
    <x v="0"/>
  </r>
  <r>
    <n v="985"/>
    <s v="Donald Fisher"/>
    <x v="983"/>
    <x v="4"/>
    <d v="2021-06-03T00:00:00"/>
    <x v="0"/>
    <x v="6"/>
    <x v="0"/>
    <x v="0"/>
    <x v="1"/>
    <x v="707"/>
    <d v="2022-02-23T00:00:00"/>
    <m/>
    <n v="24"/>
    <n v="48"/>
    <x v="0"/>
  </r>
  <r>
    <n v="986"/>
    <s v="Kenneth Johnson"/>
    <x v="984"/>
    <x v="17"/>
    <d v="2021-01-23T00:00:00"/>
    <x v="3"/>
    <x v="11"/>
    <x v="1"/>
    <x v="3"/>
    <x v="1"/>
    <x v="708"/>
    <d v="2021-12-16T00:00:00"/>
    <n v="3"/>
    <n v="144"/>
    <n v="168"/>
    <x v="0"/>
  </r>
  <r>
    <n v="987"/>
    <s v="Gary Brown"/>
    <x v="985"/>
    <x v="6"/>
    <d v="2022-07-09T00:00:00"/>
    <x v="2"/>
    <x v="11"/>
    <x v="0"/>
    <x v="2"/>
    <x v="0"/>
    <x v="709"/>
    <d v="2022-07-25T00:00:00"/>
    <m/>
    <n v="48"/>
    <n v="120"/>
    <x v="0"/>
  </r>
  <r>
    <n v="988"/>
    <s v="Taylor Pittman"/>
    <x v="986"/>
    <x v="2"/>
    <d v="2020-03-25T00:00:00"/>
    <x v="2"/>
    <x v="6"/>
    <x v="1"/>
    <x v="3"/>
    <x v="0"/>
    <x v="394"/>
    <d v="2020-07-04T00:00:00"/>
    <n v="4"/>
    <n v="144"/>
    <n v="168"/>
    <x v="0"/>
  </r>
  <r>
    <n v="989"/>
    <s v="Kelly Young"/>
    <x v="987"/>
    <x v="15"/>
    <d v="2022-08-29T00:00:00"/>
    <x v="0"/>
    <x v="0"/>
    <x v="3"/>
    <x v="0"/>
    <x v="1"/>
    <x v="704"/>
    <d v="2023-01-18T00:00:00"/>
    <m/>
    <n v="48"/>
    <n v="48"/>
    <x v="0"/>
  </r>
  <r>
    <n v="990"/>
    <s v="Calvin Villegas"/>
    <x v="988"/>
    <x v="0"/>
    <d v="2020-04-11T00:00:00"/>
    <x v="2"/>
    <x v="0"/>
    <x v="1"/>
    <x v="3"/>
    <x v="0"/>
    <x v="63"/>
    <d v="2020-06-26T00:00:00"/>
    <n v="5"/>
    <n v="96"/>
    <n v="168"/>
    <x v="0"/>
  </r>
  <r>
    <n v="991"/>
    <s v="Amy Lang"/>
    <x v="989"/>
    <x v="8"/>
    <d v="2020-06-07T00:00:00"/>
    <x v="2"/>
    <x v="6"/>
    <x v="1"/>
    <x v="3"/>
    <x v="1"/>
    <x v="60"/>
    <d v="2021-01-10T00:00:00"/>
    <n v="4"/>
    <n v="144"/>
    <n v="168"/>
    <x v="0"/>
  </r>
  <r>
    <n v="992"/>
    <s v="Kristin Phillips"/>
    <x v="990"/>
    <x v="7"/>
    <d v="2020-12-28T00:00:00"/>
    <x v="1"/>
    <x v="9"/>
    <x v="1"/>
    <x v="3"/>
    <x v="1"/>
    <x v="19"/>
    <d v="2021-01-06T00:00:00"/>
    <m/>
    <n v="96"/>
    <n v="168"/>
    <x v="0"/>
  </r>
  <r>
    <n v="993"/>
    <s v="Rachel Hanson"/>
    <x v="991"/>
    <x v="12"/>
    <d v="2022-08-21T00:00:00"/>
    <x v="0"/>
    <x v="6"/>
    <x v="0"/>
    <x v="3"/>
    <x v="1"/>
    <x v="390"/>
    <d v="2022-08-23T00:00:00"/>
    <m/>
    <n v="0"/>
    <n v="168"/>
    <x v="0"/>
  </r>
  <r>
    <n v="994"/>
    <s v="Gina Pace"/>
    <x v="992"/>
    <x v="6"/>
    <d v="2020-06-16T00:00:00"/>
    <x v="4"/>
    <x v="10"/>
    <x v="1"/>
    <x v="0"/>
    <x v="0"/>
    <x v="364"/>
    <d v="2020-10-06T00:00:00"/>
    <n v="5"/>
    <n v="48"/>
    <n v="48"/>
    <x v="0"/>
  </r>
  <r>
    <n v="995"/>
    <s v="Kurt Jones"/>
    <x v="993"/>
    <x v="10"/>
    <d v="2021-02-02T00:00:00"/>
    <x v="2"/>
    <x v="4"/>
    <x v="1"/>
    <x v="2"/>
    <x v="3"/>
    <x v="329"/>
    <d v="2021-03-24T00:00:00"/>
    <n v="4"/>
    <n v="72"/>
    <n v="120"/>
    <x v="0"/>
  </r>
  <r>
    <n v="996"/>
    <s v="John Oliver"/>
    <x v="994"/>
    <x v="3"/>
    <d v="2020-07-17T00:00:00"/>
    <x v="1"/>
    <x v="12"/>
    <x v="1"/>
    <x v="3"/>
    <x v="0"/>
    <x v="617"/>
    <d v="2020-11-03T00:00:00"/>
    <n v="3"/>
    <n v="192"/>
    <n v="168"/>
    <x v="1"/>
  </r>
  <r>
    <n v="997"/>
    <s v="Jeffrey Moyer"/>
    <x v="995"/>
    <x v="13"/>
    <d v="2021-12-30T00:00:00"/>
    <x v="2"/>
    <x v="3"/>
    <x v="1"/>
    <x v="2"/>
    <x v="3"/>
    <x v="710"/>
    <d v="2022-08-11T00:00:00"/>
    <n v="5"/>
    <n v="72"/>
    <n v="120"/>
    <x v="0"/>
  </r>
  <r>
    <n v="998"/>
    <s v="Grant Wood"/>
    <x v="996"/>
    <x v="2"/>
    <d v="2020-03-30T00:00:00"/>
    <x v="0"/>
    <x v="14"/>
    <x v="1"/>
    <x v="2"/>
    <x v="1"/>
    <x v="711"/>
    <d v="2021-02-17T00:00:00"/>
    <m/>
    <n v="24"/>
    <n v="120"/>
    <x v="0"/>
  </r>
  <r>
    <n v="999"/>
    <s v="Robert Hansen"/>
    <x v="997"/>
    <x v="18"/>
    <d v="2022-09-22T00:00:00"/>
    <x v="4"/>
    <x v="11"/>
    <x v="1"/>
    <x v="0"/>
    <x v="1"/>
    <x v="434"/>
    <d v="2023-03-23T00:00:00"/>
    <n v="3"/>
    <n v="48"/>
    <n v="48"/>
    <x v="0"/>
  </r>
  <r>
    <n v="1000"/>
    <s v="Rachel Peterson"/>
    <x v="998"/>
    <x v="6"/>
    <d v="2022-12-11T00:00:00"/>
    <x v="4"/>
    <x v="2"/>
    <x v="1"/>
    <x v="2"/>
    <x v="1"/>
    <x v="712"/>
    <d v="2023-06-07T00:00:00"/>
    <n v="4"/>
    <n v="432"/>
    <n v="120"/>
    <x v="1"/>
  </r>
  <r>
    <n v="1001"/>
    <s v="Kenneth Mccarty"/>
    <x v="999"/>
    <x v="7"/>
    <d v="2023-05-10T00:00:00"/>
    <x v="3"/>
    <x v="7"/>
    <x v="2"/>
    <x v="0"/>
    <x v="0"/>
    <x v="713"/>
    <d v="2024-03-13T00:00:00"/>
    <m/>
    <n v="0"/>
    <n v="48"/>
    <x v="0"/>
  </r>
  <r>
    <n v="1002"/>
    <s v="Kathleen Mora"/>
    <x v="1000"/>
    <x v="16"/>
    <d v="2021-01-06T00:00:00"/>
    <x v="1"/>
    <x v="1"/>
    <x v="3"/>
    <x v="2"/>
    <x v="3"/>
    <x v="714"/>
    <d v="2021-12-26T00:00:00"/>
    <m/>
    <n v="120"/>
    <n v="120"/>
    <x v="0"/>
  </r>
  <r>
    <n v="1003"/>
    <s v="Dr. Robert Aguirre"/>
    <x v="1001"/>
    <x v="0"/>
    <d v="2021-07-17T00:00:00"/>
    <x v="0"/>
    <x v="8"/>
    <x v="0"/>
    <x v="2"/>
    <x v="1"/>
    <x v="715"/>
    <d v="2021-09-20T00:00:00"/>
    <m/>
    <n v="48"/>
    <n v="120"/>
    <x v="0"/>
  </r>
  <r>
    <n v="1004"/>
    <s v="Hunter Spencer"/>
    <x v="1002"/>
    <x v="5"/>
    <d v="2023-04-04T00:00:00"/>
    <x v="3"/>
    <x v="0"/>
    <x v="1"/>
    <x v="3"/>
    <x v="1"/>
    <x v="115"/>
    <d v="2023-08-31T00:00:00"/>
    <n v="4"/>
    <n v="96"/>
    <n v="168"/>
    <x v="0"/>
  </r>
  <r>
    <n v="1005"/>
    <s v="William Gonzalez"/>
    <x v="1003"/>
    <x v="16"/>
    <d v="2022-05-11T00:00:00"/>
    <x v="2"/>
    <x v="10"/>
    <x v="1"/>
    <x v="3"/>
    <x v="3"/>
    <x v="716"/>
    <d v="2022-10-22T00:00:00"/>
    <n v="3"/>
    <n v="240"/>
    <n v="168"/>
    <x v="1"/>
  </r>
  <r>
    <n v="1006"/>
    <s v="Craig Thompson"/>
    <x v="1004"/>
    <x v="5"/>
    <d v="2022-10-14T00:00:00"/>
    <x v="3"/>
    <x v="14"/>
    <x v="1"/>
    <x v="3"/>
    <x v="1"/>
    <x v="570"/>
    <d v="2023-06-30T00:00:00"/>
    <n v="4"/>
    <n v="168"/>
    <n v="168"/>
    <x v="0"/>
  </r>
  <r>
    <n v="1007"/>
    <s v="Ashley Boyle"/>
    <x v="1005"/>
    <x v="0"/>
    <d v="2020-09-23T00:00:00"/>
    <x v="1"/>
    <x v="14"/>
    <x v="0"/>
    <x v="3"/>
    <x v="0"/>
    <x v="352"/>
    <d v="2021-03-15T00:00:00"/>
    <m/>
    <n v="192"/>
    <n v="168"/>
    <x v="1"/>
  </r>
  <r>
    <n v="1008"/>
    <s v="Vanessa Cuevas"/>
    <x v="1006"/>
    <x v="12"/>
    <d v="2020-08-12T00:00:00"/>
    <x v="3"/>
    <x v="10"/>
    <x v="1"/>
    <x v="3"/>
    <x v="2"/>
    <x v="180"/>
    <d v="2020-08-21T00:00:00"/>
    <n v="4"/>
    <n v="168"/>
    <n v="168"/>
    <x v="0"/>
  </r>
  <r>
    <n v="1009"/>
    <s v="Bianca Lopez"/>
    <x v="1007"/>
    <x v="17"/>
    <d v="2021-10-29T00:00:00"/>
    <x v="4"/>
    <x v="6"/>
    <x v="0"/>
    <x v="3"/>
    <x v="1"/>
    <x v="717"/>
    <d v="2022-03-20T00:00:00"/>
    <m/>
    <n v="96"/>
    <n v="168"/>
    <x v="0"/>
  </r>
  <r>
    <n v="1010"/>
    <s v="Dana Williams"/>
    <x v="1008"/>
    <x v="1"/>
    <d v="2021-05-24T00:00:00"/>
    <x v="1"/>
    <x v="5"/>
    <x v="1"/>
    <x v="3"/>
    <x v="3"/>
    <x v="714"/>
    <d v="2021-12-28T00:00:00"/>
    <n v="3"/>
    <n v="168"/>
    <n v="168"/>
    <x v="0"/>
  </r>
  <r>
    <n v="1011"/>
    <s v="Mark Ramirez"/>
    <x v="1009"/>
    <x v="13"/>
    <d v="2020-11-21T00:00:00"/>
    <x v="4"/>
    <x v="13"/>
    <x v="3"/>
    <x v="3"/>
    <x v="1"/>
    <x v="131"/>
    <d v="2021-03-16T00:00:00"/>
    <m/>
    <n v="0"/>
    <n v="168"/>
    <x v="0"/>
  </r>
  <r>
    <n v="1012"/>
    <s v="Rachel Gibbs"/>
    <x v="1010"/>
    <x v="9"/>
    <d v="2023-03-12T00:00:00"/>
    <x v="1"/>
    <x v="3"/>
    <x v="1"/>
    <x v="1"/>
    <x v="3"/>
    <x v="494"/>
    <d v="2023-04-23T00:00:00"/>
    <n v="5"/>
    <n v="72"/>
    <n v="24"/>
    <x v="1"/>
  </r>
  <r>
    <n v="1013"/>
    <s v="Kathleen Marshall"/>
    <x v="1011"/>
    <x v="18"/>
    <d v="2022-02-07T00:00:00"/>
    <x v="4"/>
    <x v="3"/>
    <x v="1"/>
    <x v="3"/>
    <x v="3"/>
    <x v="73"/>
    <d v="2022-10-28T00:00:00"/>
    <m/>
    <n v="0"/>
    <n v="168"/>
    <x v="0"/>
  </r>
  <r>
    <n v="1014"/>
    <s v="Kevin Little"/>
    <x v="1012"/>
    <x v="17"/>
    <d v="2020-12-30T00:00:00"/>
    <x v="1"/>
    <x v="14"/>
    <x v="1"/>
    <x v="2"/>
    <x v="1"/>
    <x v="718"/>
    <d v="2021-08-20T00:00:00"/>
    <n v="4"/>
    <n v="48"/>
    <n v="120"/>
    <x v="0"/>
  </r>
  <r>
    <n v="1015"/>
    <s v="Eric Oneal"/>
    <x v="1013"/>
    <x v="0"/>
    <d v="2020-05-11T00:00:00"/>
    <x v="1"/>
    <x v="8"/>
    <x v="0"/>
    <x v="0"/>
    <x v="3"/>
    <x v="719"/>
    <d v="2020-07-28T00:00:00"/>
    <m/>
    <n v="72"/>
    <n v="48"/>
    <x v="1"/>
  </r>
  <r>
    <n v="1016"/>
    <s v="Bradley Wallace"/>
    <x v="1014"/>
    <x v="13"/>
    <d v="2022-08-22T00:00:00"/>
    <x v="2"/>
    <x v="2"/>
    <x v="1"/>
    <x v="2"/>
    <x v="1"/>
    <x v="480"/>
    <d v="2023-07-30T00:00:00"/>
    <n v="3"/>
    <n v="96"/>
    <n v="120"/>
    <x v="0"/>
  </r>
  <r>
    <n v="1017"/>
    <s v="Jerry Reynolds"/>
    <x v="1015"/>
    <x v="4"/>
    <d v="2020-02-08T00:00:00"/>
    <x v="4"/>
    <x v="1"/>
    <x v="3"/>
    <x v="2"/>
    <x v="1"/>
    <x v="720"/>
    <d v="2020-03-09T00:00:00"/>
    <m/>
    <n v="72"/>
    <n v="120"/>
    <x v="0"/>
  </r>
  <r>
    <n v="1018"/>
    <s v="David Brewer"/>
    <x v="1016"/>
    <x v="3"/>
    <d v="2022-04-29T00:00:00"/>
    <x v="4"/>
    <x v="0"/>
    <x v="0"/>
    <x v="2"/>
    <x v="1"/>
    <x v="15"/>
    <d v="2023-03-05T00:00:00"/>
    <m/>
    <n v="144"/>
    <n v="120"/>
    <x v="1"/>
  </r>
  <r>
    <n v="1019"/>
    <s v="Rachel House"/>
    <x v="1017"/>
    <x v="14"/>
    <d v="2020-11-07T00:00:00"/>
    <x v="4"/>
    <x v="4"/>
    <x v="0"/>
    <x v="1"/>
    <x v="1"/>
    <x v="60"/>
    <d v="2021-01-04T00:00:00"/>
    <m/>
    <n v="0"/>
    <n v="24"/>
    <x v="0"/>
  </r>
  <r>
    <n v="1020"/>
    <s v="Michael Wright"/>
    <x v="1018"/>
    <x v="17"/>
    <d v="2023-02-23T00:00:00"/>
    <x v="4"/>
    <x v="5"/>
    <x v="1"/>
    <x v="0"/>
    <x v="1"/>
    <x v="721"/>
    <d v="2023-09-12T00:00:00"/>
    <n v="4"/>
    <n v="24"/>
    <n v="48"/>
    <x v="0"/>
  </r>
  <r>
    <n v="1021"/>
    <s v="Debbie Carrillo"/>
    <x v="1019"/>
    <x v="7"/>
    <d v="2023-03-23T00:00:00"/>
    <x v="4"/>
    <x v="12"/>
    <x v="1"/>
    <x v="2"/>
    <x v="2"/>
    <x v="722"/>
    <d v="2023-03-26T00:00:00"/>
    <n v="4"/>
    <n v="48"/>
    <n v="120"/>
    <x v="0"/>
  </r>
  <r>
    <n v="1022"/>
    <s v="Kaitlyn Hunt"/>
    <x v="1020"/>
    <x v="9"/>
    <d v="2023-03-09T00:00:00"/>
    <x v="1"/>
    <x v="8"/>
    <x v="0"/>
    <x v="3"/>
    <x v="3"/>
    <x v="723"/>
    <d v="2023-06-13T00:00:00"/>
    <m/>
    <n v="264"/>
    <n v="168"/>
    <x v="1"/>
  </r>
  <r>
    <n v="1023"/>
    <s v="David Matthews"/>
    <x v="1021"/>
    <x v="3"/>
    <d v="2023-05-15T00:00:00"/>
    <x v="2"/>
    <x v="7"/>
    <x v="0"/>
    <x v="0"/>
    <x v="1"/>
    <x v="206"/>
    <d v="2023-09-29T00:00:00"/>
    <m/>
    <n v="48"/>
    <n v="48"/>
    <x v="0"/>
  </r>
  <r>
    <n v="1024"/>
    <s v="Ryan Patterson"/>
    <x v="1022"/>
    <x v="8"/>
    <d v="2020-02-16T00:00:00"/>
    <x v="1"/>
    <x v="14"/>
    <x v="0"/>
    <x v="2"/>
    <x v="3"/>
    <x v="724"/>
    <d v="2020-10-26T00:00:00"/>
    <m/>
    <n v="72"/>
    <n v="120"/>
    <x v="0"/>
  </r>
  <r>
    <n v="1025"/>
    <s v="Kenneth Anderson"/>
    <x v="1023"/>
    <x v="14"/>
    <d v="2021-06-11T00:00:00"/>
    <x v="1"/>
    <x v="9"/>
    <x v="0"/>
    <x v="3"/>
    <x v="0"/>
    <x v="725"/>
    <d v="2022-03-12T00:00:00"/>
    <m/>
    <n v="144"/>
    <n v="168"/>
    <x v="0"/>
  </r>
  <r>
    <n v="1026"/>
    <s v="Jeffery Goodwin"/>
    <x v="1024"/>
    <x v="13"/>
    <d v="2020-08-04T00:00:00"/>
    <x v="1"/>
    <x v="4"/>
    <x v="0"/>
    <x v="2"/>
    <x v="1"/>
    <x v="726"/>
    <d v="2021-02-01T00:00:00"/>
    <m/>
    <n v="24"/>
    <n v="120"/>
    <x v="0"/>
  </r>
  <r>
    <n v="1027"/>
    <s v="Troy Rivera"/>
    <x v="1025"/>
    <x v="18"/>
    <d v="2020-04-08T00:00:00"/>
    <x v="3"/>
    <x v="12"/>
    <x v="0"/>
    <x v="3"/>
    <x v="3"/>
    <x v="5"/>
    <d v="2021-03-22T00:00:00"/>
    <m/>
    <n v="216"/>
    <n v="168"/>
    <x v="1"/>
  </r>
  <r>
    <n v="1028"/>
    <s v="Chelsea Rodriguez"/>
    <x v="1026"/>
    <x v="16"/>
    <d v="2020-09-23T00:00:00"/>
    <x v="1"/>
    <x v="3"/>
    <x v="1"/>
    <x v="0"/>
    <x v="2"/>
    <x v="696"/>
    <d v="2021-01-14T00:00:00"/>
    <n v="4"/>
    <n v="24"/>
    <n v="48"/>
    <x v="0"/>
  </r>
  <r>
    <n v="1029"/>
    <s v="Juan Johnson"/>
    <x v="195"/>
    <x v="10"/>
    <d v="2021-08-22T00:00:00"/>
    <x v="0"/>
    <x v="12"/>
    <x v="3"/>
    <x v="3"/>
    <x v="1"/>
    <x v="499"/>
    <d v="2022-03-18T00:00:00"/>
    <m/>
    <n v="360"/>
    <n v="168"/>
    <x v="1"/>
  </r>
  <r>
    <n v="1030"/>
    <s v="David Keller"/>
    <x v="1027"/>
    <x v="11"/>
    <d v="2020-09-23T00:00:00"/>
    <x v="0"/>
    <x v="2"/>
    <x v="1"/>
    <x v="2"/>
    <x v="1"/>
    <x v="701"/>
    <d v="2021-09-09T00:00:00"/>
    <n v="3"/>
    <n v="96"/>
    <n v="120"/>
    <x v="0"/>
  </r>
  <r>
    <n v="1031"/>
    <s v="Theodore Myers"/>
    <x v="1028"/>
    <x v="0"/>
    <d v="2020-04-16T00:00:00"/>
    <x v="4"/>
    <x v="9"/>
    <x v="1"/>
    <x v="2"/>
    <x v="1"/>
    <x v="3"/>
    <d v="2020-11-26T00:00:00"/>
    <n v="5"/>
    <n v="72"/>
    <n v="120"/>
    <x v="0"/>
  </r>
  <r>
    <n v="1032"/>
    <s v="Steven Clark"/>
    <x v="1029"/>
    <x v="18"/>
    <d v="2022-01-07T00:00:00"/>
    <x v="3"/>
    <x v="3"/>
    <x v="3"/>
    <x v="3"/>
    <x v="1"/>
    <x v="416"/>
    <d v="2022-06-11T00:00:00"/>
    <m/>
    <n v="168"/>
    <n v="168"/>
    <x v="0"/>
  </r>
  <r>
    <n v="1033"/>
    <s v="Kenneth Collins"/>
    <x v="1030"/>
    <x v="7"/>
    <d v="2020-11-09T00:00:00"/>
    <x v="1"/>
    <x v="4"/>
    <x v="0"/>
    <x v="2"/>
    <x v="1"/>
    <x v="727"/>
    <d v="2021-09-14T00:00:00"/>
    <m/>
    <n v="144"/>
    <n v="120"/>
    <x v="1"/>
  </r>
  <r>
    <n v="1034"/>
    <s v="Charles Brown"/>
    <x v="1031"/>
    <x v="7"/>
    <d v="2021-05-25T00:00:00"/>
    <x v="4"/>
    <x v="1"/>
    <x v="0"/>
    <x v="3"/>
    <x v="1"/>
    <x v="293"/>
    <d v="2022-02-15T00:00:00"/>
    <m/>
    <n v="216"/>
    <n v="168"/>
    <x v="1"/>
  </r>
  <r>
    <n v="1035"/>
    <s v="Sherry Stevens"/>
    <x v="1032"/>
    <x v="1"/>
    <d v="2021-06-22T00:00:00"/>
    <x v="2"/>
    <x v="4"/>
    <x v="1"/>
    <x v="1"/>
    <x v="1"/>
    <x v="222"/>
    <d v="2021-08-02T00:00:00"/>
    <n v="5"/>
    <n v="0"/>
    <n v="24"/>
    <x v="0"/>
  </r>
  <r>
    <n v="1036"/>
    <s v="Michelle Evans"/>
    <x v="1033"/>
    <x v="11"/>
    <d v="2023-02-13T00:00:00"/>
    <x v="4"/>
    <x v="10"/>
    <x v="3"/>
    <x v="0"/>
    <x v="1"/>
    <x v="79"/>
    <d v="2023-07-19T00:00:00"/>
    <m/>
    <n v="48"/>
    <n v="48"/>
    <x v="0"/>
  </r>
  <r>
    <n v="1037"/>
    <s v="James Hopkins"/>
    <x v="1034"/>
    <x v="6"/>
    <d v="2020-09-02T00:00:00"/>
    <x v="2"/>
    <x v="6"/>
    <x v="1"/>
    <x v="2"/>
    <x v="3"/>
    <x v="728"/>
    <d v="2021-04-06T00:00:00"/>
    <m/>
    <n v="72"/>
    <n v="120"/>
    <x v="0"/>
  </r>
  <r>
    <n v="1038"/>
    <s v="Mark Carter"/>
    <x v="1035"/>
    <x v="16"/>
    <d v="2022-02-05T00:00:00"/>
    <x v="2"/>
    <x v="9"/>
    <x v="1"/>
    <x v="2"/>
    <x v="3"/>
    <x v="729"/>
    <d v="2022-04-01T00:00:00"/>
    <n v="4"/>
    <n v="144"/>
    <n v="120"/>
    <x v="1"/>
  </r>
  <r>
    <n v="1039"/>
    <s v="Philip Martinez"/>
    <x v="1036"/>
    <x v="16"/>
    <d v="2021-09-29T00:00:00"/>
    <x v="1"/>
    <x v="6"/>
    <x v="3"/>
    <x v="2"/>
    <x v="3"/>
    <x v="539"/>
    <d v="2022-05-28T00:00:00"/>
    <m/>
    <n v="120"/>
    <n v="120"/>
    <x v="0"/>
  </r>
  <r>
    <n v="1040"/>
    <s v="David Hunter"/>
    <x v="1037"/>
    <x v="14"/>
    <d v="2022-11-15T00:00:00"/>
    <x v="2"/>
    <x v="12"/>
    <x v="1"/>
    <x v="0"/>
    <x v="0"/>
    <x v="296"/>
    <d v="2023-09-10T00:00:00"/>
    <n v="3"/>
    <n v="48"/>
    <n v="48"/>
    <x v="0"/>
  </r>
  <r>
    <n v="1041"/>
    <s v="Jane Reese"/>
    <x v="1038"/>
    <x v="8"/>
    <d v="2023-01-06T00:00:00"/>
    <x v="3"/>
    <x v="5"/>
    <x v="0"/>
    <x v="3"/>
    <x v="1"/>
    <x v="519"/>
    <d v="2023-09-04T00:00:00"/>
    <m/>
    <n v="120"/>
    <n v="168"/>
    <x v="0"/>
  </r>
  <r>
    <n v="1042"/>
    <s v="Erin Goodman"/>
    <x v="1039"/>
    <x v="0"/>
    <d v="2022-10-17T00:00:00"/>
    <x v="0"/>
    <x v="13"/>
    <x v="0"/>
    <x v="3"/>
    <x v="3"/>
    <x v="618"/>
    <d v="2023-03-23T00:00:00"/>
    <m/>
    <n v="216"/>
    <n v="168"/>
    <x v="1"/>
  </r>
  <r>
    <n v="1043"/>
    <s v="Travis Taylor"/>
    <x v="1040"/>
    <x v="15"/>
    <d v="2020-06-05T00:00:00"/>
    <x v="4"/>
    <x v="10"/>
    <x v="1"/>
    <x v="0"/>
    <x v="3"/>
    <x v="49"/>
    <d v="2021-05-31T00:00:00"/>
    <n v="4"/>
    <n v="24"/>
    <n v="48"/>
    <x v="0"/>
  </r>
  <r>
    <n v="1044"/>
    <s v="Caleb Figueroa"/>
    <x v="1041"/>
    <x v="8"/>
    <d v="2021-02-28T00:00:00"/>
    <x v="4"/>
    <x v="3"/>
    <x v="3"/>
    <x v="0"/>
    <x v="3"/>
    <x v="730"/>
    <d v="2021-11-04T00:00:00"/>
    <m/>
    <n v="24"/>
    <n v="48"/>
    <x v="0"/>
  </r>
  <r>
    <n v="1045"/>
    <s v="Hunter Robinson"/>
    <x v="1042"/>
    <x v="0"/>
    <d v="2022-12-18T00:00:00"/>
    <x v="4"/>
    <x v="14"/>
    <x v="1"/>
    <x v="2"/>
    <x v="3"/>
    <x v="731"/>
    <d v="2023-08-21T00:00:00"/>
    <n v="5"/>
    <n v="96"/>
    <n v="120"/>
    <x v="0"/>
  </r>
  <r>
    <n v="1046"/>
    <s v="Mark Mills"/>
    <x v="1043"/>
    <x v="12"/>
    <d v="2022-07-18T00:00:00"/>
    <x v="4"/>
    <x v="12"/>
    <x v="1"/>
    <x v="3"/>
    <x v="3"/>
    <x v="732"/>
    <d v="2022-12-02T00:00:00"/>
    <n v="4"/>
    <n v="96"/>
    <n v="168"/>
    <x v="0"/>
  </r>
  <r>
    <n v="1047"/>
    <s v="Raymond Wang"/>
    <x v="1044"/>
    <x v="14"/>
    <d v="2020-01-25T00:00:00"/>
    <x v="0"/>
    <x v="9"/>
    <x v="1"/>
    <x v="3"/>
    <x v="1"/>
    <x v="733"/>
    <d v="2020-05-01T00:00:00"/>
    <n v="4"/>
    <n v="240"/>
    <n v="168"/>
    <x v="1"/>
  </r>
  <r>
    <n v="1048"/>
    <s v="William Rogers"/>
    <x v="1045"/>
    <x v="11"/>
    <d v="2023-05-22T00:00:00"/>
    <x v="3"/>
    <x v="7"/>
    <x v="1"/>
    <x v="3"/>
    <x v="1"/>
    <x v="734"/>
    <d v="2023-12-16T00:00:00"/>
    <n v="3"/>
    <n v="192"/>
    <n v="168"/>
    <x v="1"/>
  </r>
  <r>
    <n v="1049"/>
    <s v="Mary Ramsey"/>
    <x v="1046"/>
    <x v="1"/>
    <d v="2021-05-16T00:00:00"/>
    <x v="4"/>
    <x v="9"/>
    <x v="3"/>
    <x v="3"/>
    <x v="1"/>
    <x v="75"/>
    <d v="2021-10-26T00:00:00"/>
    <m/>
    <n v="192"/>
    <n v="168"/>
    <x v="1"/>
  </r>
  <r>
    <n v="1050"/>
    <s v="Chelsey Clark"/>
    <x v="1047"/>
    <x v="5"/>
    <d v="2020-11-28T00:00:00"/>
    <x v="0"/>
    <x v="1"/>
    <x v="1"/>
    <x v="0"/>
    <x v="2"/>
    <x v="289"/>
    <d v="2021-04-19T00:00:00"/>
    <n v="5"/>
    <n v="24"/>
    <n v="48"/>
    <x v="0"/>
  </r>
  <r>
    <n v="1051"/>
    <s v="Frank Smith"/>
    <x v="1048"/>
    <x v="3"/>
    <d v="2020-04-12T00:00:00"/>
    <x v="1"/>
    <x v="4"/>
    <x v="3"/>
    <x v="3"/>
    <x v="1"/>
    <x v="5"/>
    <d v="2021-03-23T00:00:00"/>
    <m/>
    <n v="240"/>
    <n v="168"/>
    <x v="1"/>
  </r>
  <r>
    <n v="1052"/>
    <s v="Diana Hanson"/>
    <x v="1049"/>
    <x v="17"/>
    <d v="2023-04-07T00:00:00"/>
    <x v="0"/>
    <x v="6"/>
    <x v="1"/>
    <x v="2"/>
    <x v="3"/>
    <x v="21"/>
    <d v="2023-05-19T00:00:00"/>
    <n v="4"/>
    <n v="192"/>
    <n v="120"/>
    <x v="1"/>
  </r>
  <r>
    <n v="1053"/>
    <s v="Victoria Garcia"/>
    <x v="1050"/>
    <x v="11"/>
    <d v="2022-09-07T00:00:00"/>
    <x v="3"/>
    <x v="14"/>
    <x v="3"/>
    <x v="2"/>
    <x v="1"/>
    <x v="735"/>
    <d v="2022-11-16T00:00:00"/>
    <m/>
    <n v="96"/>
    <n v="120"/>
    <x v="0"/>
  </r>
  <r>
    <n v="1054"/>
    <s v="Megan Compton"/>
    <x v="1051"/>
    <x v="3"/>
    <d v="2021-05-08T00:00:00"/>
    <x v="4"/>
    <x v="0"/>
    <x v="3"/>
    <x v="0"/>
    <x v="2"/>
    <x v="607"/>
    <d v="2021-09-05T00:00:00"/>
    <m/>
    <n v="48"/>
    <n v="48"/>
    <x v="0"/>
  </r>
  <r>
    <n v="1055"/>
    <s v="Mary Jones"/>
    <x v="1052"/>
    <x v="3"/>
    <d v="2022-03-04T00:00:00"/>
    <x v="3"/>
    <x v="9"/>
    <x v="1"/>
    <x v="2"/>
    <x v="0"/>
    <x v="153"/>
    <d v="2022-09-19T00:00:00"/>
    <n v="4"/>
    <n v="72"/>
    <n v="120"/>
    <x v="0"/>
  </r>
  <r>
    <n v="1056"/>
    <s v="Crystal Matthews"/>
    <x v="1053"/>
    <x v="8"/>
    <d v="2021-04-24T00:00:00"/>
    <x v="1"/>
    <x v="9"/>
    <x v="1"/>
    <x v="3"/>
    <x v="1"/>
    <x v="666"/>
    <d v="2021-07-28T00:00:00"/>
    <n v="4"/>
    <n v="144"/>
    <n v="168"/>
    <x v="0"/>
  </r>
  <r>
    <n v="1057"/>
    <s v="Jeffrey Sanchez"/>
    <x v="1054"/>
    <x v="7"/>
    <d v="2020-11-09T00:00:00"/>
    <x v="3"/>
    <x v="3"/>
    <x v="1"/>
    <x v="0"/>
    <x v="3"/>
    <x v="8"/>
    <d v="2021-03-07T00:00:00"/>
    <n v="3"/>
    <n v="72"/>
    <n v="48"/>
    <x v="1"/>
  </r>
  <r>
    <n v="1058"/>
    <s v="Dan Johnson"/>
    <x v="1055"/>
    <x v="6"/>
    <d v="2021-03-08T00:00:00"/>
    <x v="0"/>
    <x v="9"/>
    <x v="0"/>
    <x v="2"/>
    <x v="1"/>
    <x v="736"/>
    <d v="2021-03-15T00:00:00"/>
    <m/>
    <n v="120"/>
    <n v="120"/>
    <x v="0"/>
  </r>
  <r>
    <n v="1059"/>
    <s v="Richard Williams"/>
    <x v="1056"/>
    <x v="10"/>
    <d v="2020-12-21T00:00:00"/>
    <x v="3"/>
    <x v="9"/>
    <x v="1"/>
    <x v="2"/>
    <x v="1"/>
    <x v="737"/>
    <d v="2021-04-12T00:00:00"/>
    <n v="4"/>
    <n v="144"/>
    <n v="120"/>
    <x v="1"/>
  </r>
  <r>
    <n v="1060"/>
    <s v="Erin Allen"/>
    <x v="1057"/>
    <x v="17"/>
    <d v="2023-05-30T00:00:00"/>
    <x v="3"/>
    <x v="7"/>
    <x v="0"/>
    <x v="0"/>
    <x v="3"/>
    <x v="738"/>
    <d v="2023-07-05T00:00:00"/>
    <m/>
    <n v="0"/>
    <n v="48"/>
    <x v="0"/>
  </r>
  <r>
    <n v="1061"/>
    <s v="Michelle Franklin"/>
    <x v="1058"/>
    <x v="12"/>
    <d v="2022-09-05T00:00:00"/>
    <x v="4"/>
    <x v="10"/>
    <x v="1"/>
    <x v="3"/>
    <x v="1"/>
    <x v="583"/>
    <d v="2023-02-26T00:00:00"/>
    <n v="5"/>
    <n v="120"/>
    <n v="168"/>
    <x v="0"/>
  </r>
  <r>
    <n v="1062"/>
    <s v="Sergio Jones"/>
    <x v="1059"/>
    <x v="1"/>
    <d v="2020-07-14T00:00:00"/>
    <x v="3"/>
    <x v="7"/>
    <x v="1"/>
    <x v="3"/>
    <x v="3"/>
    <x v="160"/>
    <d v="2020-11-20T00:00:00"/>
    <n v="3"/>
    <n v="144"/>
    <n v="168"/>
    <x v="0"/>
  </r>
  <r>
    <n v="1063"/>
    <s v="Kevin Guerra"/>
    <x v="1060"/>
    <x v="11"/>
    <d v="2021-12-26T00:00:00"/>
    <x v="0"/>
    <x v="14"/>
    <x v="3"/>
    <x v="2"/>
    <x v="1"/>
    <x v="56"/>
    <d v="2022-11-28T00:00:00"/>
    <m/>
    <n v="72"/>
    <n v="120"/>
    <x v="0"/>
  </r>
  <r>
    <n v="1064"/>
    <s v="Nathan Sanchez"/>
    <x v="1061"/>
    <x v="4"/>
    <d v="2021-11-27T00:00:00"/>
    <x v="3"/>
    <x v="5"/>
    <x v="1"/>
    <x v="1"/>
    <x v="3"/>
    <x v="739"/>
    <d v="2022-11-02T00:00:00"/>
    <m/>
    <n v="24"/>
    <n v="24"/>
    <x v="0"/>
  </r>
  <r>
    <n v="1065"/>
    <s v="Christina Huffman"/>
    <x v="1062"/>
    <x v="16"/>
    <d v="2021-08-09T00:00:00"/>
    <x v="3"/>
    <x v="8"/>
    <x v="1"/>
    <x v="3"/>
    <x v="0"/>
    <x v="740"/>
    <d v="2022-06-19T00:00:00"/>
    <n v="4"/>
    <n v="192"/>
    <n v="168"/>
    <x v="1"/>
  </r>
  <r>
    <n v="1066"/>
    <s v="Jeremy Wagner"/>
    <x v="1063"/>
    <x v="14"/>
    <d v="2020-01-31T00:00:00"/>
    <x v="3"/>
    <x v="6"/>
    <x v="1"/>
    <x v="2"/>
    <x v="2"/>
    <x v="741"/>
    <d v="2020-12-31T00:00:00"/>
    <n v="4"/>
    <n v="72"/>
    <n v="120"/>
    <x v="0"/>
  </r>
  <r>
    <n v="1067"/>
    <s v="Jessica Miller"/>
    <x v="1064"/>
    <x v="10"/>
    <d v="2020-09-29T00:00:00"/>
    <x v="2"/>
    <x v="6"/>
    <x v="0"/>
    <x v="2"/>
    <x v="3"/>
    <x v="674"/>
    <d v="2021-07-01T00:00:00"/>
    <m/>
    <n v="48"/>
    <n v="120"/>
    <x v="0"/>
  </r>
  <r>
    <n v="1068"/>
    <s v="John Chavez"/>
    <x v="1065"/>
    <x v="17"/>
    <d v="2021-06-01T00:00:00"/>
    <x v="0"/>
    <x v="4"/>
    <x v="0"/>
    <x v="3"/>
    <x v="1"/>
    <x v="539"/>
    <d v="2022-06-03T00:00:00"/>
    <m/>
    <n v="264"/>
    <n v="168"/>
    <x v="1"/>
  </r>
  <r>
    <n v="1069"/>
    <s v="John Moore"/>
    <x v="1066"/>
    <x v="2"/>
    <d v="2023-01-31T00:00:00"/>
    <x v="0"/>
    <x v="7"/>
    <x v="1"/>
    <x v="2"/>
    <x v="1"/>
    <x v="742"/>
    <d v="2023-08-02T00:00:00"/>
    <n v="5"/>
    <n v="72"/>
    <n v="120"/>
    <x v="0"/>
  </r>
  <r>
    <n v="1070"/>
    <s v="Jared Perry"/>
    <x v="1067"/>
    <x v="8"/>
    <d v="2022-01-30T00:00:00"/>
    <x v="4"/>
    <x v="10"/>
    <x v="0"/>
    <x v="0"/>
    <x v="1"/>
    <x v="743"/>
    <d v="2022-06-09T00:00:00"/>
    <m/>
    <n v="72"/>
    <n v="48"/>
    <x v="1"/>
  </r>
  <r>
    <n v="1071"/>
    <s v="William Jones"/>
    <x v="1068"/>
    <x v="6"/>
    <d v="2020-09-09T00:00:00"/>
    <x v="4"/>
    <x v="9"/>
    <x v="0"/>
    <x v="3"/>
    <x v="2"/>
    <x v="744"/>
    <d v="2021-07-25T00:00:00"/>
    <m/>
    <n v="216"/>
    <n v="168"/>
    <x v="1"/>
  </r>
  <r>
    <n v="1072"/>
    <s v="Jeffrey Scott"/>
    <x v="1069"/>
    <x v="2"/>
    <d v="2020-03-30T00:00:00"/>
    <x v="1"/>
    <x v="5"/>
    <x v="3"/>
    <x v="2"/>
    <x v="1"/>
    <x v="423"/>
    <d v="2020-07-23T00:00:00"/>
    <m/>
    <n v="72"/>
    <n v="120"/>
    <x v="0"/>
  </r>
  <r>
    <n v="1073"/>
    <s v="Tammy Fitzgerald"/>
    <x v="1070"/>
    <x v="12"/>
    <d v="2022-09-07T00:00:00"/>
    <x v="4"/>
    <x v="14"/>
    <x v="1"/>
    <x v="2"/>
    <x v="1"/>
    <x v="407"/>
    <d v="2023-05-26T00:00:00"/>
    <m/>
    <n v="96"/>
    <n v="120"/>
    <x v="0"/>
  </r>
  <r>
    <n v="1074"/>
    <s v="Alyssa Wade"/>
    <x v="1071"/>
    <x v="14"/>
    <d v="2020-08-16T00:00:00"/>
    <x v="2"/>
    <x v="11"/>
    <x v="1"/>
    <x v="0"/>
    <x v="2"/>
    <x v="325"/>
    <d v="2021-01-20T00:00:00"/>
    <n v="3"/>
    <n v="24"/>
    <n v="48"/>
    <x v="0"/>
  </r>
  <r>
    <n v="1075"/>
    <s v="Lance Lynn"/>
    <x v="1072"/>
    <x v="0"/>
    <d v="2023-01-10T00:00:00"/>
    <x v="1"/>
    <x v="14"/>
    <x v="3"/>
    <x v="1"/>
    <x v="1"/>
    <x v="322"/>
    <d v="2023-01-21T00:00:00"/>
    <m/>
    <n v="24"/>
    <n v="24"/>
    <x v="0"/>
  </r>
  <r>
    <n v="1076"/>
    <s v="Jennifer Willis"/>
    <x v="1073"/>
    <x v="17"/>
    <d v="2020-09-14T00:00:00"/>
    <x v="0"/>
    <x v="8"/>
    <x v="1"/>
    <x v="2"/>
    <x v="3"/>
    <x v="483"/>
    <d v="2021-05-27T00:00:00"/>
    <n v="5"/>
    <n v="48"/>
    <n v="120"/>
    <x v="0"/>
  </r>
  <r>
    <n v="1077"/>
    <s v="Dawn Turner"/>
    <x v="1074"/>
    <x v="15"/>
    <d v="2023-03-14T00:00:00"/>
    <x v="1"/>
    <x v="6"/>
    <x v="1"/>
    <x v="3"/>
    <x v="0"/>
    <x v="745"/>
    <d v="2023-12-21T00:00:00"/>
    <n v="4"/>
    <n v="120"/>
    <n v="168"/>
    <x v="0"/>
  </r>
  <r>
    <n v="1078"/>
    <s v="Monica Davis"/>
    <x v="1075"/>
    <x v="10"/>
    <d v="2021-09-10T00:00:00"/>
    <x v="3"/>
    <x v="6"/>
    <x v="1"/>
    <x v="3"/>
    <x v="0"/>
    <x v="259"/>
    <d v="2021-10-01T00:00:00"/>
    <n v="4"/>
    <n v="168"/>
    <n v="168"/>
    <x v="0"/>
  </r>
  <r>
    <n v="1079"/>
    <s v="Abigail Jackson"/>
    <x v="1076"/>
    <x v="17"/>
    <d v="2021-10-11T00:00:00"/>
    <x v="1"/>
    <x v="12"/>
    <x v="1"/>
    <x v="3"/>
    <x v="0"/>
    <x v="546"/>
    <d v="2022-10-01T00:00:00"/>
    <m/>
    <n v="192"/>
    <n v="168"/>
    <x v="1"/>
  </r>
  <r>
    <n v="1080"/>
    <s v="Mary Quinn"/>
    <x v="1077"/>
    <x v="5"/>
    <d v="2020-11-03T00:00:00"/>
    <x v="0"/>
    <x v="10"/>
    <x v="1"/>
    <x v="1"/>
    <x v="1"/>
    <x v="8"/>
    <d v="2021-03-04T00:00:00"/>
    <n v="5"/>
    <n v="0"/>
    <n v="24"/>
    <x v="0"/>
  </r>
  <r>
    <n v="1081"/>
    <s v="Mr. Brian Bradley"/>
    <x v="1078"/>
    <x v="17"/>
    <d v="2023-03-25T00:00:00"/>
    <x v="3"/>
    <x v="10"/>
    <x v="3"/>
    <x v="2"/>
    <x v="3"/>
    <x v="311"/>
    <d v="2023-04-14T00:00:00"/>
    <m/>
    <n v="24"/>
    <n v="120"/>
    <x v="0"/>
  </r>
  <r>
    <n v="1082"/>
    <s v="William Savage"/>
    <x v="1079"/>
    <x v="1"/>
    <d v="2022-09-15T00:00:00"/>
    <x v="1"/>
    <x v="9"/>
    <x v="1"/>
    <x v="2"/>
    <x v="3"/>
    <x v="62"/>
    <d v="2023-08-23T00:00:00"/>
    <n v="5"/>
    <n v="96"/>
    <n v="120"/>
    <x v="0"/>
  </r>
  <r>
    <n v="1083"/>
    <s v="Edward Gray"/>
    <x v="1080"/>
    <x v="12"/>
    <d v="2022-01-12T00:00:00"/>
    <x v="2"/>
    <x v="12"/>
    <x v="1"/>
    <x v="2"/>
    <x v="2"/>
    <x v="746"/>
    <d v="2022-05-05T00:00:00"/>
    <n v="3"/>
    <n v="48"/>
    <n v="120"/>
    <x v="0"/>
  </r>
  <r>
    <n v="1084"/>
    <s v="Dr. Adam Adams"/>
    <x v="1081"/>
    <x v="11"/>
    <d v="2020-05-30T00:00:00"/>
    <x v="3"/>
    <x v="3"/>
    <x v="0"/>
    <x v="0"/>
    <x v="3"/>
    <x v="747"/>
    <d v="2020-10-11T00:00:00"/>
    <m/>
    <n v="48"/>
    <n v="48"/>
    <x v="0"/>
  </r>
  <r>
    <n v="1085"/>
    <s v="Ricky Bennett"/>
    <x v="1082"/>
    <x v="0"/>
    <d v="2021-10-29T00:00:00"/>
    <x v="3"/>
    <x v="13"/>
    <x v="0"/>
    <x v="3"/>
    <x v="0"/>
    <x v="748"/>
    <d v="2022-10-06T00:00:00"/>
    <m/>
    <n v="168"/>
    <n v="168"/>
    <x v="0"/>
  </r>
  <r>
    <n v="1086"/>
    <s v="Michael Cooper"/>
    <x v="1083"/>
    <x v="11"/>
    <d v="2022-08-06T00:00:00"/>
    <x v="3"/>
    <x v="0"/>
    <x v="0"/>
    <x v="3"/>
    <x v="1"/>
    <x v="749"/>
    <d v="2022-12-22T00:00:00"/>
    <m/>
    <n v="168"/>
    <n v="168"/>
    <x v="0"/>
  </r>
  <r>
    <n v="1087"/>
    <s v="Henry Rivera"/>
    <x v="1084"/>
    <x v="18"/>
    <d v="2023-01-31T00:00:00"/>
    <x v="3"/>
    <x v="11"/>
    <x v="3"/>
    <x v="0"/>
    <x v="3"/>
    <x v="750"/>
    <d v="2023-09-17T00:00:00"/>
    <m/>
    <n v="48"/>
    <n v="48"/>
    <x v="0"/>
  </r>
  <r>
    <n v="1088"/>
    <s v="Tammy Johnson"/>
    <x v="1085"/>
    <x v="16"/>
    <d v="2023-03-13T00:00:00"/>
    <x v="2"/>
    <x v="10"/>
    <x v="1"/>
    <x v="2"/>
    <x v="3"/>
    <x v="751"/>
    <d v="2023-08-09T00:00:00"/>
    <n v="5"/>
    <n v="120"/>
    <n v="120"/>
    <x v="0"/>
  </r>
  <r>
    <n v="1089"/>
    <s v="Isabella Montgomery"/>
    <x v="1086"/>
    <x v="3"/>
    <d v="2020-01-05T00:00:00"/>
    <x v="1"/>
    <x v="2"/>
    <x v="0"/>
    <x v="3"/>
    <x v="3"/>
    <x v="98"/>
    <d v="2020-07-19T00:00:00"/>
    <m/>
    <n v="192"/>
    <n v="168"/>
    <x v="1"/>
  </r>
  <r>
    <n v="1090"/>
    <s v="Dr. Robin Smith"/>
    <x v="1087"/>
    <x v="18"/>
    <d v="2022-07-31T00:00:00"/>
    <x v="3"/>
    <x v="0"/>
    <x v="1"/>
    <x v="3"/>
    <x v="1"/>
    <x v="362"/>
    <d v="2023-05-30T00:00:00"/>
    <m/>
    <n v="144"/>
    <n v="168"/>
    <x v="0"/>
  </r>
  <r>
    <n v="1091"/>
    <s v="Dr. Robert Bailey"/>
    <x v="1088"/>
    <x v="14"/>
    <d v="2023-02-14T00:00:00"/>
    <x v="0"/>
    <x v="6"/>
    <x v="1"/>
    <x v="2"/>
    <x v="0"/>
    <x v="752"/>
    <d v="2023-12-05T00:00:00"/>
    <n v="5"/>
    <n v="120"/>
    <n v="120"/>
    <x v="0"/>
  </r>
  <r>
    <n v="1092"/>
    <s v="Lawrence Joseph"/>
    <x v="1089"/>
    <x v="13"/>
    <d v="2022-11-11T00:00:00"/>
    <x v="4"/>
    <x v="6"/>
    <x v="1"/>
    <x v="2"/>
    <x v="1"/>
    <x v="753"/>
    <d v="2023-10-17T00:00:00"/>
    <n v="3"/>
    <n v="72"/>
    <n v="120"/>
    <x v="0"/>
  </r>
  <r>
    <n v="1093"/>
    <s v="Victoria Owens DVM"/>
    <x v="1090"/>
    <x v="2"/>
    <d v="2020-11-24T00:00:00"/>
    <x v="1"/>
    <x v="0"/>
    <x v="1"/>
    <x v="3"/>
    <x v="2"/>
    <x v="386"/>
    <d v="2021-04-01T00:00:00"/>
    <n v="4"/>
    <n v="240"/>
    <n v="168"/>
    <x v="1"/>
  </r>
  <r>
    <n v="1094"/>
    <s v="Tony Graves"/>
    <x v="1091"/>
    <x v="18"/>
    <d v="2021-05-22T00:00:00"/>
    <x v="4"/>
    <x v="4"/>
    <x v="1"/>
    <x v="3"/>
    <x v="3"/>
    <x v="599"/>
    <d v="2021-06-30T00:00:00"/>
    <n v="5"/>
    <n v="0"/>
    <n v="168"/>
    <x v="0"/>
  </r>
  <r>
    <n v="1095"/>
    <s v="Pamela Robinson"/>
    <x v="1092"/>
    <x v="16"/>
    <d v="2022-09-11T00:00:00"/>
    <x v="2"/>
    <x v="2"/>
    <x v="1"/>
    <x v="0"/>
    <x v="1"/>
    <x v="441"/>
    <d v="2023-08-23T00:00:00"/>
    <m/>
    <n v="24"/>
    <n v="48"/>
    <x v="0"/>
  </r>
  <r>
    <n v="1096"/>
    <s v="Ann Holt"/>
    <x v="1093"/>
    <x v="1"/>
    <d v="2020-04-10T00:00:00"/>
    <x v="1"/>
    <x v="6"/>
    <x v="0"/>
    <x v="3"/>
    <x v="1"/>
    <x v="192"/>
    <d v="2020-12-25T00:00:00"/>
    <m/>
    <n v="144"/>
    <n v="168"/>
    <x v="0"/>
  </r>
  <r>
    <n v="1097"/>
    <s v="Jamie Love"/>
    <x v="1094"/>
    <x v="12"/>
    <d v="2021-11-09T00:00:00"/>
    <x v="4"/>
    <x v="0"/>
    <x v="0"/>
    <x v="3"/>
    <x v="1"/>
    <x v="260"/>
    <d v="2022-11-15T00:00:00"/>
    <m/>
    <n v="168"/>
    <n v="168"/>
    <x v="0"/>
  </r>
  <r>
    <n v="1098"/>
    <s v="Courtney Wilson"/>
    <x v="1095"/>
    <x v="6"/>
    <d v="2020-10-19T00:00:00"/>
    <x v="1"/>
    <x v="0"/>
    <x v="1"/>
    <x v="3"/>
    <x v="3"/>
    <x v="754"/>
    <d v="2021-07-16T00:00:00"/>
    <n v="5"/>
    <n v="168"/>
    <n v="168"/>
    <x v="0"/>
  </r>
  <r>
    <n v="1099"/>
    <s v="Audrey Richardson"/>
    <x v="1096"/>
    <x v="4"/>
    <d v="2020-04-06T00:00:00"/>
    <x v="2"/>
    <x v="4"/>
    <x v="0"/>
    <x v="0"/>
    <x v="2"/>
    <x v="234"/>
    <d v="2021-02-03T00:00:00"/>
    <m/>
    <n v="24"/>
    <n v="48"/>
    <x v="0"/>
  </r>
  <r>
    <n v="1100"/>
    <s v="Cheryl Price"/>
    <x v="1097"/>
    <x v="16"/>
    <d v="2023-05-22T00:00:00"/>
    <x v="0"/>
    <x v="4"/>
    <x v="1"/>
    <x v="3"/>
    <x v="1"/>
    <x v="755"/>
    <d v="2024-04-16T00:00:00"/>
    <n v="4"/>
    <n v="192"/>
    <n v="168"/>
    <x v="1"/>
  </r>
  <r>
    <n v="1101"/>
    <s v="Matthew Garza"/>
    <x v="1098"/>
    <x v="18"/>
    <d v="2021-05-05T00:00:00"/>
    <x v="4"/>
    <x v="2"/>
    <x v="1"/>
    <x v="1"/>
    <x v="1"/>
    <x v="437"/>
    <d v="2021-06-17T00:00:00"/>
    <n v="4"/>
    <n v="24"/>
    <n v="24"/>
    <x v="0"/>
  </r>
  <r>
    <n v="1102"/>
    <s v="Tommy Hood"/>
    <x v="1099"/>
    <x v="11"/>
    <d v="2021-03-16T00:00:00"/>
    <x v="2"/>
    <x v="10"/>
    <x v="1"/>
    <x v="2"/>
    <x v="3"/>
    <x v="756"/>
    <d v="2021-05-06T00:00:00"/>
    <n v="5"/>
    <n v="48"/>
    <n v="120"/>
    <x v="0"/>
  </r>
  <r>
    <n v="1103"/>
    <s v="Maurice Solis"/>
    <x v="1100"/>
    <x v="4"/>
    <d v="2020-07-10T00:00:00"/>
    <x v="1"/>
    <x v="7"/>
    <x v="1"/>
    <x v="1"/>
    <x v="1"/>
    <x v="48"/>
    <d v="2020-10-10T00:00:00"/>
    <m/>
    <n v="0"/>
    <n v="24"/>
    <x v="0"/>
  </r>
  <r>
    <n v="1104"/>
    <s v="Ryan Berry"/>
    <x v="1101"/>
    <x v="4"/>
    <d v="2020-04-01T00:00:00"/>
    <x v="1"/>
    <x v="7"/>
    <x v="1"/>
    <x v="0"/>
    <x v="1"/>
    <x v="245"/>
    <d v="2020-05-23T00:00:00"/>
    <n v="4"/>
    <n v="48"/>
    <n v="48"/>
    <x v="0"/>
  </r>
  <r>
    <n v="1105"/>
    <s v="Mrs. Samantha Clark"/>
    <x v="1102"/>
    <x v="14"/>
    <d v="2022-01-27T00:00:00"/>
    <x v="3"/>
    <x v="4"/>
    <x v="1"/>
    <x v="0"/>
    <x v="3"/>
    <x v="263"/>
    <d v="2023-01-06T00:00:00"/>
    <n v="4"/>
    <n v="72"/>
    <n v="48"/>
    <x v="1"/>
  </r>
  <r>
    <n v="1106"/>
    <s v="Elizabeth Briggs"/>
    <x v="1103"/>
    <x v="10"/>
    <d v="2021-10-18T00:00:00"/>
    <x v="2"/>
    <x v="2"/>
    <x v="2"/>
    <x v="3"/>
    <x v="1"/>
    <x v="757"/>
    <d v="2021-10-27T00:00:00"/>
    <n v="4"/>
    <n v="144"/>
    <n v="168"/>
    <x v="0"/>
  </r>
  <r>
    <n v="1107"/>
    <s v="Wanda Todd"/>
    <x v="1104"/>
    <x v="5"/>
    <d v="2021-03-14T00:00:00"/>
    <x v="2"/>
    <x v="10"/>
    <x v="0"/>
    <x v="3"/>
    <x v="2"/>
    <x v="238"/>
    <d v="2021-08-18T00:00:00"/>
    <m/>
    <n v="144"/>
    <n v="168"/>
    <x v="0"/>
  </r>
  <r>
    <n v="1108"/>
    <s v="Chloe Chase"/>
    <x v="661"/>
    <x v="9"/>
    <d v="2020-03-25T00:00:00"/>
    <x v="3"/>
    <x v="5"/>
    <x v="1"/>
    <x v="3"/>
    <x v="0"/>
    <x v="758"/>
    <d v="2020-06-13T00:00:00"/>
    <n v="3"/>
    <n v="216"/>
    <n v="168"/>
    <x v="1"/>
  </r>
  <r>
    <n v="1109"/>
    <s v="Michelle Ellis"/>
    <x v="1105"/>
    <x v="4"/>
    <d v="2021-03-28T00:00:00"/>
    <x v="3"/>
    <x v="1"/>
    <x v="0"/>
    <x v="3"/>
    <x v="3"/>
    <x v="759"/>
    <d v="2021-08-20T00:00:00"/>
    <m/>
    <n v="96"/>
    <n v="168"/>
    <x v="0"/>
  </r>
  <r>
    <n v="1110"/>
    <s v="Christine Brock"/>
    <x v="1106"/>
    <x v="0"/>
    <d v="2022-06-13T00:00:00"/>
    <x v="3"/>
    <x v="3"/>
    <x v="3"/>
    <x v="2"/>
    <x v="1"/>
    <x v="537"/>
    <d v="2023-06-11T00:00:00"/>
    <m/>
    <n v="48"/>
    <n v="120"/>
    <x v="0"/>
  </r>
  <r>
    <n v="1111"/>
    <s v="Richard Garrison"/>
    <x v="1107"/>
    <x v="6"/>
    <d v="2020-09-18T00:00:00"/>
    <x v="2"/>
    <x v="10"/>
    <x v="1"/>
    <x v="3"/>
    <x v="0"/>
    <x v="760"/>
    <d v="2021-07-24T00:00:00"/>
    <n v="5"/>
    <n v="216"/>
    <n v="168"/>
    <x v="1"/>
  </r>
  <r>
    <n v="1112"/>
    <s v="Anne Mccann"/>
    <x v="1108"/>
    <x v="9"/>
    <d v="2022-10-06T00:00:00"/>
    <x v="3"/>
    <x v="1"/>
    <x v="1"/>
    <x v="3"/>
    <x v="0"/>
    <x v="761"/>
    <d v="2023-07-10T00:00:00"/>
    <n v="4"/>
    <n v="312"/>
    <n v="168"/>
    <x v="1"/>
  </r>
  <r>
    <n v="1113"/>
    <s v="Jeffrey Hernandez"/>
    <x v="1109"/>
    <x v="17"/>
    <d v="2021-09-08T00:00:00"/>
    <x v="4"/>
    <x v="4"/>
    <x v="1"/>
    <x v="2"/>
    <x v="1"/>
    <x v="762"/>
    <d v="2022-08-01T00:00:00"/>
    <n v="5"/>
    <n v="96"/>
    <n v="120"/>
    <x v="0"/>
  </r>
  <r>
    <n v="1114"/>
    <s v="Michael Blevins DDS"/>
    <x v="1110"/>
    <x v="13"/>
    <d v="2022-10-19T00:00:00"/>
    <x v="1"/>
    <x v="1"/>
    <x v="1"/>
    <x v="2"/>
    <x v="1"/>
    <x v="763"/>
    <d v="2023-06-28T00:00:00"/>
    <m/>
    <n v="48"/>
    <n v="120"/>
    <x v="0"/>
  </r>
  <r>
    <n v="1115"/>
    <s v="John Meyers"/>
    <x v="1111"/>
    <x v="4"/>
    <d v="2021-07-24T00:00:00"/>
    <x v="4"/>
    <x v="6"/>
    <x v="1"/>
    <x v="0"/>
    <x v="3"/>
    <x v="764"/>
    <d v="2021-11-29T00:00:00"/>
    <m/>
    <n v="48"/>
    <n v="48"/>
    <x v="0"/>
  </r>
  <r>
    <n v="1116"/>
    <s v="Bruce Martinez"/>
    <x v="1112"/>
    <x v="13"/>
    <d v="2022-01-14T00:00:00"/>
    <x v="3"/>
    <x v="2"/>
    <x v="3"/>
    <x v="0"/>
    <x v="0"/>
    <x v="133"/>
    <d v="2022-11-19T00:00:00"/>
    <m/>
    <n v="48"/>
    <n v="48"/>
    <x v="0"/>
  </r>
  <r>
    <n v="1117"/>
    <s v="Patrick Bauer"/>
    <x v="1113"/>
    <x v="4"/>
    <d v="2021-11-04T00:00:00"/>
    <x v="2"/>
    <x v="13"/>
    <x v="1"/>
    <x v="2"/>
    <x v="1"/>
    <x v="335"/>
    <d v="2022-03-21T00:00:00"/>
    <n v="4"/>
    <n v="96"/>
    <n v="120"/>
    <x v="0"/>
  </r>
  <r>
    <n v="1118"/>
    <s v="Calvin Nguyen"/>
    <x v="1114"/>
    <x v="15"/>
    <d v="2022-05-13T00:00:00"/>
    <x v="0"/>
    <x v="7"/>
    <x v="3"/>
    <x v="0"/>
    <x v="1"/>
    <x v="765"/>
    <d v="2022-10-19T00:00:00"/>
    <m/>
    <n v="48"/>
    <n v="48"/>
    <x v="0"/>
  </r>
  <r>
    <n v="1119"/>
    <s v="Rachel Moreno"/>
    <x v="1115"/>
    <x v="4"/>
    <d v="2023-05-12T00:00:00"/>
    <x v="1"/>
    <x v="6"/>
    <x v="1"/>
    <x v="1"/>
    <x v="0"/>
    <x v="79"/>
    <d v="2023-07-17T00:00:00"/>
    <n v="5"/>
    <n v="0"/>
    <n v="24"/>
    <x v="0"/>
  </r>
  <r>
    <n v="1120"/>
    <s v="Nicole Clark"/>
    <x v="1116"/>
    <x v="9"/>
    <d v="2020-01-09T00:00:00"/>
    <x v="4"/>
    <x v="10"/>
    <x v="3"/>
    <x v="0"/>
    <x v="1"/>
    <x v="564"/>
    <d v="2020-12-10T00:00:00"/>
    <m/>
    <n v="24"/>
    <n v="48"/>
    <x v="0"/>
  </r>
  <r>
    <n v="1121"/>
    <s v="Rebecca Martinez"/>
    <x v="1117"/>
    <x v="3"/>
    <d v="2022-05-23T00:00:00"/>
    <x v="0"/>
    <x v="0"/>
    <x v="0"/>
    <x v="0"/>
    <x v="1"/>
    <x v="94"/>
    <d v="2022-11-30T00:00:00"/>
    <m/>
    <n v="0"/>
    <n v="48"/>
    <x v="0"/>
  </r>
  <r>
    <n v="1122"/>
    <s v="Paul Miller"/>
    <x v="1118"/>
    <x v="18"/>
    <d v="2020-09-23T00:00:00"/>
    <x v="4"/>
    <x v="8"/>
    <x v="0"/>
    <x v="1"/>
    <x v="3"/>
    <x v="208"/>
    <d v="2021-04-15T00:00:00"/>
    <m/>
    <n v="24"/>
    <n v="24"/>
    <x v="0"/>
  </r>
  <r>
    <n v="1123"/>
    <s v="Tony Smith"/>
    <x v="1119"/>
    <x v="11"/>
    <d v="2022-04-09T00:00:00"/>
    <x v="3"/>
    <x v="0"/>
    <x v="3"/>
    <x v="2"/>
    <x v="2"/>
    <x v="740"/>
    <d v="2022-06-17T00:00:00"/>
    <m/>
    <n v="144"/>
    <n v="120"/>
    <x v="1"/>
  </r>
  <r>
    <n v="1124"/>
    <s v="Kenneth Neal"/>
    <x v="1120"/>
    <x v="18"/>
    <d v="2020-06-02T00:00:00"/>
    <x v="2"/>
    <x v="3"/>
    <x v="1"/>
    <x v="2"/>
    <x v="0"/>
    <x v="766"/>
    <d v="2021-06-19T00:00:00"/>
    <n v="5"/>
    <n v="528"/>
    <n v="120"/>
    <x v="1"/>
  </r>
  <r>
    <n v="1125"/>
    <s v="Amanda Johnson"/>
    <x v="1121"/>
    <x v="7"/>
    <d v="2022-07-24T00:00:00"/>
    <x v="0"/>
    <x v="9"/>
    <x v="1"/>
    <x v="3"/>
    <x v="2"/>
    <x v="450"/>
    <d v="2023-01-16T00:00:00"/>
    <n v="5"/>
    <n v="264"/>
    <n v="168"/>
    <x v="1"/>
  </r>
  <r>
    <n v="1126"/>
    <s v="Leslie Ramirez"/>
    <x v="1122"/>
    <x v="16"/>
    <d v="2021-08-16T00:00:00"/>
    <x v="2"/>
    <x v="8"/>
    <x v="1"/>
    <x v="2"/>
    <x v="3"/>
    <x v="767"/>
    <d v="2021-10-08T00:00:00"/>
    <m/>
    <n v="144"/>
    <n v="120"/>
    <x v="1"/>
  </r>
  <r>
    <n v="1127"/>
    <s v="Carla Bryant"/>
    <x v="1123"/>
    <x v="17"/>
    <d v="2020-04-19T00:00:00"/>
    <x v="2"/>
    <x v="5"/>
    <x v="0"/>
    <x v="3"/>
    <x v="0"/>
    <x v="617"/>
    <d v="2020-11-04T00:00:00"/>
    <m/>
    <n v="216"/>
    <n v="168"/>
    <x v="1"/>
  </r>
  <r>
    <n v="1128"/>
    <s v="Debra Schultz"/>
    <x v="1124"/>
    <x v="13"/>
    <d v="2022-03-05T00:00:00"/>
    <x v="4"/>
    <x v="14"/>
    <x v="1"/>
    <x v="2"/>
    <x v="3"/>
    <x v="768"/>
    <d v="2022-12-22T00:00:00"/>
    <m/>
    <n v="96"/>
    <n v="120"/>
    <x v="0"/>
  </r>
  <r>
    <n v="1129"/>
    <s v="Jennifer Hernandez"/>
    <x v="1125"/>
    <x v="1"/>
    <d v="2020-04-30T00:00:00"/>
    <x v="3"/>
    <x v="6"/>
    <x v="3"/>
    <x v="2"/>
    <x v="0"/>
    <x v="769"/>
    <d v="2020-09-05T00:00:00"/>
    <m/>
    <n v="24"/>
    <n v="120"/>
    <x v="0"/>
  </r>
  <r>
    <n v="1130"/>
    <s v="Joseph Sutton"/>
    <x v="1126"/>
    <x v="13"/>
    <d v="2021-07-17T00:00:00"/>
    <x v="0"/>
    <x v="1"/>
    <x v="0"/>
    <x v="3"/>
    <x v="3"/>
    <x v="705"/>
    <d v="2021-11-29T00:00:00"/>
    <m/>
    <n v="144"/>
    <n v="168"/>
    <x v="0"/>
  </r>
  <r>
    <n v="1131"/>
    <s v="Paula Thomas"/>
    <x v="1127"/>
    <x v="8"/>
    <d v="2021-08-11T00:00:00"/>
    <x v="1"/>
    <x v="9"/>
    <x v="1"/>
    <x v="3"/>
    <x v="3"/>
    <x v="549"/>
    <d v="2021-12-30T00:00:00"/>
    <n v="5"/>
    <n v="96"/>
    <n v="168"/>
    <x v="0"/>
  </r>
  <r>
    <n v="1132"/>
    <s v="Rachel Martinez"/>
    <x v="1128"/>
    <x v="18"/>
    <d v="2021-06-25T00:00:00"/>
    <x v="2"/>
    <x v="12"/>
    <x v="0"/>
    <x v="3"/>
    <x v="3"/>
    <x v="770"/>
    <d v="2022-04-11T00:00:00"/>
    <m/>
    <n v="144"/>
    <n v="168"/>
    <x v="0"/>
  </r>
  <r>
    <n v="1133"/>
    <s v="Sharon Arnold"/>
    <x v="1129"/>
    <x v="8"/>
    <d v="2020-10-07T00:00:00"/>
    <x v="2"/>
    <x v="12"/>
    <x v="1"/>
    <x v="0"/>
    <x v="2"/>
    <x v="741"/>
    <d v="2020-12-30T00:00:00"/>
    <n v="4"/>
    <n v="48"/>
    <n v="48"/>
    <x v="0"/>
  </r>
  <r>
    <n v="1134"/>
    <s v="Patrick Faulkner"/>
    <x v="1130"/>
    <x v="18"/>
    <d v="2020-01-15T00:00:00"/>
    <x v="1"/>
    <x v="13"/>
    <x v="0"/>
    <x v="3"/>
    <x v="1"/>
    <x v="140"/>
    <d v="2020-09-27T00:00:00"/>
    <m/>
    <n v="168"/>
    <n v="168"/>
    <x v="0"/>
  </r>
  <r>
    <n v="1135"/>
    <s v="Michelle Sandoval"/>
    <x v="1131"/>
    <x v="11"/>
    <d v="2023-01-31T00:00:00"/>
    <x v="0"/>
    <x v="13"/>
    <x v="1"/>
    <x v="3"/>
    <x v="3"/>
    <x v="771"/>
    <d v="2023-11-05T00:00:00"/>
    <n v="4"/>
    <n v="264"/>
    <n v="168"/>
    <x v="1"/>
  </r>
  <r>
    <n v="1136"/>
    <s v="Jacqueline Waters"/>
    <x v="1132"/>
    <x v="11"/>
    <d v="2021-07-03T00:00:00"/>
    <x v="0"/>
    <x v="13"/>
    <x v="3"/>
    <x v="3"/>
    <x v="1"/>
    <x v="57"/>
    <d v="2022-03-08T00:00:00"/>
    <m/>
    <n v="168"/>
    <n v="168"/>
    <x v="0"/>
  </r>
  <r>
    <n v="1137"/>
    <s v="Kathryn Hill"/>
    <x v="1133"/>
    <x v="13"/>
    <d v="2021-04-19T00:00:00"/>
    <x v="4"/>
    <x v="13"/>
    <x v="0"/>
    <x v="0"/>
    <x v="0"/>
    <x v="69"/>
    <d v="2021-04-25T00:00:00"/>
    <m/>
    <n v="24"/>
    <n v="48"/>
    <x v="0"/>
  </r>
  <r>
    <n v="1138"/>
    <s v="Angie Torres"/>
    <x v="1134"/>
    <x v="0"/>
    <d v="2021-01-07T00:00:00"/>
    <x v="4"/>
    <x v="5"/>
    <x v="1"/>
    <x v="0"/>
    <x v="3"/>
    <x v="772"/>
    <d v="2021-10-09T00:00:00"/>
    <n v="4"/>
    <n v="0"/>
    <n v="48"/>
    <x v="0"/>
  </r>
  <r>
    <n v="1139"/>
    <s v="Carmen Brown"/>
    <x v="1135"/>
    <x v="10"/>
    <d v="2022-11-17T00:00:00"/>
    <x v="1"/>
    <x v="2"/>
    <x v="1"/>
    <x v="3"/>
    <x v="0"/>
    <x v="773"/>
    <d v="2023-04-12T00:00:00"/>
    <n v="4"/>
    <n v="144"/>
    <n v="168"/>
    <x v="0"/>
  </r>
  <r>
    <n v="1140"/>
    <s v="Monica Castillo"/>
    <x v="1136"/>
    <x v="10"/>
    <d v="2020-01-12T00:00:00"/>
    <x v="0"/>
    <x v="7"/>
    <x v="1"/>
    <x v="0"/>
    <x v="1"/>
    <x v="774"/>
    <d v="2020-02-21T00:00:00"/>
    <n v="3"/>
    <n v="24"/>
    <n v="48"/>
    <x v="0"/>
  </r>
  <r>
    <n v="1141"/>
    <s v="Michele Brady"/>
    <x v="1137"/>
    <x v="17"/>
    <d v="2022-11-28T00:00:00"/>
    <x v="2"/>
    <x v="3"/>
    <x v="1"/>
    <x v="3"/>
    <x v="3"/>
    <x v="547"/>
    <d v="2023-05-22T00:00:00"/>
    <n v="3"/>
    <n v="144"/>
    <n v="168"/>
    <x v="0"/>
  </r>
  <r>
    <n v="1142"/>
    <s v="Lisa Oconnell"/>
    <x v="1138"/>
    <x v="14"/>
    <d v="2022-03-08T00:00:00"/>
    <x v="3"/>
    <x v="12"/>
    <x v="3"/>
    <x v="3"/>
    <x v="1"/>
    <x v="332"/>
    <d v="2022-07-05T00:00:00"/>
    <m/>
    <n v="216"/>
    <n v="168"/>
    <x v="1"/>
  </r>
  <r>
    <n v="1143"/>
    <s v="Anthony Simpson"/>
    <x v="1139"/>
    <x v="18"/>
    <d v="2021-01-22T00:00:00"/>
    <x v="2"/>
    <x v="13"/>
    <x v="1"/>
    <x v="2"/>
    <x v="1"/>
    <x v="240"/>
    <d v="2021-09-08T00:00:00"/>
    <n v="3"/>
    <n v="96"/>
    <n v="120"/>
    <x v="0"/>
  </r>
  <r>
    <n v="1144"/>
    <s v="Sarah Hodge"/>
    <x v="1140"/>
    <x v="7"/>
    <d v="2020-01-04T00:00:00"/>
    <x v="1"/>
    <x v="13"/>
    <x v="1"/>
    <x v="0"/>
    <x v="3"/>
    <x v="775"/>
    <d v="2020-09-28T00:00:00"/>
    <n v="3"/>
    <n v="24"/>
    <n v="48"/>
    <x v="0"/>
  </r>
  <r>
    <n v="1145"/>
    <s v="Laura Robinson"/>
    <x v="1141"/>
    <x v="16"/>
    <d v="2022-08-17T00:00:00"/>
    <x v="1"/>
    <x v="12"/>
    <x v="0"/>
    <x v="3"/>
    <x v="2"/>
    <x v="776"/>
    <d v="2023-06-06T00:00:00"/>
    <m/>
    <n v="168"/>
    <n v="168"/>
    <x v="0"/>
  </r>
  <r>
    <n v="1146"/>
    <s v="Amy Smith"/>
    <x v="1142"/>
    <x v="8"/>
    <d v="2020-01-09T00:00:00"/>
    <x v="4"/>
    <x v="1"/>
    <x v="1"/>
    <x v="3"/>
    <x v="2"/>
    <x v="777"/>
    <d v="2020-07-24T00:00:00"/>
    <n v="2"/>
    <n v="240"/>
    <n v="168"/>
    <x v="1"/>
  </r>
  <r>
    <n v="1147"/>
    <s v="Nathan Morales"/>
    <x v="1143"/>
    <x v="8"/>
    <d v="2022-04-01T00:00:00"/>
    <x v="0"/>
    <x v="4"/>
    <x v="3"/>
    <x v="2"/>
    <x v="2"/>
    <x v="122"/>
    <d v="2022-07-26T00:00:00"/>
    <m/>
    <n v="384"/>
    <n v="120"/>
    <x v="1"/>
  </r>
  <r>
    <n v="1148"/>
    <s v="Brittany Martinez"/>
    <x v="1144"/>
    <x v="8"/>
    <d v="2021-01-23T00:00:00"/>
    <x v="1"/>
    <x v="11"/>
    <x v="2"/>
    <x v="2"/>
    <x v="0"/>
    <x v="778"/>
    <d v="2021-12-02T00:00:00"/>
    <n v="5"/>
    <n v="72"/>
    <n v="120"/>
    <x v="0"/>
  </r>
  <r>
    <n v="1149"/>
    <s v="James Evans"/>
    <x v="1145"/>
    <x v="1"/>
    <d v="2020-06-17T00:00:00"/>
    <x v="0"/>
    <x v="6"/>
    <x v="1"/>
    <x v="3"/>
    <x v="3"/>
    <x v="779"/>
    <d v="2020-07-09T00:00:00"/>
    <n v="3"/>
    <n v="168"/>
    <n v="168"/>
    <x v="0"/>
  </r>
  <r>
    <n v="1150"/>
    <s v="Mary Gonzales MD"/>
    <x v="1146"/>
    <x v="2"/>
    <d v="2020-06-20T00:00:00"/>
    <x v="3"/>
    <x v="8"/>
    <x v="3"/>
    <x v="3"/>
    <x v="1"/>
    <x v="780"/>
    <d v="2020-07-10T00:00:00"/>
    <m/>
    <n v="144"/>
    <n v="168"/>
    <x v="0"/>
  </r>
  <r>
    <n v="1151"/>
    <s v="Andrew Foster"/>
    <x v="1147"/>
    <x v="5"/>
    <d v="2022-10-30T00:00:00"/>
    <x v="3"/>
    <x v="5"/>
    <x v="3"/>
    <x v="2"/>
    <x v="3"/>
    <x v="781"/>
    <d v="2023-09-23T00:00:00"/>
    <m/>
    <n v="48"/>
    <n v="120"/>
    <x v="0"/>
  </r>
  <r>
    <n v="1152"/>
    <s v="Mrs. Katherine Simpson"/>
    <x v="1148"/>
    <x v="4"/>
    <d v="2022-02-18T00:00:00"/>
    <x v="2"/>
    <x v="14"/>
    <x v="0"/>
    <x v="3"/>
    <x v="3"/>
    <x v="782"/>
    <d v="2023-02-26T00:00:00"/>
    <m/>
    <n v="240"/>
    <n v="168"/>
    <x v="1"/>
  </r>
  <r>
    <n v="1153"/>
    <s v="Natalie Petersen"/>
    <x v="1149"/>
    <x v="15"/>
    <d v="2020-07-14T00:00:00"/>
    <x v="0"/>
    <x v="3"/>
    <x v="1"/>
    <x v="3"/>
    <x v="1"/>
    <x v="449"/>
    <d v="2020-08-23T00:00:00"/>
    <n v="5"/>
    <n v="168"/>
    <n v="168"/>
    <x v="0"/>
  </r>
  <r>
    <n v="1154"/>
    <s v="Jonathan Saunders"/>
    <x v="1150"/>
    <x v="16"/>
    <d v="2022-07-16T00:00:00"/>
    <x v="2"/>
    <x v="7"/>
    <x v="1"/>
    <x v="3"/>
    <x v="1"/>
    <x v="716"/>
    <d v="2022-10-18T00:00:00"/>
    <n v="3"/>
    <n v="144"/>
    <n v="168"/>
    <x v="0"/>
  </r>
  <r>
    <n v="1155"/>
    <s v="Jessica Roberts"/>
    <x v="1151"/>
    <x v="9"/>
    <d v="2022-08-17T00:00:00"/>
    <x v="3"/>
    <x v="6"/>
    <x v="1"/>
    <x v="0"/>
    <x v="1"/>
    <x v="723"/>
    <d v="2023-06-02T00:00:00"/>
    <n v="3"/>
    <n v="0"/>
    <n v="48"/>
    <x v="0"/>
  </r>
  <r>
    <n v="1156"/>
    <s v="Jorge Wright"/>
    <x v="1152"/>
    <x v="8"/>
    <d v="2022-11-01T00:00:00"/>
    <x v="4"/>
    <x v="13"/>
    <x v="1"/>
    <x v="2"/>
    <x v="3"/>
    <x v="783"/>
    <d v="2023-02-21T00:00:00"/>
    <n v="4"/>
    <n v="24"/>
    <n v="120"/>
    <x v="0"/>
  </r>
  <r>
    <n v="1157"/>
    <s v="Christina Mccarthy"/>
    <x v="1153"/>
    <x v="6"/>
    <d v="2020-10-20T00:00:00"/>
    <x v="4"/>
    <x v="14"/>
    <x v="0"/>
    <x v="3"/>
    <x v="1"/>
    <x v="536"/>
    <d v="2021-04-04T00:00:00"/>
    <m/>
    <n v="192"/>
    <n v="168"/>
    <x v="1"/>
  </r>
  <r>
    <n v="1158"/>
    <s v="Leslie Walters MD"/>
    <x v="1154"/>
    <x v="10"/>
    <d v="2020-08-15T00:00:00"/>
    <x v="0"/>
    <x v="5"/>
    <x v="1"/>
    <x v="0"/>
    <x v="3"/>
    <x v="611"/>
    <d v="2021-01-01T00:00:00"/>
    <n v="5"/>
    <n v="0"/>
    <n v="48"/>
    <x v="0"/>
  </r>
  <r>
    <n v="1159"/>
    <s v="Luis Davis"/>
    <x v="1155"/>
    <x v="18"/>
    <d v="2022-09-10T00:00:00"/>
    <x v="0"/>
    <x v="3"/>
    <x v="1"/>
    <x v="3"/>
    <x v="1"/>
    <x v="784"/>
    <d v="2023-05-03T00:00:00"/>
    <m/>
    <n v="120"/>
    <n v="168"/>
    <x v="0"/>
  </r>
  <r>
    <n v="1160"/>
    <s v="Courtney Simmons"/>
    <x v="1156"/>
    <x v="16"/>
    <d v="2020-06-19T00:00:00"/>
    <x v="1"/>
    <x v="0"/>
    <x v="2"/>
    <x v="3"/>
    <x v="3"/>
    <x v="785"/>
    <d v="2020-12-20T00:00:00"/>
    <n v="5"/>
    <n v="168"/>
    <n v="168"/>
    <x v="0"/>
  </r>
  <r>
    <n v="1161"/>
    <s v="Douglas Bell"/>
    <x v="1157"/>
    <x v="10"/>
    <d v="2020-03-04T00:00:00"/>
    <x v="2"/>
    <x v="7"/>
    <x v="1"/>
    <x v="2"/>
    <x v="3"/>
    <x v="777"/>
    <d v="2020-07-19T00:00:00"/>
    <n v="4"/>
    <n v="120"/>
    <n v="120"/>
    <x v="0"/>
  </r>
  <r>
    <n v="1162"/>
    <s v="Matthew Morris"/>
    <x v="1158"/>
    <x v="1"/>
    <d v="2020-10-14T00:00:00"/>
    <x v="3"/>
    <x v="12"/>
    <x v="0"/>
    <x v="3"/>
    <x v="1"/>
    <x v="786"/>
    <d v="2021-04-29T00:00:00"/>
    <m/>
    <n v="96"/>
    <n v="168"/>
    <x v="0"/>
  </r>
  <r>
    <n v="1163"/>
    <s v="John Cook"/>
    <x v="1159"/>
    <x v="16"/>
    <d v="2023-04-11T00:00:00"/>
    <x v="4"/>
    <x v="6"/>
    <x v="1"/>
    <x v="2"/>
    <x v="3"/>
    <x v="269"/>
    <d v="2023-12-10T00:00:00"/>
    <n v="3"/>
    <n v="0"/>
    <n v="120"/>
    <x v="0"/>
  </r>
  <r>
    <n v="1164"/>
    <s v="Erin Figueroa"/>
    <x v="1160"/>
    <x v="5"/>
    <d v="2021-07-31T00:00:00"/>
    <x v="1"/>
    <x v="9"/>
    <x v="1"/>
    <x v="2"/>
    <x v="1"/>
    <x v="288"/>
    <d v="2022-06-02T00:00:00"/>
    <n v="3"/>
    <n v="72"/>
    <n v="120"/>
    <x v="0"/>
  </r>
  <r>
    <n v="1165"/>
    <s v="Donald Silva"/>
    <x v="1161"/>
    <x v="7"/>
    <d v="2022-07-23T00:00:00"/>
    <x v="1"/>
    <x v="7"/>
    <x v="1"/>
    <x v="3"/>
    <x v="1"/>
    <x v="787"/>
    <d v="2022-08-19T00:00:00"/>
    <n v="4"/>
    <n v="144"/>
    <n v="168"/>
    <x v="0"/>
  </r>
  <r>
    <n v="1166"/>
    <s v="Kevin Barr"/>
    <x v="1162"/>
    <x v="8"/>
    <d v="2020-04-26T00:00:00"/>
    <x v="0"/>
    <x v="6"/>
    <x v="2"/>
    <x v="3"/>
    <x v="1"/>
    <x v="788"/>
    <d v="2020-07-24T00:00:00"/>
    <n v="3"/>
    <n v="144"/>
    <n v="168"/>
    <x v="0"/>
  </r>
  <r>
    <n v="1167"/>
    <s v="Lisa Turner"/>
    <x v="1163"/>
    <x v="4"/>
    <d v="2023-01-24T00:00:00"/>
    <x v="3"/>
    <x v="11"/>
    <x v="1"/>
    <x v="2"/>
    <x v="1"/>
    <x v="583"/>
    <d v="2023-02-25T00:00:00"/>
    <n v="4"/>
    <n v="96"/>
    <n v="120"/>
    <x v="0"/>
  </r>
  <r>
    <n v="1168"/>
    <s v="Carl Barnes"/>
    <x v="1164"/>
    <x v="3"/>
    <d v="2021-11-27T00:00:00"/>
    <x v="0"/>
    <x v="14"/>
    <x v="1"/>
    <x v="0"/>
    <x v="1"/>
    <x v="507"/>
    <d v="2022-05-01T00:00:00"/>
    <n v="5"/>
    <n v="24"/>
    <n v="48"/>
    <x v="0"/>
  </r>
  <r>
    <n v="1169"/>
    <s v="Autumn Graham"/>
    <x v="1165"/>
    <x v="8"/>
    <d v="2020-09-16T00:00:00"/>
    <x v="2"/>
    <x v="14"/>
    <x v="1"/>
    <x v="0"/>
    <x v="3"/>
    <x v="52"/>
    <d v="2021-05-19T00:00:00"/>
    <n v="4"/>
    <n v="24"/>
    <n v="48"/>
    <x v="0"/>
  </r>
  <r>
    <n v="1170"/>
    <s v="Melissa Anderson"/>
    <x v="1166"/>
    <x v="14"/>
    <d v="2020-10-22T00:00:00"/>
    <x v="2"/>
    <x v="7"/>
    <x v="1"/>
    <x v="2"/>
    <x v="1"/>
    <x v="448"/>
    <d v="2020-12-15T00:00:00"/>
    <n v="4"/>
    <n v="120"/>
    <n v="120"/>
    <x v="0"/>
  </r>
  <r>
    <n v="1171"/>
    <s v="Jennifer Cohen"/>
    <x v="1167"/>
    <x v="9"/>
    <d v="2022-05-23T00:00:00"/>
    <x v="1"/>
    <x v="5"/>
    <x v="1"/>
    <x v="3"/>
    <x v="0"/>
    <x v="493"/>
    <d v="2022-11-25T00:00:00"/>
    <n v="4"/>
    <n v="216"/>
    <n v="168"/>
    <x v="1"/>
  </r>
  <r>
    <n v="1172"/>
    <s v="Jennifer Nelson"/>
    <x v="1168"/>
    <x v="8"/>
    <d v="2022-12-18T00:00:00"/>
    <x v="1"/>
    <x v="1"/>
    <x v="1"/>
    <x v="2"/>
    <x v="1"/>
    <x v="789"/>
    <d v="2023-10-29T00:00:00"/>
    <n v="4"/>
    <n v="72"/>
    <n v="120"/>
    <x v="0"/>
  </r>
  <r>
    <n v="1173"/>
    <s v="Timothy Hunt"/>
    <x v="1169"/>
    <x v="17"/>
    <d v="2021-02-21T00:00:00"/>
    <x v="2"/>
    <x v="12"/>
    <x v="1"/>
    <x v="0"/>
    <x v="1"/>
    <x v="790"/>
    <d v="2022-01-22T00:00:00"/>
    <n v="4"/>
    <n v="24"/>
    <n v="48"/>
    <x v="0"/>
  </r>
  <r>
    <n v="1174"/>
    <s v="Carolyn Williams"/>
    <x v="1170"/>
    <x v="18"/>
    <d v="2020-07-25T00:00:00"/>
    <x v="3"/>
    <x v="12"/>
    <x v="0"/>
    <x v="0"/>
    <x v="2"/>
    <x v="791"/>
    <d v="2020-09-18T00:00:00"/>
    <m/>
    <n v="24"/>
    <n v="48"/>
    <x v="0"/>
  </r>
  <r>
    <n v="1175"/>
    <s v="Richard Day"/>
    <x v="1171"/>
    <x v="4"/>
    <d v="2020-01-03T00:00:00"/>
    <x v="3"/>
    <x v="10"/>
    <x v="2"/>
    <x v="2"/>
    <x v="1"/>
    <x v="792"/>
    <d v="2020-03-11T00:00:00"/>
    <n v="4"/>
    <n v="72"/>
    <n v="120"/>
    <x v="0"/>
  </r>
  <r>
    <n v="1176"/>
    <s v="Mackenzie Compton"/>
    <x v="1172"/>
    <x v="0"/>
    <d v="2020-07-26T00:00:00"/>
    <x v="1"/>
    <x v="0"/>
    <x v="1"/>
    <x v="3"/>
    <x v="0"/>
    <x v="506"/>
    <d v="2021-06-01T00:00:00"/>
    <n v="4"/>
    <n v="24"/>
    <n v="168"/>
    <x v="0"/>
  </r>
  <r>
    <n v="1177"/>
    <s v="Logan Nguyen"/>
    <x v="1173"/>
    <x v="16"/>
    <d v="2020-12-06T00:00:00"/>
    <x v="0"/>
    <x v="10"/>
    <x v="0"/>
    <x v="3"/>
    <x v="2"/>
    <x v="240"/>
    <d v="2021-09-11T00:00:00"/>
    <m/>
    <n v="168"/>
    <n v="168"/>
    <x v="0"/>
  </r>
  <r>
    <n v="1178"/>
    <s v="Diana Scott"/>
    <x v="1174"/>
    <x v="10"/>
    <d v="2020-06-14T00:00:00"/>
    <x v="3"/>
    <x v="14"/>
    <x v="0"/>
    <x v="3"/>
    <x v="1"/>
    <x v="8"/>
    <d v="2021-03-11T00:00:00"/>
    <m/>
    <n v="168"/>
    <n v="168"/>
    <x v="0"/>
  </r>
  <r>
    <n v="1179"/>
    <s v="Melissa Bautista"/>
    <x v="1175"/>
    <x v="13"/>
    <d v="2021-11-17T00:00:00"/>
    <x v="3"/>
    <x v="2"/>
    <x v="1"/>
    <x v="3"/>
    <x v="1"/>
    <x v="122"/>
    <d v="2022-07-14T00:00:00"/>
    <n v="5"/>
    <n v="96"/>
    <n v="168"/>
    <x v="0"/>
  </r>
  <r>
    <n v="1180"/>
    <s v="Derrick Perkins"/>
    <x v="1176"/>
    <x v="7"/>
    <d v="2023-02-02T00:00:00"/>
    <x v="3"/>
    <x v="2"/>
    <x v="0"/>
    <x v="2"/>
    <x v="1"/>
    <x v="538"/>
    <d v="2023-08-05T00:00:00"/>
    <m/>
    <n v="48"/>
    <n v="120"/>
    <x v="0"/>
  </r>
  <r>
    <n v="1181"/>
    <s v="Charles Mendoza"/>
    <x v="1177"/>
    <x v="17"/>
    <d v="2020-10-20T00:00:00"/>
    <x v="1"/>
    <x v="5"/>
    <x v="0"/>
    <x v="2"/>
    <x v="3"/>
    <x v="45"/>
    <d v="2021-03-01T00:00:00"/>
    <m/>
    <n v="120"/>
    <n v="120"/>
    <x v="0"/>
  </r>
  <r>
    <n v="1182"/>
    <s v="Terri White"/>
    <x v="1178"/>
    <x v="5"/>
    <d v="2022-12-03T00:00:00"/>
    <x v="3"/>
    <x v="0"/>
    <x v="3"/>
    <x v="3"/>
    <x v="3"/>
    <x v="628"/>
    <d v="2023-11-28T00:00:00"/>
    <m/>
    <n v="192"/>
    <n v="168"/>
    <x v="1"/>
  </r>
  <r>
    <n v="1183"/>
    <s v="Andrea Jones"/>
    <x v="1179"/>
    <x v="4"/>
    <d v="2020-06-04T00:00:00"/>
    <x v="3"/>
    <x v="5"/>
    <x v="1"/>
    <x v="2"/>
    <x v="3"/>
    <x v="569"/>
    <d v="2020-12-13T00:00:00"/>
    <m/>
    <n v="48"/>
    <n v="120"/>
    <x v="0"/>
  </r>
  <r>
    <n v="1184"/>
    <s v="Breanna Christensen"/>
    <x v="1180"/>
    <x v="7"/>
    <d v="2020-06-19T00:00:00"/>
    <x v="2"/>
    <x v="0"/>
    <x v="1"/>
    <x v="0"/>
    <x v="1"/>
    <x v="522"/>
    <d v="2021-01-24T00:00:00"/>
    <n v="3"/>
    <n v="72"/>
    <n v="48"/>
    <x v="1"/>
  </r>
  <r>
    <n v="1185"/>
    <s v="Pamela Newman"/>
    <x v="1181"/>
    <x v="1"/>
    <d v="2020-08-09T00:00:00"/>
    <x v="0"/>
    <x v="9"/>
    <x v="1"/>
    <x v="2"/>
    <x v="1"/>
    <x v="793"/>
    <d v="2020-12-26T00:00:00"/>
    <n v="5"/>
    <n v="120"/>
    <n v="120"/>
    <x v="0"/>
  </r>
  <r>
    <n v="1186"/>
    <s v="Linda Sparks"/>
    <x v="1182"/>
    <x v="16"/>
    <d v="2021-06-09T00:00:00"/>
    <x v="1"/>
    <x v="10"/>
    <x v="1"/>
    <x v="3"/>
    <x v="2"/>
    <x v="517"/>
    <d v="2021-11-01T00:00:00"/>
    <n v="5"/>
    <n v="120"/>
    <n v="168"/>
    <x v="0"/>
  </r>
  <r>
    <n v="1187"/>
    <s v="Angela Taylor"/>
    <x v="1183"/>
    <x v="10"/>
    <d v="2022-01-13T00:00:00"/>
    <x v="3"/>
    <x v="3"/>
    <x v="3"/>
    <x v="3"/>
    <x v="3"/>
    <x v="794"/>
    <d v="2022-01-28T00:00:00"/>
    <m/>
    <n v="144"/>
    <n v="168"/>
    <x v="0"/>
  </r>
  <r>
    <n v="1188"/>
    <s v="Anthony Holt"/>
    <x v="1184"/>
    <x v="14"/>
    <d v="2021-04-05T00:00:00"/>
    <x v="2"/>
    <x v="11"/>
    <x v="1"/>
    <x v="0"/>
    <x v="3"/>
    <x v="208"/>
    <d v="2021-04-16T00:00:00"/>
    <n v="4"/>
    <n v="48"/>
    <n v="48"/>
    <x v="0"/>
  </r>
  <r>
    <n v="1189"/>
    <s v="Stephen Perry"/>
    <x v="1185"/>
    <x v="12"/>
    <d v="2021-08-21T00:00:00"/>
    <x v="2"/>
    <x v="3"/>
    <x v="3"/>
    <x v="2"/>
    <x v="1"/>
    <x v="560"/>
    <d v="2022-03-11T00:00:00"/>
    <m/>
    <n v="72"/>
    <n v="120"/>
    <x v="0"/>
  </r>
  <r>
    <n v="1190"/>
    <s v="Matthew Perez"/>
    <x v="1186"/>
    <x v="12"/>
    <d v="2022-02-03T00:00:00"/>
    <x v="2"/>
    <x v="2"/>
    <x v="1"/>
    <x v="2"/>
    <x v="1"/>
    <x v="503"/>
    <d v="2023-01-31T00:00:00"/>
    <m/>
    <n v="120"/>
    <n v="120"/>
    <x v="0"/>
  </r>
  <r>
    <n v="1191"/>
    <s v="Brian Garcia"/>
    <x v="1187"/>
    <x v="9"/>
    <d v="2021-07-14T00:00:00"/>
    <x v="4"/>
    <x v="7"/>
    <x v="1"/>
    <x v="2"/>
    <x v="3"/>
    <x v="795"/>
    <d v="2021-11-02T00:00:00"/>
    <n v="3"/>
    <n v="120"/>
    <n v="120"/>
    <x v="0"/>
  </r>
  <r>
    <n v="1192"/>
    <s v="Tamara Huang"/>
    <x v="1188"/>
    <x v="2"/>
    <d v="2020-10-08T00:00:00"/>
    <x v="4"/>
    <x v="1"/>
    <x v="1"/>
    <x v="3"/>
    <x v="3"/>
    <x v="796"/>
    <d v="2021-08-03T00:00:00"/>
    <m/>
    <n v="240"/>
    <n v="168"/>
    <x v="1"/>
  </r>
  <r>
    <n v="1193"/>
    <s v="Brittany Contreras"/>
    <x v="1189"/>
    <x v="6"/>
    <d v="2021-02-25T00:00:00"/>
    <x v="4"/>
    <x v="14"/>
    <x v="2"/>
    <x v="3"/>
    <x v="3"/>
    <x v="109"/>
    <d v="2021-09-08T00:00:00"/>
    <n v="5"/>
    <n v="48"/>
    <n v="168"/>
    <x v="0"/>
  </r>
  <r>
    <n v="1194"/>
    <s v="Mary Cantu"/>
    <x v="1190"/>
    <x v="17"/>
    <d v="2023-04-23T00:00:00"/>
    <x v="3"/>
    <x v="11"/>
    <x v="1"/>
    <x v="3"/>
    <x v="1"/>
    <x v="797"/>
    <d v="2024-02-08T00:00:00"/>
    <m/>
    <n v="240"/>
    <n v="168"/>
    <x v="1"/>
  </r>
  <r>
    <n v="1195"/>
    <s v="Erica Myers"/>
    <x v="1191"/>
    <x v="4"/>
    <d v="2021-10-26T00:00:00"/>
    <x v="2"/>
    <x v="12"/>
    <x v="1"/>
    <x v="2"/>
    <x v="0"/>
    <x v="122"/>
    <d v="2022-07-12T00:00:00"/>
    <m/>
    <n v="48"/>
    <n v="120"/>
    <x v="0"/>
  </r>
  <r>
    <n v="1196"/>
    <s v="Diana Davis"/>
    <x v="1192"/>
    <x v="3"/>
    <d v="2022-02-06T00:00:00"/>
    <x v="2"/>
    <x v="7"/>
    <x v="1"/>
    <x v="2"/>
    <x v="2"/>
    <x v="250"/>
    <d v="2022-09-01T00:00:00"/>
    <n v="3"/>
    <n v="72"/>
    <n v="120"/>
    <x v="0"/>
  </r>
  <r>
    <n v="1197"/>
    <s v="Michael Gutierrez"/>
    <x v="1193"/>
    <x v="16"/>
    <d v="2022-05-03T00:00:00"/>
    <x v="0"/>
    <x v="13"/>
    <x v="1"/>
    <x v="1"/>
    <x v="1"/>
    <x v="798"/>
    <d v="2022-11-29T00:00:00"/>
    <n v="4"/>
    <n v="0"/>
    <n v="24"/>
    <x v="0"/>
  </r>
  <r>
    <n v="1198"/>
    <s v="Joseph Patel PhD"/>
    <x v="1194"/>
    <x v="8"/>
    <d v="2022-03-29T00:00:00"/>
    <x v="0"/>
    <x v="4"/>
    <x v="2"/>
    <x v="0"/>
    <x v="1"/>
    <x v="799"/>
    <d v="2022-09-13T00:00:00"/>
    <n v="5"/>
    <n v="48"/>
    <n v="48"/>
    <x v="0"/>
  </r>
  <r>
    <n v="1199"/>
    <s v="Melissa Goodman"/>
    <x v="1195"/>
    <x v="17"/>
    <d v="2021-07-16T00:00:00"/>
    <x v="2"/>
    <x v="4"/>
    <x v="1"/>
    <x v="0"/>
    <x v="1"/>
    <x v="462"/>
    <d v="2022-04-27T00:00:00"/>
    <n v="4"/>
    <n v="72"/>
    <n v="48"/>
    <x v="1"/>
  </r>
  <r>
    <n v="1200"/>
    <s v="Tina Mccall"/>
    <x v="1196"/>
    <x v="10"/>
    <d v="2021-04-02T00:00:00"/>
    <x v="2"/>
    <x v="3"/>
    <x v="1"/>
    <x v="1"/>
    <x v="3"/>
    <x v="383"/>
    <d v="2021-09-14T00:00:00"/>
    <n v="3"/>
    <n v="0"/>
    <n v="24"/>
    <x v="0"/>
  </r>
  <r>
    <n v="1201"/>
    <s v="Russell Arnold"/>
    <x v="1197"/>
    <x v="5"/>
    <d v="2023-03-06T00:00:00"/>
    <x v="3"/>
    <x v="8"/>
    <x v="3"/>
    <x v="3"/>
    <x v="1"/>
    <x v="800"/>
    <d v="2023-11-21T00:00:00"/>
    <m/>
    <n v="96"/>
    <n v="168"/>
    <x v="0"/>
  </r>
  <r>
    <n v="1202"/>
    <s v="Victor Padilla"/>
    <x v="1198"/>
    <x v="15"/>
    <d v="2021-07-31T00:00:00"/>
    <x v="1"/>
    <x v="4"/>
    <x v="1"/>
    <x v="3"/>
    <x v="1"/>
    <x v="476"/>
    <d v="2022-07-24T00:00:00"/>
    <n v="5"/>
    <n v="216"/>
    <n v="168"/>
    <x v="1"/>
  </r>
  <r>
    <n v="1203"/>
    <s v="Brian Perkins"/>
    <x v="1199"/>
    <x v="0"/>
    <d v="2020-08-16T00:00:00"/>
    <x v="2"/>
    <x v="14"/>
    <x v="1"/>
    <x v="2"/>
    <x v="1"/>
    <x v="801"/>
    <d v="2021-06-24T00:00:00"/>
    <n v="4"/>
    <n v="48"/>
    <n v="120"/>
    <x v="0"/>
  </r>
  <r>
    <n v="1204"/>
    <s v="Bob Jones"/>
    <x v="1200"/>
    <x v="15"/>
    <d v="2023-03-01T00:00:00"/>
    <x v="1"/>
    <x v="6"/>
    <x v="3"/>
    <x v="3"/>
    <x v="1"/>
    <x v="346"/>
    <d v="2023-09-09T00:00:00"/>
    <m/>
    <n v="144"/>
    <n v="168"/>
    <x v="0"/>
  </r>
  <r>
    <n v="1205"/>
    <s v="Joseph Rush"/>
    <x v="1201"/>
    <x v="1"/>
    <d v="2023-04-28T00:00:00"/>
    <x v="2"/>
    <x v="3"/>
    <x v="0"/>
    <x v="2"/>
    <x v="1"/>
    <x v="802"/>
    <d v="2023-06-28T00:00:00"/>
    <m/>
    <n v="96"/>
    <n v="120"/>
    <x v="0"/>
  </r>
  <r>
    <n v="1206"/>
    <s v="Alexis Rodriguez"/>
    <x v="1202"/>
    <x v="11"/>
    <d v="2022-02-20T00:00:00"/>
    <x v="1"/>
    <x v="10"/>
    <x v="3"/>
    <x v="3"/>
    <x v="0"/>
    <x v="512"/>
    <d v="2022-04-14T00:00:00"/>
    <m/>
    <n v="96"/>
    <n v="168"/>
    <x v="0"/>
  </r>
  <r>
    <n v="1207"/>
    <s v="James Henderson"/>
    <x v="1203"/>
    <x v="5"/>
    <d v="2022-02-18T00:00:00"/>
    <x v="1"/>
    <x v="8"/>
    <x v="3"/>
    <x v="3"/>
    <x v="1"/>
    <x v="662"/>
    <d v="2022-08-14T00:00:00"/>
    <m/>
    <n v="192"/>
    <n v="168"/>
    <x v="1"/>
  </r>
  <r>
    <n v="1208"/>
    <s v="Darren Huynh"/>
    <x v="1204"/>
    <x v="14"/>
    <d v="2023-02-28T00:00:00"/>
    <x v="2"/>
    <x v="11"/>
    <x v="1"/>
    <x v="3"/>
    <x v="1"/>
    <x v="40"/>
    <d v="2023-09-10T00:00:00"/>
    <n v="4"/>
    <n v="120"/>
    <n v="168"/>
    <x v="0"/>
  </r>
  <r>
    <n v="1209"/>
    <s v="Manuel Robinson"/>
    <x v="1205"/>
    <x v="6"/>
    <d v="2020-04-29T00:00:00"/>
    <x v="4"/>
    <x v="7"/>
    <x v="3"/>
    <x v="3"/>
    <x v="3"/>
    <x v="803"/>
    <d v="2020-07-21T00:00:00"/>
    <m/>
    <n v="192"/>
    <n v="168"/>
    <x v="1"/>
  </r>
  <r>
    <n v="1210"/>
    <s v="Julie Edwards"/>
    <x v="1206"/>
    <x v="8"/>
    <d v="2021-07-31T00:00:00"/>
    <x v="1"/>
    <x v="11"/>
    <x v="1"/>
    <x v="2"/>
    <x v="2"/>
    <x v="708"/>
    <d v="2021-12-14T00:00:00"/>
    <n v="4"/>
    <n v="96"/>
    <n v="120"/>
    <x v="0"/>
  </r>
  <r>
    <n v="1211"/>
    <s v="Chloe Rodriguez"/>
    <x v="1207"/>
    <x v="18"/>
    <d v="2020-02-13T00:00:00"/>
    <x v="2"/>
    <x v="4"/>
    <x v="3"/>
    <x v="2"/>
    <x v="3"/>
    <x v="468"/>
    <d v="2020-07-25T00:00:00"/>
    <m/>
    <n v="72"/>
    <n v="120"/>
    <x v="0"/>
  </r>
  <r>
    <n v="1212"/>
    <s v="Christopher Rodriguez"/>
    <x v="1208"/>
    <x v="17"/>
    <d v="2020-10-18T00:00:00"/>
    <x v="3"/>
    <x v="11"/>
    <x v="1"/>
    <x v="1"/>
    <x v="3"/>
    <x v="804"/>
    <d v="2020-10-25T00:00:00"/>
    <n v="4"/>
    <n v="0"/>
    <n v="24"/>
    <x v="0"/>
  </r>
  <r>
    <n v="1213"/>
    <s v="Margaret Johnson"/>
    <x v="1209"/>
    <x v="13"/>
    <d v="2022-05-25T00:00:00"/>
    <x v="3"/>
    <x v="1"/>
    <x v="1"/>
    <x v="2"/>
    <x v="1"/>
    <x v="642"/>
    <d v="2023-02-05T00:00:00"/>
    <n v="5"/>
    <n v="504"/>
    <n v="120"/>
    <x v="1"/>
  </r>
  <r>
    <n v="1214"/>
    <s v="Mrs. Amber Davis"/>
    <x v="1210"/>
    <x v="4"/>
    <d v="2022-02-16T00:00:00"/>
    <x v="3"/>
    <x v="9"/>
    <x v="3"/>
    <x v="2"/>
    <x v="2"/>
    <x v="97"/>
    <d v="2022-11-06T00:00:00"/>
    <m/>
    <n v="96"/>
    <n v="120"/>
    <x v="0"/>
  </r>
  <r>
    <n v="1215"/>
    <s v="Paul Swanson"/>
    <x v="1211"/>
    <x v="1"/>
    <d v="2023-02-25T00:00:00"/>
    <x v="2"/>
    <x v="12"/>
    <x v="1"/>
    <x v="2"/>
    <x v="1"/>
    <x v="805"/>
    <d v="2023-11-22T00:00:00"/>
    <n v="5"/>
    <n v="72"/>
    <n v="120"/>
    <x v="0"/>
  </r>
  <r>
    <n v="1216"/>
    <s v="Kathryn Hampton"/>
    <x v="1212"/>
    <x v="11"/>
    <d v="2020-02-28T00:00:00"/>
    <x v="1"/>
    <x v="8"/>
    <x v="3"/>
    <x v="3"/>
    <x v="1"/>
    <x v="148"/>
    <d v="2020-12-12T00:00:00"/>
    <m/>
    <n v="144"/>
    <n v="168"/>
    <x v="0"/>
  </r>
  <r>
    <n v="1217"/>
    <s v="Christian Ford"/>
    <x v="1213"/>
    <x v="10"/>
    <d v="2022-11-24T00:00:00"/>
    <x v="3"/>
    <x v="5"/>
    <x v="0"/>
    <x v="3"/>
    <x v="2"/>
    <x v="806"/>
    <d v="2023-03-30T00:00:00"/>
    <m/>
    <n v="240"/>
    <n v="168"/>
    <x v="1"/>
  </r>
  <r>
    <n v="1218"/>
    <s v="Patricia Martin"/>
    <x v="1214"/>
    <x v="9"/>
    <d v="2021-07-13T00:00:00"/>
    <x v="0"/>
    <x v="9"/>
    <x v="0"/>
    <x v="2"/>
    <x v="3"/>
    <x v="757"/>
    <d v="2021-10-25T00:00:00"/>
    <m/>
    <n v="96"/>
    <n v="120"/>
    <x v="0"/>
  </r>
  <r>
    <n v="1219"/>
    <s v="Teresa Williams"/>
    <x v="1215"/>
    <x v="7"/>
    <d v="2020-04-26T00:00:00"/>
    <x v="0"/>
    <x v="6"/>
    <x v="1"/>
    <x v="2"/>
    <x v="3"/>
    <x v="807"/>
    <d v="2021-02-14T00:00:00"/>
    <n v="4"/>
    <n v="72"/>
    <n v="120"/>
    <x v="0"/>
  </r>
  <r>
    <n v="1220"/>
    <s v="Latasha Gamble"/>
    <x v="1216"/>
    <x v="5"/>
    <d v="2022-04-29T00:00:00"/>
    <x v="1"/>
    <x v="11"/>
    <x v="1"/>
    <x v="2"/>
    <x v="3"/>
    <x v="808"/>
    <d v="2022-04-30T00:00:00"/>
    <n v="3"/>
    <n v="24"/>
    <n v="120"/>
    <x v="0"/>
  </r>
  <r>
    <n v="1221"/>
    <s v="Rebecca Jacobson"/>
    <x v="1217"/>
    <x v="12"/>
    <d v="2021-04-04T00:00:00"/>
    <x v="4"/>
    <x v="9"/>
    <x v="1"/>
    <x v="3"/>
    <x v="0"/>
    <x v="809"/>
    <d v="2021-08-12T00:00:00"/>
    <n v="4"/>
    <n v="72"/>
    <n v="168"/>
    <x v="0"/>
  </r>
  <r>
    <n v="1222"/>
    <s v="Douglas Cox"/>
    <x v="1218"/>
    <x v="18"/>
    <d v="2021-02-04T00:00:00"/>
    <x v="1"/>
    <x v="11"/>
    <x v="1"/>
    <x v="0"/>
    <x v="2"/>
    <x v="767"/>
    <d v="2021-10-05T00:00:00"/>
    <n v="5"/>
    <n v="72"/>
    <n v="48"/>
    <x v="1"/>
  </r>
  <r>
    <n v="1223"/>
    <s v="Dr. Pamela Ramos"/>
    <x v="1219"/>
    <x v="3"/>
    <d v="2020-03-02T00:00:00"/>
    <x v="3"/>
    <x v="11"/>
    <x v="1"/>
    <x v="3"/>
    <x v="3"/>
    <x v="810"/>
    <d v="2020-06-17T00:00:00"/>
    <n v="4"/>
    <n v="192"/>
    <n v="168"/>
    <x v="1"/>
  </r>
  <r>
    <n v="1224"/>
    <s v="Dustin Ortiz"/>
    <x v="1220"/>
    <x v="10"/>
    <d v="2021-05-02T00:00:00"/>
    <x v="4"/>
    <x v="5"/>
    <x v="1"/>
    <x v="2"/>
    <x v="1"/>
    <x v="193"/>
    <d v="2022-02-19T00:00:00"/>
    <m/>
    <n v="24"/>
    <n v="120"/>
    <x v="0"/>
  </r>
  <r>
    <n v="1225"/>
    <s v="Michael Hunter"/>
    <x v="1221"/>
    <x v="13"/>
    <d v="2020-03-29T00:00:00"/>
    <x v="1"/>
    <x v="5"/>
    <x v="1"/>
    <x v="2"/>
    <x v="2"/>
    <x v="525"/>
    <d v="2021-03-01T00:00:00"/>
    <n v="3"/>
    <n v="72"/>
    <n v="120"/>
    <x v="0"/>
  </r>
  <r>
    <n v="1226"/>
    <s v="Danielle Nicholson"/>
    <x v="1222"/>
    <x v="4"/>
    <d v="2020-09-02T00:00:00"/>
    <x v="2"/>
    <x v="8"/>
    <x v="3"/>
    <x v="2"/>
    <x v="1"/>
    <x v="811"/>
    <d v="2021-03-05T00:00:00"/>
    <m/>
    <n v="72"/>
    <n v="120"/>
    <x v="0"/>
  </r>
  <r>
    <n v="1227"/>
    <s v="Sarah Walker"/>
    <x v="1223"/>
    <x v="16"/>
    <d v="2021-12-28T00:00:00"/>
    <x v="1"/>
    <x v="10"/>
    <x v="3"/>
    <x v="0"/>
    <x v="1"/>
    <x v="236"/>
    <d v="2022-06-28T00:00:00"/>
    <m/>
    <n v="24"/>
    <n v="48"/>
    <x v="0"/>
  </r>
  <r>
    <n v="1228"/>
    <s v="Stephanie Marshall"/>
    <x v="1224"/>
    <x v="2"/>
    <d v="2023-04-08T00:00:00"/>
    <x v="0"/>
    <x v="9"/>
    <x v="1"/>
    <x v="3"/>
    <x v="1"/>
    <x v="494"/>
    <d v="2023-04-25T00:00:00"/>
    <m/>
    <n v="120"/>
    <n v="168"/>
    <x v="0"/>
  </r>
  <r>
    <n v="1229"/>
    <s v="James Brown"/>
    <x v="1225"/>
    <x v="0"/>
    <d v="2023-02-25T00:00:00"/>
    <x v="3"/>
    <x v="6"/>
    <x v="1"/>
    <x v="2"/>
    <x v="2"/>
    <x v="812"/>
    <d v="2023-04-04T00:00:00"/>
    <n v="5"/>
    <n v="0"/>
    <n v="120"/>
    <x v="0"/>
  </r>
  <r>
    <n v="1230"/>
    <s v="Donald Johnson"/>
    <x v="1226"/>
    <x v="13"/>
    <d v="2021-05-12T00:00:00"/>
    <x v="1"/>
    <x v="2"/>
    <x v="0"/>
    <x v="2"/>
    <x v="3"/>
    <x v="162"/>
    <d v="2021-09-18T00:00:00"/>
    <m/>
    <n v="48"/>
    <n v="120"/>
    <x v="0"/>
  </r>
  <r>
    <n v="1231"/>
    <s v="Victoria Schroeder"/>
    <x v="1227"/>
    <x v="2"/>
    <d v="2022-01-05T00:00:00"/>
    <x v="2"/>
    <x v="14"/>
    <x v="1"/>
    <x v="0"/>
    <x v="0"/>
    <x v="691"/>
    <d v="2022-08-19T00:00:00"/>
    <n v="5"/>
    <n v="48"/>
    <n v="48"/>
    <x v="0"/>
  </r>
  <r>
    <n v="1232"/>
    <s v="Daniel Johnson"/>
    <x v="1228"/>
    <x v="6"/>
    <d v="2020-05-09T00:00:00"/>
    <x v="1"/>
    <x v="2"/>
    <x v="1"/>
    <x v="0"/>
    <x v="0"/>
    <x v="68"/>
    <d v="2021-03-07T00:00:00"/>
    <n v="2"/>
    <n v="24"/>
    <n v="48"/>
    <x v="0"/>
  </r>
  <r>
    <n v="1233"/>
    <s v="Donald Miller"/>
    <x v="1229"/>
    <x v="7"/>
    <d v="2022-11-06T00:00:00"/>
    <x v="1"/>
    <x v="4"/>
    <x v="1"/>
    <x v="3"/>
    <x v="1"/>
    <x v="771"/>
    <d v="2023-10-31T00:00:00"/>
    <n v="5"/>
    <n v="144"/>
    <n v="168"/>
    <x v="0"/>
  </r>
  <r>
    <n v="1234"/>
    <s v="Cathy Brown"/>
    <x v="1230"/>
    <x v="10"/>
    <d v="2020-09-12T00:00:00"/>
    <x v="0"/>
    <x v="13"/>
    <x v="2"/>
    <x v="0"/>
    <x v="1"/>
    <x v="431"/>
    <d v="2020-12-18T00:00:00"/>
    <m/>
    <n v="72"/>
    <n v="48"/>
    <x v="1"/>
  </r>
  <r>
    <n v="1235"/>
    <s v="Tom Olson"/>
    <x v="1231"/>
    <x v="6"/>
    <d v="2022-06-04T00:00:00"/>
    <x v="0"/>
    <x v="5"/>
    <x v="3"/>
    <x v="2"/>
    <x v="1"/>
    <x v="813"/>
    <d v="2022-08-06T00:00:00"/>
    <m/>
    <n v="48"/>
    <n v="120"/>
    <x v="0"/>
  </r>
  <r>
    <n v="1236"/>
    <s v="Adam Logan"/>
    <x v="1232"/>
    <x v="8"/>
    <d v="2020-08-12T00:00:00"/>
    <x v="0"/>
    <x v="5"/>
    <x v="3"/>
    <x v="1"/>
    <x v="3"/>
    <x v="766"/>
    <d v="2021-05-29T00:00:00"/>
    <m/>
    <n v="24"/>
    <n v="24"/>
    <x v="0"/>
  </r>
  <r>
    <n v="1237"/>
    <s v="William Mcmillan"/>
    <x v="1233"/>
    <x v="9"/>
    <d v="2021-05-06T00:00:00"/>
    <x v="3"/>
    <x v="7"/>
    <x v="3"/>
    <x v="3"/>
    <x v="0"/>
    <x v="258"/>
    <d v="2021-06-18T00:00:00"/>
    <m/>
    <n v="120"/>
    <n v="168"/>
    <x v="0"/>
  </r>
  <r>
    <n v="1238"/>
    <s v="Wayne Russell"/>
    <x v="1234"/>
    <x v="5"/>
    <d v="2022-09-12T00:00:00"/>
    <x v="4"/>
    <x v="11"/>
    <x v="3"/>
    <x v="0"/>
    <x v="3"/>
    <x v="264"/>
    <d v="2023-07-22T00:00:00"/>
    <m/>
    <n v="24"/>
    <n v="48"/>
    <x v="0"/>
  </r>
  <r>
    <n v="1239"/>
    <s v="Wayne Davis"/>
    <x v="1235"/>
    <x v="4"/>
    <d v="2022-04-28T00:00:00"/>
    <x v="3"/>
    <x v="1"/>
    <x v="1"/>
    <x v="2"/>
    <x v="2"/>
    <x v="416"/>
    <d v="2022-06-12T00:00:00"/>
    <n v="3"/>
    <n v="192"/>
    <n v="120"/>
    <x v="1"/>
  </r>
  <r>
    <n v="1240"/>
    <s v="Lindsay Robinson"/>
    <x v="1236"/>
    <x v="8"/>
    <d v="2020-01-23T00:00:00"/>
    <x v="1"/>
    <x v="2"/>
    <x v="1"/>
    <x v="1"/>
    <x v="1"/>
    <x v="578"/>
    <d v="2020-12-08T00:00:00"/>
    <n v="4"/>
    <n v="24"/>
    <n v="24"/>
    <x v="0"/>
  </r>
  <r>
    <n v="1241"/>
    <s v="Jack Turner"/>
    <x v="1237"/>
    <x v="10"/>
    <d v="2021-12-09T00:00:00"/>
    <x v="1"/>
    <x v="12"/>
    <x v="1"/>
    <x v="3"/>
    <x v="1"/>
    <x v="748"/>
    <d v="2022-10-09T00:00:00"/>
    <n v="4"/>
    <n v="240"/>
    <n v="168"/>
    <x v="1"/>
  </r>
  <r>
    <n v="1242"/>
    <s v="Guy Clayton"/>
    <x v="1238"/>
    <x v="12"/>
    <d v="2020-06-25T00:00:00"/>
    <x v="4"/>
    <x v="11"/>
    <x v="1"/>
    <x v="1"/>
    <x v="2"/>
    <x v="814"/>
    <d v="2021-04-30T00:00:00"/>
    <n v="4"/>
    <n v="24"/>
    <n v="24"/>
    <x v="0"/>
  </r>
  <r>
    <n v="1243"/>
    <s v="Judy Brooks"/>
    <x v="1239"/>
    <x v="7"/>
    <d v="2022-12-05T00:00:00"/>
    <x v="2"/>
    <x v="0"/>
    <x v="1"/>
    <x v="2"/>
    <x v="1"/>
    <x v="687"/>
    <d v="2023-03-02T00:00:00"/>
    <n v="4"/>
    <n v="96"/>
    <n v="120"/>
    <x v="0"/>
  </r>
  <r>
    <n v="1244"/>
    <s v="Madison Park"/>
    <x v="1240"/>
    <x v="17"/>
    <d v="2020-05-19T00:00:00"/>
    <x v="4"/>
    <x v="6"/>
    <x v="1"/>
    <x v="3"/>
    <x v="1"/>
    <x v="684"/>
    <d v="2020-06-09T00:00:00"/>
    <n v="4"/>
    <n v="192"/>
    <n v="168"/>
    <x v="1"/>
  </r>
  <r>
    <n v="1245"/>
    <s v="Lisa Jenkins"/>
    <x v="1241"/>
    <x v="0"/>
    <d v="2020-06-03T00:00:00"/>
    <x v="2"/>
    <x v="13"/>
    <x v="1"/>
    <x v="2"/>
    <x v="1"/>
    <x v="815"/>
    <d v="2020-07-25T00:00:00"/>
    <n v="4"/>
    <n v="96"/>
    <n v="120"/>
    <x v="0"/>
  </r>
  <r>
    <n v="1246"/>
    <s v="Kathy Shaffer"/>
    <x v="1242"/>
    <x v="4"/>
    <d v="2022-05-06T00:00:00"/>
    <x v="2"/>
    <x v="8"/>
    <x v="1"/>
    <x v="3"/>
    <x v="1"/>
    <x v="816"/>
    <d v="2022-12-14T00:00:00"/>
    <n v="4"/>
    <n v="240"/>
    <n v="168"/>
    <x v="1"/>
  </r>
  <r>
    <n v="1247"/>
    <s v="Craig Harrison"/>
    <x v="1243"/>
    <x v="16"/>
    <d v="2021-10-03T00:00:00"/>
    <x v="1"/>
    <x v="3"/>
    <x v="1"/>
    <x v="0"/>
    <x v="2"/>
    <x v="16"/>
    <d v="2022-04-26T00:00:00"/>
    <m/>
    <n v="0"/>
    <n v="48"/>
    <x v="0"/>
  </r>
  <r>
    <n v="1248"/>
    <s v="Maria Mueller"/>
    <x v="1244"/>
    <x v="9"/>
    <d v="2022-02-27T00:00:00"/>
    <x v="1"/>
    <x v="8"/>
    <x v="1"/>
    <x v="2"/>
    <x v="3"/>
    <x v="503"/>
    <d v="2023-02-01T00:00:00"/>
    <n v="3"/>
    <n v="144"/>
    <n v="120"/>
    <x v="1"/>
  </r>
  <r>
    <n v="1249"/>
    <s v="Shawn Baker"/>
    <x v="1245"/>
    <x v="14"/>
    <d v="2020-02-20T00:00:00"/>
    <x v="4"/>
    <x v="14"/>
    <x v="3"/>
    <x v="0"/>
    <x v="1"/>
    <x v="817"/>
    <d v="2020-05-21T00:00:00"/>
    <m/>
    <n v="24"/>
    <n v="48"/>
    <x v="0"/>
  </r>
  <r>
    <n v="1250"/>
    <s v="Christian Brooks"/>
    <x v="1246"/>
    <x v="7"/>
    <d v="2022-05-13T00:00:00"/>
    <x v="4"/>
    <x v="5"/>
    <x v="1"/>
    <x v="3"/>
    <x v="1"/>
    <x v="818"/>
    <d v="2022-11-24T00:00:00"/>
    <m/>
    <n v="120"/>
    <n v="168"/>
    <x v="0"/>
  </r>
  <r>
    <n v="1251"/>
    <s v="Cheryl Newman"/>
    <x v="1247"/>
    <x v="0"/>
    <d v="2022-09-15T00:00:00"/>
    <x v="3"/>
    <x v="6"/>
    <x v="3"/>
    <x v="0"/>
    <x v="3"/>
    <x v="819"/>
    <d v="2022-12-10T00:00:00"/>
    <m/>
    <n v="72"/>
    <n v="48"/>
    <x v="1"/>
  </r>
  <r>
    <n v="1252"/>
    <s v="Nicholas Powell"/>
    <x v="1248"/>
    <x v="8"/>
    <d v="2023-01-07T00:00:00"/>
    <x v="0"/>
    <x v="1"/>
    <x v="0"/>
    <x v="2"/>
    <x v="1"/>
    <x v="820"/>
    <d v="2023-06-25T00:00:00"/>
    <m/>
    <n v="0"/>
    <n v="120"/>
    <x v="0"/>
  </r>
  <r>
    <n v="1253"/>
    <s v="Kathy Welch"/>
    <x v="1249"/>
    <x v="18"/>
    <d v="2022-05-08T00:00:00"/>
    <x v="3"/>
    <x v="9"/>
    <x v="0"/>
    <x v="1"/>
    <x v="2"/>
    <x v="315"/>
    <d v="2022-08-04T00:00:00"/>
    <m/>
    <n v="48"/>
    <n v="24"/>
    <x v="1"/>
  </r>
  <r>
    <n v="1254"/>
    <s v="Frank Davis"/>
    <x v="1250"/>
    <x v="5"/>
    <d v="2020-08-25T00:00:00"/>
    <x v="2"/>
    <x v="4"/>
    <x v="1"/>
    <x v="2"/>
    <x v="1"/>
    <x v="821"/>
    <d v="2021-03-30T00:00:00"/>
    <m/>
    <n v="120"/>
    <n v="120"/>
    <x v="0"/>
  </r>
  <r>
    <n v="1255"/>
    <s v="Michael Knapp"/>
    <x v="1251"/>
    <x v="6"/>
    <d v="2020-07-21T00:00:00"/>
    <x v="0"/>
    <x v="3"/>
    <x v="1"/>
    <x v="2"/>
    <x v="0"/>
    <x v="19"/>
    <d v="2021-01-06T00:00:00"/>
    <n v="4"/>
    <n v="96"/>
    <n v="120"/>
    <x v="0"/>
  </r>
  <r>
    <n v="1256"/>
    <s v="Miss Paula Lopez"/>
    <x v="1252"/>
    <x v="18"/>
    <d v="2023-02-02T00:00:00"/>
    <x v="0"/>
    <x v="0"/>
    <x v="1"/>
    <x v="0"/>
    <x v="1"/>
    <x v="822"/>
    <d v="2023-04-11T00:00:00"/>
    <n v="4"/>
    <n v="48"/>
    <n v="48"/>
    <x v="0"/>
  </r>
  <r>
    <n v="1257"/>
    <s v="Rachel Townsend"/>
    <x v="1253"/>
    <x v="11"/>
    <d v="2020-02-05T00:00:00"/>
    <x v="1"/>
    <x v="6"/>
    <x v="1"/>
    <x v="2"/>
    <x v="3"/>
    <x v="556"/>
    <d v="2020-05-14T00:00:00"/>
    <m/>
    <n v="120"/>
    <n v="120"/>
    <x v="0"/>
  </r>
  <r>
    <n v="1258"/>
    <s v="Lauren Garcia"/>
    <x v="1254"/>
    <x v="4"/>
    <d v="2020-08-08T00:00:00"/>
    <x v="3"/>
    <x v="6"/>
    <x v="1"/>
    <x v="0"/>
    <x v="0"/>
    <x v="65"/>
    <d v="2021-03-14T00:00:00"/>
    <n v="4"/>
    <n v="48"/>
    <n v="48"/>
    <x v="0"/>
  </r>
  <r>
    <n v="1259"/>
    <s v="Steven Davis"/>
    <x v="1255"/>
    <x v="3"/>
    <d v="2020-06-05T00:00:00"/>
    <x v="2"/>
    <x v="14"/>
    <x v="1"/>
    <x v="1"/>
    <x v="3"/>
    <x v="421"/>
    <d v="2020-06-12T00:00:00"/>
    <n v="4"/>
    <n v="0"/>
    <n v="24"/>
    <x v="0"/>
  </r>
  <r>
    <n v="1260"/>
    <s v="Alex Jones DVM"/>
    <x v="1256"/>
    <x v="1"/>
    <d v="2022-09-11T00:00:00"/>
    <x v="0"/>
    <x v="4"/>
    <x v="1"/>
    <x v="0"/>
    <x v="1"/>
    <x v="773"/>
    <d v="2023-04-07T00:00:00"/>
    <n v="5"/>
    <n v="24"/>
    <n v="48"/>
    <x v="0"/>
  </r>
  <r>
    <n v="1261"/>
    <s v="Rhonda White"/>
    <x v="1257"/>
    <x v="3"/>
    <d v="2022-07-31T00:00:00"/>
    <x v="0"/>
    <x v="10"/>
    <x v="1"/>
    <x v="3"/>
    <x v="2"/>
    <x v="159"/>
    <d v="2022-12-16T00:00:00"/>
    <n v="2"/>
    <n v="192"/>
    <n v="168"/>
    <x v="1"/>
  </r>
  <r>
    <n v="1262"/>
    <s v="Autumn Cooper"/>
    <x v="1258"/>
    <x v="2"/>
    <d v="2020-01-08T00:00:00"/>
    <x v="0"/>
    <x v="13"/>
    <x v="1"/>
    <x v="3"/>
    <x v="1"/>
    <x v="823"/>
    <d v="2020-08-21T00:00:00"/>
    <n v="4"/>
    <n v="192"/>
    <n v="168"/>
    <x v="1"/>
  </r>
  <r>
    <n v="1263"/>
    <s v="Patrick House"/>
    <x v="1259"/>
    <x v="2"/>
    <d v="2022-03-05T00:00:00"/>
    <x v="0"/>
    <x v="3"/>
    <x v="2"/>
    <x v="2"/>
    <x v="1"/>
    <x v="223"/>
    <d v="2022-08-12T00:00:00"/>
    <n v="4"/>
    <n v="72"/>
    <n v="120"/>
    <x v="0"/>
  </r>
  <r>
    <n v="1264"/>
    <s v="Cindy Diaz"/>
    <x v="1260"/>
    <x v="14"/>
    <d v="2023-02-04T00:00:00"/>
    <x v="3"/>
    <x v="6"/>
    <x v="1"/>
    <x v="3"/>
    <x v="3"/>
    <x v="824"/>
    <d v="2023-02-22T00:00:00"/>
    <n v="5"/>
    <n v="240"/>
    <n v="168"/>
    <x v="1"/>
  </r>
  <r>
    <n v="1265"/>
    <s v="Beth Hill"/>
    <x v="1261"/>
    <x v="12"/>
    <d v="2022-10-09T00:00:00"/>
    <x v="0"/>
    <x v="3"/>
    <x v="1"/>
    <x v="3"/>
    <x v="3"/>
    <x v="825"/>
    <d v="2023-02-07T00:00:00"/>
    <n v="4"/>
    <n v="96"/>
    <n v="168"/>
    <x v="0"/>
  </r>
  <r>
    <n v="1266"/>
    <s v="Patrick Simpson"/>
    <x v="1262"/>
    <x v="6"/>
    <d v="2020-11-03T00:00:00"/>
    <x v="1"/>
    <x v="1"/>
    <x v="2"/>
    <x v="2"/>
    <x v="2"/>
    <x v="447"/>
    <d v="2021-08-08T00:00:00"/>
    <m/>
    <n v="48"/>
    <n v="120"/>
    <x v="0"/>
  </r>
  <r>
    <n v="1267"/>
    <s v="Stacy Campbell"/>
    <x v="1263"/>
    <x v="16"/>
    <d v="2021-04-29T00:00:00"/>
    <x v="0"/>
    <x v="11"/>
    <x v="0"/>
    <x v="0"/>
    <x v="1"/>
    <x v="577"/>
    <d v="2021-12-28T00:00:00"/>
    <m/>
    <n v="0"/>
    <n v="48"/>
    <x v="0"/>
  </r>
  <r>
    <n v="1268"/>
    <s v="Daniel Bowen"/>
    <x v="1264"/>
    <x v="7"/>
    <d v="2023-03-06T00:00:00"/>
    <x v="4"/>
    <x v="9"/>
    <x v="0"/>
    <x v="2"/>
    <x v="1"/>
    <x v="826"/>
    <d v="2023-06-22T00:00:00"/>
    <m/>
    <n v="48"/>
    <n v="120"/>
    <x v="0"/>
  </r>
  <r>
    <n v="1269"/>
    <s v="Fernando Rodriguez"/>
    <x v="1265"/>
    <x v="3"/>
    <d v="2021-08-03T00:00:00"/>
    <x v="4"/>
    <x v="10"/>
    <x v="1"/>
    <x v="0"/>
    <x v="1"/>
    <x v="827"/>
    <d v="2021-12-07T00:00:00"/>
    <n v="5"/>
    <n v="48"/>
    <n v="48"/>
    <x v="0"/>
  </r>
  <r>
    <n v="1270"/>
    <s v="Sabrina Cole"/>
    <x v="1266"/>
    <x v="17"/>
    <d v="2021-03-31T00:00:00"/>
    <x v="1"/>
    <x v="8"/>
    <x v="1"/>
    <x v="2"/>
    <x v="1"/>
    <x v="828"/>
    <d v="2021-06-06T00:00:00"/>
    <n v="5"/>
    <n v="96"/>
    <n v="120"/>
    <x v="0"/>
  </r>
  <r>
    <n v="1271"/>
    <s v="Sherry Clements"/>
    <x v="1267"/>
    <x v="18"/>
    <d v="2021-10-29T00:00:00"/>
    <x v="0"/>
    <x v="13"/>
    <x v="1"/>
    <x v="3"/>
    <x v="0"/>
    <x v="829"/>
    <d v="2022-04-14T00:00:00"/>
    <n v="3"/>
    <n v="192"/>
    <n v="168"/>
    <x v="1"/>
  </r>
  <r>
    <n v="1272"/>
    <s v="Heather Jones"/>
    <x v="1268"/>
    <x v="6"/>
    <d v="2021-05-09T00:00:00"/>
    <x v="1"/>
    <x v="0"/>
    <x v="2"/>
    <x v="3"/>
    <x v="1"/>
    <x v="830"/>
    <d v="2021-06-22T00:00:00"/>
    <n v="5"/>
    <n v="192"/>
    <n v="168"/>
    <x v="1"/>
  </r>
  <r>
    <n v="1273"/>
    <s v="Michelle Lewis"/>
    <x v="1269"/>
    <x v="16"/>
    <d v="2021-03-16T00:00:00"/>
    <x v="3"/>
    <x v="13"/>
    <x v="1"/>
    <x v="3"/>
    <x v="3"/>
    <x v="831"/>
    <d v="2022-01-18T00:00:00"/>
    <n v="5"/>
    <n v="216"/>
    <n v="168"/>
    <x v="1"/>
  </r>
  <r>
    <n v="1274"/>
    <s v="Kelsey Garcia"/>
    <x v="1270"/>
    <x v="2"/>
    <d v="2021-10-17T00:00:00"/>
    <x v="1"/>
    <x v="14"/>
    <x v="1"/>
    <x v="3"/>
    <x v="3"/>
    <x v="209"/>
    <d v="2022-02-25T00:00:00"/>
    <n v="4"/>
    <n v="192"/>
    <n v="168"/>
    <x v="1"/>
  </r>
  <r>
    <n v="1275"/>
    <s v="Jessica Li"/>
    <x v="1271"/>
    <x v="11"/>
    <d v="2020-03-13T00:00:00"/>
    <x v="2"/>
    <x v="3"/>
    <x v="1"/>
    <x v="2"/>
    <x v="1"/>
    <x v="832"/>
    <d v="2020-07-24T00:00:00"/>
    <n v="4"/>
    <n v="120"/>
    <n v="120"/>
    <x v="0"/>
  </r>
  <r>
    <n v="1276"/>
    <s v="Jennifer Martinez MD"/>
    <x v="1272"/>
    <x v="14"/>
    <d v="2021-03-18T00:00:00"/>
    <x v="0"/>
    <x v="1"/>
    <x v="1"/>
    <x v="2"/>
    <x v="3"/>
    <x v="297"/>
    <d v="2022-01-16T00:00:00"/>
    <n v="4"/>
    <n v="48"/>
    <n v="120"/>
    <x v="0"/>
  </r>
  <r>
    <n v="1277"/>
    <s v="Richard Johnston"/>
    <x v="1273"/>
    <x v="17"/>
    <d v="2020-02-27T00:00:00"/>
    <x v="4"/>
    <x v="5"/>
    <x v="1"/>
    <x v="2"/>
    <x v="1"/>
    <x v="833"/>
    <d v="2020-03-21T00:00:00"/>
    <n v="3"/>
    <n v="48"/>
    <n v="120"/>
    <x v="0"/>
  </r>
  <r>
    <n v="1278"/>
    <s v="Tamara Williams"/>
    <x v="1274"/>
    <x v="16"/>
    <d v="2023-01-28T00:00:00"/>
    <x v="3"/>
    <x v="1"/>
    <x v="1"/>
    <x v="1"/>
    <x v="2"/>
    <x v="731"/>
    <d v="2023-08-17T00:00:00"/>
    <n v="3"/>
    <n v="0"/>
    <n v="24"/>
    <x v="0"/>
  </r>
  <r>
    <n v="1279"/>
    <s v="Evan Reed"/>
    <x v="1275"/>
    <x v="16"/>
    <d v="2020-03-14T00:00:00"/>
    <x v="2"/>
    <x v="6"/>
    <x v="1"/>
    <x v="0"/>
    <x v="1"/>
    <x v="641"/>
    <d v="2021-02-20T00:00:00"/>
    <n v="2"/>
    <n v="24"/>
    <n v="48"/>
    <x v="0"/>
  </r>
  <r>
    <n v="1280"/>
    <s v="Michael Gibson"/>
    <x v="1276"/>
    <x v="5"/>
    <d v="2020-02-15T00:00:00"/>
    <x v="1"/>
    <x v="9"/>
    <x v="1"/>
    <x v="3"/>
    <x v="0"/>
    <x v="164"/>
    <d v="2020-06-30T00:00:00"/>
    <n v="4"/>
    <n v="168"/>
    <n v="168"/>
    <x v="0"/>
  </r>
  <r>
    <n v="1281"/>
    <s v="Roger Taylor"/>
    <x v="1277"/>
    <x v="11"/>
    <d v="2020-05-16T00:00:00"/>
    <x v="4"/>
    <x v="14"/>
    <x v="1"/>
    <x v="3"/>
    <x v="1"/>
    <x v="84"/>
    <d v="2020-08-10T00:00:00"/>
    <n v="5"/>
    <n v="96"/>
    <n v="168"/>
    <x v="0"/>
  </r>
  <r>
    <n v="1282"/>
    <s v="Steven Wood"/>
    <x v="1278"/>
    <x v="9"/>
    <d v="2023-05-04T00:00:00"/>
    <x v="3"/>
    <x v="11"/>
    <x v="1"/>
    <x v="2"/>
    <x v="1"/>
    <x v="14"/>
    <d v="2023-10-26T00:00:00"/>
    <n v="3"/>
    <n v="120"/>
    <n v="120"/>
    <x v="0"/>
  </r>
  <r>
    <n v="1283"/>
    <s v="Anthony Torres"/>
    <x v="1279"/>
    <x v="13"/>
    <d v="2022-12-21T00:00:00"/>
    <x v="1"/>
    <x v="6"/>
    <x v="1"/>
    <x v="2"/>
    <x v="0"/>
    <x v="834"/>
    <d v="2023-11-15T00:00:00"/>
    <n v="3"/>
    <n v="48"/>
    <n v="120"/>
    <x v="0"/>
  </r>
  <r>
    <n v="1284"/>
    <s v="Chad Murray"/>
    <x v="1280"/>
    <x v="3"/>
    <d v="2021-10-04T00:00:00"/>
    <x v="0"/>
    <x v="2"/>
    <x v="1"/>
    <x v="0"/>
    <x v="1"/>
    <x v="835"/>
    <d v="2022-03-19T00:00:00"/>
    <n v="5"/>
    <n v="24"/>
    <n v="48"/>
    <x v="0"/>
  </r>
  <r>
    <n v="1285"/>
    <s v="Mary Boyd"/>
    <x v="1281"/>
    <x v="9"/>
    <d v="2021-05-15T00:00:00"/>
    <x v="1"/>
    <x v="2"/>
    <x v="3"/>
    <x v="3"/>
    <x v="1"/>
    <x v="836"/>
    <d v="2021-08-30T00:00:00"/>
    <m/>
    <n v="144"/>
    <n v="168"/>
    <x v="0"/>
  </r>
  <r>
    <n v="1286"/>
    <s v="Karen Davis"/>
    <x v="1282"/>
    <x v="2"/>
    <d v="2022-10-21T00:00:00"/>
    <x v="0"/>
    <x v="7"/>
    <x v="3"/>
    <x v="2"/>
    <x v="0"/>
    <x v="698"/>
    <d v="2023-05-15T00:00:00"/>
    <m/>
    <n v="72"/>
    <n v="120"/>
    <x v="0"/>
  </r>
  <r>
    <n v="1287"/>
    <s v="Savannah Neal"/>
    <x v="1283"/>
    <x v="9"/>
    <d v="2022-11-07T00:00:00"/>
    <x v="2"/>
    <x v="3"/>
    <x v="1"/>
    <x v="2"/>
    <x v="1"/>
    <x v="200"/>
    <d v="2023-04-23T00:00:00"/>
    <n v="5"/>
    <n v="0"/>
    <n v="120"/>
    <x v="0"/>
  </r>
  <r>
    <n v="1288"/>
    <s v="Robert Lopez"/>
    <x v="1284"/>
    <x v="14"/>
    <d v="2022-03-09T00:00:00"/>
    <x v="3"/>
    <x v="14"/>
    <x v="0"/>
    <x v="2"/>
    <x v="1"/>
    <x v="837"/>
    <d v="2022-07-14T00:00:00"/>
    <m/>
    <n v="48"/>
    <n v="120"/>
    <x v="0"/>
  </r>
  <r>
    <n v="1289"/>
    <s v="Paige Collins"/>
    <x v="1285"/>
    <x v="13"/>
    <d v="2020-07-21T00:00:00"/>
    <x v="0"/>
    <x v="4"/>
    <x v="3"/>
    <x v="2"/>
    <x v="3"/>
    <x v="811"/>
    <d v="2021-03-06T00:00:00"/>
    <m/>
    <n v="96"/>
    <n v="120"/>
    <x v="0"/>
  </r>
  <r>
    <n v="1290"/>
    <s v="Jack Hester"/>
    <x v="1286"/>
    <x v="17"/>
    <d v="2021-10-19T00:00:00"/>
    <x v="4"/>
    <x v="5"/>
    <x v="1"/>
    <x v="3"/>
    <x v="2"/>
    <x v="57"/>
    <d v="2022-03-08T00:00:00"/>
    <n v="5"/>
    <n v="168"/>
    <n v="168"/>
    <x v="0"/>
  </r>
  <r>
    <n v="1291"/>
    <s v="Eric Kane"/>
    <x v="1287"/>
    <x v="9"/>
    <d v="2020-06-20T00:00:00"/>
    <x v="0"/>
    <x v="13"/>
    <x v="1"/>
    <x v="3"/>
    <x v="1"/>
    <x v="83"/>
    <d v="2021-06-12T00:00:00"/>
    <n v="2"/>
    <n v="72"/>
    <n v="168"/>
    <x v="0"/>
  </r>
  <r>
    <n v="1292"/>
    <s v="Steven Lopez"/>
    <x v="1288"/>
    <x v="4"/>
    <d v="2021-02-16T00:00:00"/>
    <x v="4"/>
    <x v="9"/>
    <x v="1"/>
    <x v="2"/>
    <x v="3"/>
    <x v="452"/>
    <d v="2021-04-14T00:00:00"/>
    <n v="5"/>
    <n v="96"/>
    <n v="120"/>
    <x v="0"/>
  </r>
  <r>
    <n v="1293"/>
    <s v="Joshua Gomez"/>
    <x v="1289"/>
    <x v="15"/>
    <d v="2021-06-02T00:00:00"/>
    <x v="0"/>
    <x v="11"/>
    <x v="1"/>
    <x v="2"/>
    <x v="3"/>
    <x v="838"/>
    <d v="2022-01-28T00:00:00"/>
    <n v="4"/>
    <n v="120"/>
    <n v="120"/>
    <x v="0"/>
  </r>
  <r>
    <n v="1294"/>
    <s v="Dominic Davis"/>
    <x v="1290"/>
    <x v="2"/>
    <d v="2021-04-01T00:00:00"/>
    <x v="0"/>
    <x v="10"/>
    <x v="0"/>
    <x v="0"/>
    <x v="0"/>
    <x v="839"/>
    <d v="2021-12-02T00:00:00"/>
    <m/>
    <n v="24"/>
    <n v="48"/>
    <x v="0"/>
  </r>
  <r>
    <n v="1295"/>
    <s v="Christopher Hill"/>
    <x v="1291"/>
    <x v="8"/>
    <d v="2020-03-18T00:00:00"/>
    <x v="2"/>
    <x v="10"/>
    <x v="0"/>
    <x v="2"/>
    <x v="1"/>
    <x v="840"/>
    <d v="2021-03-23T00:00:00"/>
    <m/>
    <n v="120"/>
    <n v="120"/>
    <x v="0"/>
  </r>
  <r>
    <n v="1296"/>
    <s v="Tina Robinson"/>
    <x v="1292"/>
    <x v="12"/>
    <d v="2020-04-12T00:00:00"/>
    <x v="0"/>
    <x v="11"/>
    <x v="2"/>
    <x v="2"/>
    <x v="1"/>
    <x v="728"/>
    <d v="2021-04-05T00:00:00"/>
    <n v="4"/>
    <n v="48"/>
    <n v="120"/>
    <x v="0"/>
  </r>
  <r>
    <n v="1297"/>
    <s v="Desiree Andrade"/>
    <x v="1293"/>
    <x v="8"/>
    <d v="2023-02-14T00:00:00"/>
    <x v="2"/>
    <x v="13"/>
    <x v="1"/>
    <x v="3"/>
    <x v="1"/>
    <x v="841"/>
    <d v="2023-12-31T00:00:00"/>
    <n v="5"/>
    <n v="192"/>
    <n v="168"/>
    <x v="1"/>
  </r>
  <r>
    <n v="1298"/>
    <s v="Melissa Simpson"/>
    <x v="1294"/>
    <x v="10"/>
    <d v="2023-01-01T00:00:00"/>
    <x v="3"/>
    <x v="5"/>
    <x v="0"/>
    <x v="3"/>
    <x v="2"/>
    <x v="668"/>
    <d v="2023-05-23T00:00:00"/>
    <m/>
    <n v="336"/>
    <n v="168"/>
    <x v="1"/>
  </r>
  <r>
    <n v="1299"/>
    <s v="Morgan Davis"/>
    <x v="1295"/>
    <x v="9"/>
    <d v="2020-09-21T00:00:00"/>
    <x v="4"/>
    <x v="14"/>
    <x v="1"/>
    <x v="2"/>
    <x v="3"/>
    <x v="842"/>
    <d v="2020-11-12T00:00:00"/>
    <n v="4"/>
    <n v="96"/>
    <n v="120"/>
    <x v="0"/>
  </r>
  <r>
    <n v="1300"/>
    <s v="Benjamin Lopez"/>
    <x v="1296"/>
    <x v="0"/>
    <d v="2022-01-07T00:00:00"/>
    <x v="4"/>
    <x v="5"/>
    <x v="1"/>
    <x v="3"/>
    <x v="1"/>
    <x v="360"/>
    <d v="2022-06-21T00:00:00"/>
    <m/>
    <n v="144"/>
    <n v="168"/>
    <x v="0"/>
  </r>
  <r>
    <n v="1301"/>
    <s v="Alex Mccann"/>
    <x v="1297"/>
    <x v="9"/>
    <d v="2022-07-11T00:00:00"/>
    <x v="1"/>
    <x v="0"/>
    <x v="1"/>
    <x v="0"/>
    <x v="3"/>
    <x v="80"/>
    <d v="2022-12-31T00:00:00"/>
    <n v="3"/>
    <n v="0"/>
    <n v="48"/>
    <x v="0"/>
  </r>
  <r>
    <n v="1302"/>
    <s v="John Smith"/>
    <x v="1298"/>
    <x v="18"/>
    <d v="2022-05-31T00:00:00"/>
    <x v="4"/>
    <x v="3"/>
    <x v="1"/>
    <x v="2"/>
    <x v="2"/>
    <x v="743"/>
    <d v="2022-06-09T00:00:00"/>
    <n v="4"/>
    <n v="72"/>
    <n v="120"/>
    <x v="0"/>
  </r>
  <r>
    <n v="1303"/>
    <s v="Donna Perez"/>
    <x v="1299"/>
    <x v="13"/>
    <d v="2021-04-18T00:00:00"/>
    <x v="4"/>
    <x v="4"/>
    <x v="1"/>
    <x v="3"/>
    <x v="1"/>
    <x v="623"/>
    <d v="2021-07-27T00:00:00"/>
    <n v="3"/>
    <n v="168"/>
    <n v="168"/>
    <x v="0"/>
  </r>
  <r>
    <n v="1304"/>
    <s v="Gabriela Henry"/>
    <x v="1300"/>
    <x v="3"/>
    <d v="2021-07-19T00:00:00"/>
    <x v="3"/>
    <x v="6"/>
    <x v="0"/>
    <x v="3"/>
    <x v="3"/>
    <x v="392"/>
    <d v="2022-04-14T00:00:00"/>
    <m/>
    <n v="240"/>
    <n v="168"/>
    <x v="1"/>
  </r>
  <r>
    <n v="1305"/>
    <s v="Ronald Turner"/>
    <x v="1301"/>
    <x v="7"/>
    <d v="2021-02-23T00:00:00"/>
    <x v="4"/>
    <x v="7"/>
    <x v="1"/>
    <x v="3"/>
    <x v="1"/>
    <x v="666"/>
    <d v="2021-07-29T00:00:00"/>
    <m/>
    <n v="168"/>
    <n v="168"/>
    <x v="0"/>
  </r>
  <r>
    <n v="1306"/>
    <s v="Monica Smith"/>
    <x v="1302"/>
    <x v="5"/>
    <d v="2021-07-08T00:00:00"/>
    <x v="1"/>
    <x v="3"/>
    <x v="0"/>
    <x v="2"/>
    <x v="3"/>
    <x v="843"/>
    <d v="2022-06-13T00:00:00"/>
    <m/>
    <n v="72"/>
    <n v="120"/>
    <x v="0"/>
  </r>
  <r>
    <n v="1307"/>
    <s v="Mr. Patrick Mcpherson MD"/>
    <x v="1303"/>
    <x v="2"/>
    <d v="2020-06-16T00:00:00"/>
    <x v="2"/>
    <x v="6"/>
    <x v="1"/>
    <x v="3"/>
    <x v="2"/>
    <x v="844"/>
    <d v="2020-09-02T00:00:00"/>
    <n v="4"/>
    <n v="144"/>
    <n v="168"/>
    <x v="0"/>
  </r>
  <r>
    <n v="1308"/>
    <s v="Sherry Shelton"/>
    <x v="1304"/>
    <x v="1"/>
    <d v="2021-02-16T00:00:00"/>
    <x v="0"/>
    <x v="1"/>
    <x v="1"/>
    <x v="0"/>
    <x v="0"/>
    <x v="845"/>
    <d v="2021-04-09T00:00:00"/>
    <n v="3"/>
    <n v="48"/>
    <n v="48"/>
    <x v="0"/>
  </r>
  <r>
    <n v="1309"/>
    <s v="Hannah Rivera"/>
    <x v="1305"/>
    <x v="10"/>
    <d v="2020-10-23T00:00:00"/>
    <x v="3"/>
    <x v="9"/>
    <x v="1"/>
    <x v="2"/>
    <x v="1"/>
    <x v="131"/>
    <d v="2021-03-18T00:00:00"/>
    <n v="4"/>
    <n v="48"/>
    <n v="120"/>
    <x v="0"/>
  </r>
  <r>
    <n v="1310"/>
    <s v="Joseph Cooper"/>
    <x v="1306"/>
    <x v="0"/>
    <d v="2021-03-24T00:00:00"/>
    <x v="3"/>
    <x v="2"/>
    <x v="3"/>
    <x v="2"/>
    <x v="0"/>
    <x v="240"/>
    <d v="2021-09-05T00:00:00"/>
    <m/>
    <n v="24"/>
    <n v="120"/>
    <x v="0"/>
  </r>
  <r>
    <n v="1311"/>
    <s v="Adam Ho"/>
    <x v="1307"/>
    <x v="15"/>
    <d v="2022-08-27T00:00:00"/>
    <x v="3"/>
    <x v="2"/>
    <x v="1"/>
    <x v="2"/>
    <x v="3"/>
    <x v="846"/>
    <d v="2022-12-03T00:00:00"/>
    <n v="4"/>
    <n v="48"/>
    <n v="120"/>
    <x v="0"/>
  </r>
  <r>
    <n v="1312"/>
    <s v="Carla Tucker"/>
    <x v="1308"/>
    <x v="7"/>
    <d v="2020-12-03T00:00:00"/>
    <x v="0"/>
    <x v="14"/>
    <x v="3"/>
    <x v="3"/>
    <x v="0"/>
    <x v="847"/>
    <d v="2021-06-27T00:00:00"/>
    <m/>
    <n v="216"/>
    <n v="168"/>
    <x v="1"/>
  </r>
  <r>
    <n v="1313"/>
    <s v="Kevin Brown"/>
    <x v="1309"/>
    <x v="3"/>
    <d v="2021-01-25T00:00:00"/>
    <x v="4"/>
    <x v="13"/>
    <x v="0"/>
    <x v="3"/>
    <x v="2"/>
    <x v="508"/>
    <d v="2021-10-19T00:00:00"/>
    <m/>
    <n v="168"/>
    <n v="168"/>
    <x v="0"/>
  </r>
  <r>
    <n v="1314"/>
    <s v="Shawn Glover"/>
    <x v="1310"/>
    <x v="4"/>
    <d v="2023-02-12T00:00:00"/>
    <x v="3"/>
    <x v="4"/>
    <x v="0"/>
    <x v="2"/>
    <x v="1"/>
    <x v="434"/>
    <d v="2023-03-25T00:00:00"/>
    <m/>
    <n v="96"/>
    <n v="120"/>
    <x v="0"/>
  </r>
  <r>
    <n v="1315"/>
    <s v="Kevin Miller"/>
    <x v="1311"/>
    <x v="7"/>
    <d v="2022-11-20T00:00:00"/>
    <x v="4"/>
    <x v="5"/>
    <x v="1"/>
    <x v="3"/>
    <x v="1"/>
    <x v="697"/>
    <d v="2022-12-01T00:00:00"/>
    <m/>
    <n v="216"/>
    <n v="168"/>
    <x v="1"/>
  </r>
  <r>
    <n v="1316"/>
    <s v="Jenny Rasmussen"/>
    <x v="1312"/>
    <x v="17"/>
    <d v="2021-04-27T00:00:00"/>
    <x v="1"/>
    <x v="3"/>
    <x v="3"/>
    <x v="2"/>
    <x v="3"/>
    <x v="848"/>
    <d v="2021-05-22T00:00:00"/>
    <m/>
    <n v="72"/>
    <n v="120"/>
    <x v="0"/>
  </r>
  <r>
    <n v="1317"/>
    <s v="Jeffrey Liu"/>
    <x v="1313"/>
    <x v="11"/>
    <d v="2021-10-08T00:00:00"/>
    <x v="2"/>
    <x v="10"/>
    <x v="3"/>
    <x v="2"/>
    <x v="0"/>
    <x v="61"/>
    <d v="2022-05-09T00:00:00"/>
    <m/>
    <n v="96"/>
    <n v="120"/>
    <x v="0"/>
  </r>
  <r>
    <n v="1318"/>
    <s v="Elizabeth Miller"/>
    <x v="1314"/>
    <x v="8"/>
    <d v="2020-05-29T00:00:00"/>
    <x v="3"/>
    <x v="11"/>
    <x v="0"/>
    <x v="1"/>
    <x v="3"/>
    <x v="208"/>
    <d v="2021-04-14T00:00:00"/>
    <m/>
    <n v="0"/>
    <n v="24"/>
    <x v="0"/>
  </r>
  <r>
    <n v="1319"/>
    <s v="Jeremy Edwards"/>
    <x v="1315"/>
    <x v="0"/>
    <d v="2021-09-29T00:00:00"/>
    <x v="2"/>
    <x v="10"/>
    <x v="1"/>
    <x v="3"/>
    <x v="0"/>
    <x v="764"/>
    <d v="2021-12-04T00:00:00"/>
    <n v="4"/>
    <n v="168"/>
    <n v="168"/>
    <x v="0"/>
  </r>
  <r>
    <n v="1320"/>
    <s v="Thomas Johnson"/>
    <x v="1316"/>
    <x v="7"/>
    <d v="2021-04-14T00:00:00"/>
    <x v="2"/>
    <x v="3"/>
    <x v="1"/>
    <x v="3"/>
    <x v="1"/>
    <x v="393"/>
    <d v="2022-01-30T00:00:00"/>
    <n v="4"/>
    <n v="0"/>
    <n v="168"/>
    <x v="0"/>
  </r>
  <r>
    <n v="1321"/>
    <s v="Lauren Watson"/>
    <x v="1317"/>
    <x v="15"/>
    <d v="2022-11-06T00:00:00"/>
    <x v="3"/>
    <x v="3"/>
    <x v="1"/>
    <x v="0"/>
    <x v="3"/>
    <x v="671"/>
    <d v="2023-07-07T00:00:00"/>
    <n v="5"/>
    <n v="72"/>
    <n v="48"/>
    <x v="1"/>
  </r>
  <r>
    <n v="1322"/>
    <s v="Robert Golden"/>
    <x v="1318"/>
    <x v="2"/>
    <d v="2021-02-23T00:00:00"/>
    <x v="4"/>
    <x v="13"/>
    <x v="1"/>
    <x v="2"/>
    <x v="2"/>
    <x v="438"/>
    <d v="2021-10-10T00:00:00"/>
    <n v="5"/>
    <n v="120"/>
    <n v="120"/>
    <x v="0"/>
  </r>
  <r>
    <n v="1323"/>
    <s v="Marie Cook"/>
    <x v="1319"/>
    <x v="1"/>
    <d v="2021-05-29T00:00:00"/>
    <x v="3"/>
    <x v="1"/>
    <x v="1"/>
    <x v="2"/>
    <x v="1"/>
    <x v="849"/>
    <d v="2021-06-09T00:00:00"/>
    <n v="4"/>
    <n v="96"/>
    <n v="120"/>
    <x v="0"/>
  </r>
  <r>
    <n v="1324"/>
    <s v="Barbara Richards"/>
    <x v="1320"/>
    <x v="7"/>
    <d v="2023-02-24T00:00:00"/>
    <x v="3"/>
    <x v="14"/>
    <x v="1"/>
    <x v="0"/>
    <x v="2"/>
    <x v="850"/>
    <d v="2023-11-10T00:00:00"/>
    <n v="4"/>
    <n v="24"/>
    <n v="48"/>
    <x v="0"/>
  </r>
  <r>
    <n v="1325"/>
    <s v="Brandy Jacobson"/>
    <x v="1321"/>
    <x v="18"/>
    <d v="2022-01-23T00:00:00"/>
    <x v="2"/>
    <x v="2"/>
    <x v="0"/>
    <x v="0"/>
    <x v="3"/>
    <x v="694"/>
    <d v="2022-06-21T00:00:00"/>
    <m/>
    <n v="48"/>
    <n v="48"/>
    <x v="0"/>
  </r>
  <r>
    <n v="1326"/>
    <s v="Christina Jones"/>
    <x v="1322"/>
    <x v="12"/>
    <d v="2021-01-19T00:00:00"/>
    <x v="4"/>
    <x v="8"/>
    <x v="1"/>
    <x v="0"/>
    <x v="1"/>
    <x v="257"/>
    <d v="2021-01-29T00:00:00"/>
    <n v="4"/>
    <n v="48"/>
    <n v="48"/>
    <x v="0"/>
  </r>
  <r>
    <n v="1327"/>
    <s v="John Wall"/>
    <x v="1323"/>
    <x v="1"/>
    <d v="2021-09-20T00:00:00"/>
    <x v="3"/>
    <x v="8"/>
    <x v="1"/>
    <x v="3"/>
    <x v="3"/>
    <x v="77"/>
    <d v="2021-10-24T00:00:00"/>
    <n v="4"/>
    <n v="120"/>
    <n v="168"/>
    <x v="0"/>
  </r>
  <r>
    <n v="1328"/>
    <s v="Mr. David Abbott"/>
    <x v="1324"/>
    <x v="13"/>
    <d v="2021-11-02T00:00:00"/>
    <x v="0"/>
    <x v="10"/>
    <x v="1"/>
    <x v="2"/>
    <x v="3"/>
    <x v="233"/>
    <d v="2022-08-25T00:00:00"/>
    <n v="3"/>
    <n v="96"/>
    <n v="120"/>
    <x v="0"/>
  </r>
  <r>
    <n v="1329"/>
    <s v="Alex Thomas"/>
    <x v="1325"/>
    <x v="5"/>
    <d v="2020-11-07T00:00:00"/>
    <x v="4"/>
    <x v="1"/>
    <x v="1"/>
    <x v="0"/>
    <x v="3"/>
    <x v="275"/>
    <d v="2021-07-10T00:00:00"/>
    <m/>
    <n v="0"/>
    <n v="48"/>
    <x v="0"/>
  </r>
  <r>
    <n v="1330"/>
    <s v="Dylan Contreras"/>
    <x v="1326"/>
    <x v="3"/>
    <d v="2021-08-22T00:00:00"/>
    <x v="0"/>
    <x v="14"/>
    <x v="0"/>
    <x v="2"/>
    <x v="1"/>
    <x v="85"/>
    <d v="2022-03-01T00:00:00"/>
    <m/>
    <n v="72"/>
    <n v="120"/>
    <x v="0"/>
  </r>
  <r>
    <n v="1331"/>
    <s v="Ashley Butler"/>
    <x v="1327"/>
    <x v="14"/>
    <d v="2020-07-05T00:00:00"/>
    <x v="2"/>
    <x v="9"/>
    <x v="3"/>
    <x v="2"/>
    <x v="3"/>
    <x v="281"/>
    <d v="2021-01-28T00:00:00"/>
    <m/>
    <n v="48"/>
    <n v="120"/>
    <x v="0"/>
  </r>
  <r>
    <n v="1332"/>
    <s v="Alexandra Turner"/>
    <x v="1328"/>
    <x v="17"/>
    <d v="2021-12-27T00:00:00"/>
    <x v="4"/>
    <x v="7"/>
    <x v="1"/>
    <x v="2"/>
    <x v="1"/>
    <x v="233"/>
    <d v="2022-08-24T00:00:00"/>
    <n v="4"/>
    <n v="72"/>
    <n v="120"/>
    <x v="0"/>
  </r>
  <r>
    <n v="1333"/>
    <s v="Judy Smith"/>
    <x v="1329"/>
    <x v="2"/>
    <d v="2020-11-23T00:00:00"/>
    <x v="3"/>
    <x v="2"/>
    <x v="1"/>
    <x v="3"/>
    <x v="1"/>
    <x v="28"/>
    <d v="2021-07-23T00:00:00"/>
    <n v="5"/>
    <n v="120"/>
    <n v="168"/>
    <x v="0"/>
  </r>
  <r>
    <n v="1334"/>
    <s v="Michael Myers"/>
    <x v="1330"/>
    <x v="7"/>
    <d v="2023-01-22T00:00:00"/>
    <x v="2"/>
    <x v="12"/>
    <x v="1"/>
    <x v="0"/>
    <x v="2"/>
    <x v="851"/>
    <d v="2023-12-09T00:00:00"/>
    <m/>
    <n v="48"/>
    <n v="48"/>
    <x v="0"/>
  </r>
  <r>
    <n v="1335"/>
    <s v="Julia Trevino"/>
    <x v="1331"/>
    <x v="8"/>
    <d v="2021-09-03T00:00:00"/>
    <x v="2"/>
    <x v="7"/>
    <x v="1"/>
    <x v="2"/>
    <x v="0"/>
    <x v="203"/>
    <d v="2022-08-28T00:00:00"/>
    <n v="4"/>
    <n v="96"/>
    <n v="120"/>
    <x v="0"/>
  </r>
  <r>
    <n v="1336"/>
    <s v="Ryan Webb"/>
    <x v="1332"/>
    <x v="10"/>
    <d v="2023-01-05T00:00:00"/>
    <x v="1"/>
    <x v="7"/>
    <x v="0"/>
    <x v="2"/>
    <x v="2"/>
    <x v="852"/>
    <d v="2023-03-25T00:00:00"/>
    <m/>
    <n v="48"/>
    <n v="120"/>
    <x v="0"/>
  </r>
  <r>
    <n v="1337"/>
    <s v="Patricia Fox"/>
    <x v="1333"/>
    <x v="18"/>
    <d v="2021-06-24T00:00:00"/>
    <x v="3"/>
    <x v="5"/>
    <x v="0"/>
    <x v="3"/>
    <x v="1"/>
    <x v="385"/>
    <d v="2022-05-20T00:00:00"/>
    <m/>
    <n v="216"/>
    <n v="168"/>
    <x v="1"/>
  </r>
  <r>
    <n v="1338"/>
    <s v="Sandra Jones"/>
    <x v="1334"/>
    <x v="9"/>
    <d v="2022-10-30T00:00:00"/>
    <x v="0"/>
    <x v="4"/>
    <x v="1"/>
    <x v="2"/>
    <x v="1"/>
    <x v="138"/>
    <d v="2023-04-11T00:00:00"/>
    <n v="5"/>
    <n v="72"/>
    <n v="120"/>
    <x v="0"/>
  </r>
  <r>
    <n v="1339"/>
    <s v="Timothy Alvarez"/>
    <x v="1335"/>
    <x v="5"/>
    <d v="2023-05-20T00:00:00"/>
    <x v="4"/>
    <x v="1"/>
    <x v="1"/>
    <x v="0"/>
    <x v="2"/>
    <x v="521"/>
    <d v="2024-01-19T00:00:00"/>
    <n v="3"/>
    <n v="24"/>
    <n v="48"/>
    <x v="0"/>
  </r>
  <r>
    <n v="1340"/>
    <s v="Steven Thompson"/>
    <x v="1336"/>
    <x v="16"/>
    <d v="2020-04-06T00:00:00"/>
    <x v="3"/>
    <x v="11"/>
    <x v="3"/>
    <x v="2"/>
    <x v="1"/>
    <x v="853"/>
    <d v="2020-07-01T00:00:00"/>
    <m/>
    <n v="120"/>
    <n v="120"/>
    <x v="0"/>
  </r>
  <r>
    <n v="1341"/>
    <s v="Ashley Bradford"/>
    <x v="1337"/>
    <x v="6"/>
    <d v="2020-02-15T00:00:00"/>
    <x v="0"/>
    <x v="13"/>
    <x v="1"/>
    <x v="1"/>
    <x v="0"/>
    <x v="673"/>
    <d v="2020-09-30T00:00:00"/>
    <m/>
    <n v="24"/>
    <n v="24"/>
    <x v="0"/>
  </r>
  <r>
    <n v="1342"/>
    <s v="Erica Hale"/>
    <x v="1338"/>
    <x v="2"/>
    <d v="2022-05-14T00:00:00"/>
    <x v="1"/>
    <x v="0"/>
    <x v="2"/>
    <x v="0"/>
    <x v="3"/>
    <x v="282"/>
    <d v="2022-12-26T00:00:00"/>
    <m/>
    <n v="24"/>
    <n v="48"/>
    <x v="0"/>
  </r>
  <r>
    <n v="1343"/>
    <s v="David Kim"/>
    <x v="1339"/>
    <x v="9"/>
    <d v="2023-05-12T00:00:00"/>
    <x v="4"/>
    <x v="11"/>
    <x v="0"/>
    <x v="2"/>
    <x v="2"/>
    <x v="660"/>
    <d v="2023-08-12T00:00:00"/>
    <m/>
    <n v="48"/>
    <n v="120"/>
    <x v="0"/>
  </r>
  <r>
    <n v="1344"/>
    <s v="Kevin Soto"/>
    <x v="1340"/>
    <x v="4"/>
    <d v="2021-07-12T00:00:00"/>
    <x v="0"/>
    <x v="1"/>
    <x v="3"/>
    <x v="3"/>
    <x v="1"/>
    <x v="854"/>
    <d v="2021-12-18T00:00:00"/>
    <m/>
    <n v="240"/>
    <n v="168"/>
    <x v="1"/>
  </r>
  <r>
    <n v="1345"/>
    <s v="Laura Lin"/>
    <x v="1341"/>
    <x v="3"/>
    <d v="2020-11-18T00:00:00"/>
    <x v="4"/>
    <x v="8"/>
    <x v="3"/>
    <x v="0"/>
    <x v="3"/>
    <x v="855"/>
    <d v="2021-05-24T00:00:00"/>
    <m/>
    <n v="24"/>
    <n v="48"/>
    <x v="0"/>
  </r>
  <r>
    <n v="1346"/>
    <s v="Kara Bell"/>
    <x v="1342"/>
    <x v="14"/>
    <d v="2021-08-07T00:00:00"/>
    <x v="2"/>
    <x v="11"/>
    <x v="0"/>
    <x v="2"/>
    <x v="0"/>
    <x v="856"/>
    <d v="2022-08-06T00:00:00"/>
    <m/>
    <n v="144"/>
    <n v="120"/>
    <x v="1"/>
  </r>
  <r>
    <n v="1347"/>
    <s v="Laura Martinez"/>
    <x v="1343"/>
    <x v="9"/>
    <d v="2022-07-23T00:00:00"/>
    <x v="2"/>
    <x v="3"/>
    <x v="1"/>
    <x v="0"/>
    <x v="1"/>
    <x v="178"/>
    <d v="2023-01-10T00:00:00"/>
    <m/>
    <n v="24"/>
    <n v="48"/>
    <x v="0"/>
  </r>
  <r>
    <n v="1348"/>
    <s v="Alison Nicholson"/>
    <x v="1344"/>
    <x v="17"/>
    <d v="2021-07-09T00:00:00"/>
    <x v="2"/>
    <x v="1"/>
    <x v="3"/>
    <x v="3"/>
    <x v="2"/>
    <x v="838"/>
    <d v="2022-01-31T00:00:00"/>
    <m/>
    <n v="192"/>
    <n v="168"/>
    <x v="1"/>
  </r>
  <r>
    <n v="1349"/>
    <s v="Seth Donaldson"/>
    <x v="1345"/>
    <x v="4"/>
    <d v="2022-08-07T00:00:00"/>
    <x v="3"/>
    <x v="6"/>
    <x v="1"/>
    <x v="3"/>
    <x v="2"/>
    <x v="120"/>
    <d v="2022-10-19T00:00:00"/>
    <n v="4"/>
    <n v="144"/>
    <n v="168"/>
    <x v="0"/>
  </r>
  <r>
    <n v="1350"/>
    <s v="Jennifer Brown"/>
    <x v="1346"/>
    <x v="4"/>
    <d v="2022-10-11T00:00:00"/>
    <x v="3"/>
    <x v="12"/>
    <x v="1"/>
    <x v="1"/>
    <x v="1"/>
    <x v="857"/>
    <d v="2023-06-28T00:00:00"/>
    <n v="4"/>
    <n v="0"/>
    <n v="24"/>
    <x v="0"/>
  </r>
  <r>
    <n v="1351"/>
    <s v="George Green"/>
    <x v="1347"/>
    <x v="14"/>
    <d v="2022-04-29T00:00:00"/>
    <x v="2"/>
    <x v="11"/>
    <x v="1"/>
    <x v="1"/>
    <x v="1"/>
    <x v="516"/>
    <d v="2022-06-16T00:00:00"/>
    <m/>
    <n v="96"/>
    <n v="24"/>
    <x v="1"/>
  </r>
  <r>
    <n v="1352"/>
    <s v="Erin Todd"/>
    <x v="1348"/>
    <x v="0"/>
    <d v="2022-08-05T00:00:00"/>
    <x v="3"/>
    <x v="8"/>
    <x v="1"/>
    <x v="3"/>
    <x v="1"/>
    <x v="89"/>
    <d v="2023-06-18T00:00:00"/>
    <n v="5"/>
    <n v="96"/>
    <n v="168"/>
    <x v="0"/>
  </r>
  <r>
    <n v="1353"/>
    <s v="Pamela Johnson"/>
    <x v="1349"/>
    <x v="14"/>
    <d v="2020-05-05T00:00:00"/>
    <x v="2"/>
    <x v="7"/>
    <x v="1"/>
    <x v="0"/>
    <x v="1"/>
    <x v="858"/>
    <d v="2020-08-21T00:00:00"/>
    <n v="4"/>
    <n v="24"/>
    <n v="48"/>
    <x v="0"/>
  </r>
  <r>
    <n v="1354"/>
    <s v="Karen Anderson"/>
    <x v="1350"/>
    <x v="13"/>
    <d v="2022-10-07T00:00:00"/>
    <x v="4"/>
    <x v="10"/>
    <x v="1"/>
    <x v="2"/>
    <x v="1"/>
    <x v="150"/>
    <d v="2023-03-05T00:00:00"/>
    <n v="2"/>
    <n v="48"/>
    <n v="120"/>
    <x v="0"/>
  </r>
  <r>
    <n v="1355"/>
    <s v="John Harrington"/>
    <x v="1351"/>
    <x v="12"/>
    <d v="2022-04-09T00:00:00"/>
    <x v="1"/>
    <x v="6"/>
    <x v="0"/>
    <x v="3"/>
    <x v="1"/>
    <x v="371"/>
    <d v="2023-02-04T00:00:00"/>
    <m/>
    <n v="144"/>
    <n v="168"/>
    <x v="0"/>
  </r>
  <r>
    <n v="1356"/>
    <s v="Jamie Sutton"/>
    <x v="1352"/>
    <x v="14"/>
    <d v="2022-12-16T00:00:00"/>
    <x v="1"/>
    <x v="14"/>
    <x v="1"/>
    <x v="3"/>
    <x v="1"/>
    <x v="367"/>
    <d v="2023-03-22T00:00:00"/>
    <n v="5"/>
    <n v="312"/>
    <n v="168"/>
    <x v="1"/>
  </r>
  <r>
    <n v="1357"/>
    <s v="Michael Dunn"/>
    <x v="1353"/>
    <x v="14"/>
    <d v="2021-06-30T00:00:00"/>
    <x v="2"/>
    <x v="5"/>
    <x v="1"/>
    <x v="3"/>
    <x v="1"/>
    <x v="859"/>
    <d v="2022-04-03T00:00:00"/>
    <m/>
    <n v="144"/>
    <n v="168"/>
    <x v="0"/>
  </r>
  <r>
    <n v="1358"/>
    <s v="Jeffrey Brown"/>
    <x v="1354"/>
    <x v="15"/>
    <d v="2023-03-07T00:00:00"/>
    <x v="3"/>
    <x v="5"/>
    <x v="1"/>
    <x v="2"/>
    <x v="2"/>
    <x v="521"/>
    <d v="2024-01-21T00:00:00"/>
    <n v="4"/>
    <n v="72"/>
    <n v="120"/>
    <x v="0"/>
  </r>
  <r>
    <n v="1359"/>
    <s v="Rhonda Herrera"/>
    <x v="1355"/>
    <x v="2"/>
    <d v="2021-01-23T00:00:00"/>
    <x v="2"/>
    <x v="5"/>
    <x v="3"/>
    <x v="3"/>
    <x v="3"/>
    <x v="860"/>
    <d v="2022-01-23T00:00:00"/>
    <m/>
    <n v="192"/>
    <n v="168"/>
    <x v="1"/>
  </r>
  <r>
    <n v="1360"/>
    <s v="Angela Martinez"/>
    <x v="1356"/>
    <x v="13"/>
    <d v="2022-10-14T00:00:00"/>
    <x v="1"/>
    <x v="1"/>
    <x v="1"/>
    <x v="2"/>
    <x v="1"/>
    <x v="861"/>
    <d v="2023-03-18T00:00:00"/>
    <n v="5"/>
    <n v="48"/>
    <n v="120"/>
    <x v="0"/>
  </r>
  <r>
    <n v="1361"/>
    <s v="Yolanda Anderson"/>
    <x v="1357"/>
    <x v="5"/>
    <d v="2020-04-29T00:00:00"/>
    <x v="4"/>
    <x v="13"/>
    <x v="3"/>
    <x v="3"/>
    <x v="3"/>
    <x v="256"/>
    <d v="2020-10-21T00:00:00"/>
    <m/>
    <n v="216"/>
    <n v="168"/>
    <x v="1"/>
  </r>
  <r>
    <n v="1362"/>
    <s v="Todd Harris"/>
    <x v="1358"/>
    <x v="17"/>
    <d v="2021-04-15T00:00:00"/>
    <x v="1"/>
    <x v="8"/>
    <x v="3"/>
    <x v="3"/>
    <x v="1"/>
    <x v="558"/>
    <d v="2021-11-24T00:00:00"/>
    <m/>
    <n v="216"/>
    <n v="168"/>
    <x v="1"/>
  </r>
  <r>
    <n v="1363"/>
    <s v="Penny Carter"/>
    <x v="1359"/>
    <x v="16"/>
    <d v="2022-04-21T00:00:00"/>
    <x v="1"/>
    <x v="5"/>
    <x v="0"/>
    <x v="0"/>
    <x v="3"/>
    <x v="300"/>
    <d v="2023-03-27T00:00:00"/>
    <m/>
    <n v="48"/>
    <n v="48"/>
    <x v="0"/>
  </r>
  <r>
    <n v="1364"/>
    <s v="Amy Mccullough"/>
    <x v="1360"/>
    <x v="10"/>
    <d v="2022-03-20T00:00:00"/>
    <x v="0"/>
    <x v="13"/>
    <x v="1"/>
    <x v="0"/>
    <x v="1"/>
    <x v="597"/>
    <d v="2022-04-02T00:00:00"/>
    <n v="5"/>
    <n v="48"/>
    <n v="48"/>
    <x v="0"/>
  </r>
  <r>
    <n v="1365"/>
    <s v="Patrick Clark"/>
    <x v="1361"/>
    <x v="16"/>
    <d v="2022-12-20T00:00:00"/>
    <x v="2"/>
    <x v="7"/>
    <x v="0"/>
    <x v="3"/>
    <x v="2"/>
    <x v="336"/>
    <d v="2023-03-19T00:00:00"/>
    <m/>
    <n v="192"/>
    <n v="168"/>
    <x v="1"/>
  </r>
  <r>
    <n v="1366"/>
    <s v="Phillip Benton"/>
    <x v="1362"/>
    <x v="7"/>
    <d v="2022-07-02T00:00:00"/>
    <x v="4"/>
    <x v="5"/>
    <x v="0"/>
    <x v="3"/>
    <x v="1"/>
    <x v="596"/>
    <d v="2022-09-18T00:00:00"/>
    <m/>
    <n v="144"/>
    <n v="168"/>
    <x v="0"/>
  </r>
  <r>
    <n v="1367"/>
    <s v="Ronald Miller"/>
    <x v="1363"/>
    <x v="7"/>
    <d v="2021-08-17T00:00:00"/>
    <x v="4"/>
    <x v="5"/>
    <x v="1"/>
    <x v="2"/>
    <x v="1"/>
    <x v="315"/>
    <d v="2022-08-05T00:00:00"/>
    <n v="4"/>
    <n v="72"/>
    <n v="120"/>
    <x v="0"/>
  </r>
  <r>
    <n v="1368"/>
    <s v="Andrew Harris"/>
    <x v="1364"/>
    <x v="13"/>
    <d v="2021-04-19T00:00:00"/>
    <x v="1"/>
    <x v="11"/>
    <x v="1"/>
    <x v="2"/>
    <x v="2"/>
    <x v="629"/>
    <d v="2021-05-27T00:00:00"/>
    <m/>
    <n v="144"/>
    <n v="120"/>
    <x v="1"/>
  </r>
  <r>
    <n v="1369"/>
    <s v="Phillip Pineda"/>
    <x v="1365"/>
    <x v="13"/>
    <d v="2023-03-22T00:00:00"/>
    <x v="0"/>
    <x v="4"/>
    <x v="1"/>
    <x v="2"/>
    <x v="1"/>
    <x v="211"/>
    <d v="2023-08-14T00:00:00"/>
    <n v="3"/>
    <n v="48"/>
    <n v="120"/>
    <x v="0"/>
  </r>
  <r>
    <n v="1370"/>
    <s v="Nicholas Howell"/>
    <x v="1366"/>
    <x v="1"/>
    <d v="2020-06-18T00:00:00"/>
    <x v="3"/>
    <x v="1"/>
    <x v="0"/>
    <x v="3"/>
    <x v="3"/>
    <x v="862"/>
    <d v="2021-05-03T00:00:00"/>
    <m/>
    <n v="168"/>
    <n v="168"/>
    <x v="0"/>
  </r>
  <r>
    <n v="1371"/>
    <s v="Tiffany Randolph"/>
    <x v="1367"/>
    <x v="6"/>
    <d v="2022-06-08T00:00:00"/>
    <x v="3"/>
    <x v="9"/>
    <x v="2"/>
    <x v="2"/>
    <x v="0"/>
    <x v="200"/>
    <d v="2023-04-27T00:00:00"/>
    <n v="4"/>
    <n v="96"/>
    <n v="120"/>
    <x v="0"/>
  </r>
  <r>
    <n v="1372"/>
    <s v="Patricia Green"/>
    <x v="1368"/>
    <x v="10"/>
    <d v="2020-01-24T00:00:00"/>
    <x v="1"/>
    <x v="14"/>
    <x v="1"/>
    <x v="2"/>
    <x v="1"/>
    <x v="368"/>
    <d v="2020-06-17T00:00:00"/>
    <n v="4"/>
    <n v="96"/>
    <n v="120"/>
    <x v="0"/>
  </r>
  <r>
    <n v="1373"/>
    <s v="Michael Hill"/>
    <x v="1369"/>
    <x v="12"/>
    <d v="2021-09-04T00:00:00"/>
    <x v="4"/>
    <x v="4"/>
    <x v="3"/>
    <x v="3"/>
    <x v="1"/>
    <x v="314"/>
    <d v="2021-11-28T00:00:00"/>
    <m/>
    <n v="264"/>
    <n v="168"/>
    <x v="1"/>
  </r>
  <r>
    <n v="1374"/>
    <s v="Donald Adams"/>
    <x v="1370"/>
    <x v="0"/>
    <d v="2021-04-21T00:00:00"/>
    <x v="2"/>
    <x v="13"/>
    <x v="1"/>
    <x v="3"/>
    <x v="0"/>
    <x v="863"/>
    <d v="2021-09-21T00:00:00"/>
    <n v="3"/>
    <n v="48"/>
    <n v="168"/>
    <x v="0"/>
  </r>
  <r>
    <n v="1375"/>
    <s v="Erica Baker"/>
    <x v="1371"/>
    <x v="8"/>
    <d v="2021-12-25T00:00:00"/>
    <x v="2"/>
    <x v="6"/>
    <x v="3"/>
    <x v="0"/>
    <x v="1"/>
    <x v="864"/>
    <d v="2022-05-27T00:00:00"/>
    <m/>
    <n v="24"/>
    <n v="48"/>
    <x v="0"/>
  </r>
  <r>
    <n v="1376"/>
    <s v="Ian Little"/>
    <x v="1372"/>
    <x v="6"/>
    <d v="2021-03-05T00:00:00"/>
    <x v="1"/>
    <x v="3"/>
    <x v="1"/>
    <x v="2"/>
    <x v="1"/>
    <x v="77"/>
    <d v="2021-10-20T00:00:00"/>
    <n v="4"/>
    <n v="24"/>
    <n v="120"/>
    <x v="0"/>
  </r>
  <r>
    <n v="1377"/>
    <s v="Kristen Ashley"/>
    <x v="1373"/>
    <x v="5"/>
    <d v="2021-02-07T00:00:00"/>
    <x v="0"/>
    <x v="9"/>
    <x v="0"/>
    <x v="0"/>
    <x v="2"/>
    <x v="502"/>
    <d v="2021-07-05T00:00:00"/>
    <m/>
    <n v="72"/>
    <n v="48"/>
    <x v="1"/>
  </r>
  <r>
    <n v="1378"/>
    <s v="Bethany Mccoy"/>
    <x v="1374"/>
    <x v="2"/>
    <d v="2020-06-26T00:00:00"/>
    <x v="1"/>
    <x v="7"/>
    <x v="1"/>
    <x v="3"/>
    <x v="1"/>
    <x v="474"/>
    <d v="2020-09-13T00:00:00"/>
    <n v="4"/>
    <n v="168"/>
    <n v="168"/>
    <x v="0"/>
  </r>
  <r>
    <n v="1379"/>
    <s v="Cathy Hunter"/>
    <x v="1375"/>
    <x v="15"/>
    <d v="2023-01-19T00:00:00"/>
    <x v="4"/>
    <x v="9"/>
    <x v="1"/>
    <x v="2"/>
    <x v="0"/>
    <x v="865"/>
    <d v="2023-12-15T00:00:00"/>
    <n v="4"/>
    <n v="24"/>
    <n v="120"/>
    <x v="0"/>
  </r>
  <r>
    <n v="1380"/>
    <s v="Trevor Braun"/>
    <x v="1376"/>
    <x v="9"/>
    <d v="2020-03-10T00:00:00"/>
    <x v="1"/>
    <x v="0"/>
    <x v="3"/>
    <x v="2"/>
    <x v="2"/>
    <x v="817"/>
    <d v="2020-05-23T00:00:00"/>
    <m/>
    <n v="72"/>
    <n v="120"/>
    <x v="0"/>
  </r>
  <r>
    <n v="1381"/>
    <s v="Hannah Jones"/>
    <x v="1377"/>
    <x v="16"/>
    <d v="2020-11-12T00:00:00"/>
    <x v="4"/>
    <x v="2"/>
    <x v="1"/>
    <x v="2"/>
    <x v="1"/>
    <x v="205"/>
    <d v="2021-05-09T00:00:00"/>
    <n v="5"/>
    <n v="72"/>
    <n v="120"/>
    <x v="0"/>
  </r>
  <r>
    <n v="1382"/>
    <s v="Jacob Carson"/>
    <x v="1378"/>
    <x v="10"/>
    <d v="2020-08-10T00:00:00"/>
    <x v="3"/>
    <x v="8"/>
    <x v="1"/>
    <x v="3"/>
    <x v="3"/>
    <x v="536"/>
    <d v="2021-04-04T00:00:00"/>
    <n v="3"/>
    <n v="192"/>
    <n v="168"/>
    <x v="1"/>
  </r>
  <r>
    <n v="1383"/>
    <s v="Lawrence Ward"/>
    <x v="1379"/>
    <x v="14"/>
    <d v="2021-04-01T00:00:00"/>
    <x v="1"/>
    <x v="1"/>
    <x v="3"/>
    <x v="0"/>
    <x v="3"/>
    <x v="866"/>
    <d v="2021-12-04T00:00:00"/>
    <m/>
    <n v="48"/>
    <n v="48"/>
    <x v="0"/>
  </r>
  <r>
    <n v="1384"/>
    <s v="Caitlin Williams"/>
    <x v="1380"/>
    <x v="17"/>
    <d v="2020-11-24T00:00:00"/>
    <x v="4"/>
    <x v="7"/>
    <x v="1"/>
    <x v="2"/>
    <x v="1"/>
    <x v="213"/>
    <d v="2020-12-07T00:00:00"/>
    <n v="5"/>
    <n v="96"/>
    <n v="120"/>
    <x v="0"/>
  </r>
  <r>
    <n v="1385"/>
    <s v="Kayla Norman"/>
    <x v="1381"/>
    <x v="14"/>
    <d v="2022-10-17T00:00:00"/>
    <x v="2"/>
    <x v="3"/>
    <x v="1"/>
    <x v="2"/>
    <x v="0"/>
    <x v="217"/>
    <d v="2023-08-17T00:00:00"/>
    <n v="3"/>
    <n v="144"/>
    <n v="120"/>
    <x v="1"/>
  </r>
  <r>
    <n v="1386"/>
    <s v="Jane Cuevas"/>
    <x v="1382"/>
    <x v="8"/>
    <d v="2022-05-28T00:00:00"/>
    <x v="0"/>
    <x v="10"/>
    <x v="1"/>
    <x v="2"/>
    <x v="1"/>
    <x v="428"/>
    <d v="2023-04-16T00:00:00"/>
    <n v="3"/>
    <n v="48"/>
    <n v="120"/>
    <x v="0"/>
  </r>
  <r>
    <n v="1387"/>
    <s v="Laura Kelley"/>
    <x v="1383"/>
    <x v="4"/>
    <d v="2023-05-24T00:00:00"/>
    <x v="2"/>
    <x v="3"/>
    <x v="2"/>
    <x v="3"/>
    <x v="3"/>
    <x v="867"/>
    <d v="2023-10-10T00:00:00"/>
    <n v="4"/>
    <n v="144"/>
    <n v="168"/>
    <x v="0"/>
  </r>
  <r>
    <n v="1388"/>
    <s v="John Warren"/>
    <x v="1384"/>
    <x v="15"/>
    <d v="2021-03-31T00:00:00"/>
    <x v="4"/>
    <x v="4"/>
    <x v="1"/>
    <x v="3"/>
    <x v="0"/>
    <x v="126"/>
    <d v="2021-10-24T00:00:00"/>
    <n v="4"/>
    <n v="216"/>
    <n v="168"/>
    <x v="1"/>
  </r>
  <r>
    <n v="1389"/>
    <s v="Erin Lloyd"/>
    <x v="1385"/>
    <x v="7"/>
    <d v="2021-01-09T00:00:00"/>
    <x v="3"/>
    <x v="10"/>
    <x v="3"/>
    <x v="2"/>
    <x v="1"/>
    <x v="631"/>
    <d v="2021-07-15T00:00:00"/>
    <m/>
    <n v="72"/>
    <n v="120"/>
    <x v="0"/>
  </r>
  <r>
    <n v="1390"/>
    <s v="Tyler Ortiz"/>
    <x v="1386"/>
    <x v="8"/>
    <d v="2022-10-11T00:00:00"/>
    <x v="2"/>
    <x v="7"/>
    <x v="1"/>
    <x v="3"/>
    <x v="1"/>
    <x v="371"/>
    <d v="2023-02-05T00:00:00"/>
    <n v="3"/>
    <n v="168"/>
    <n v="168"/>
    <x v="0"/>
  </r>
  <r>
    <n v="1391"/>
    <s v="Mr. Richard Hall"/>
    <x v="1387"/>
    <x v="13"/>
    <d v="2022-11-13T00:00:00"/>
    <x v="3"/>
    <x v="14"/>
    <x v="1"/>
    <x v="2"/>
    <x v="3"/>
    <x v="246"/>
    <d v="2023-07-23T00:00:00"/>
    <n v="3"/>
    <n v="168"/>
    <n v="120"/>
    <x v="1"/>
  </r>
  <r>
    <n v="1392"/>
    <s v="Brenda Green"/>
    <x v="1388"/>
    <x v="15"/>
    <d v="2021-10-16T00:00:00"/>
    <x v="3"/>
    <x v="5"/>
    <x v="1"/>
    <x v="3"/>
    <x v="1"/>
    <x v="757"/>
    <d v="2021-10-28T00:00:00"/>
    <n v="5"/>
    <n v="168"/>
    <n v="168"/>
    <x v="0"/>
  </r>
  <r>
    <n v="1393"/>
    <s v="Brittany Snyder"/>
    <x v="1389"/>
    <x v="10"/>
    <d v="2020-09-16T00:00:00"/>
    <x v="3"/>
    <x v="10"/>
    <x v="1"/>
    <x v="2"/>
    <x v="1"/>
    <x v="17"/>
    <d v="2021-04-24T00:00:00"/>
    <n v="4"/>
    <n v="96"/>
    <n v="120"/>
    <x v="0"/>
  </r>
  <r>
    <n v="1394"/>
    <s v="Dennis Spencer"/>
    <x v="1390"/>
    <x v="5"/>
    <d v="2021-11-01T00:00:00"/>
    <x v="4"/>
    <x v="8"/>
    <x v="3"/>
    <x v="2"/>
    <x v="2"/>
    <x v="868"/>
    <d v="2022-02-16T00:00:00"/>
    <m/>
    <n v="72"/>
    <n v="120"/>
    <x v="0"/>
  </r>
  <r>
    <n v="1395"/>
    <s v="Christopher Jones"/>
    <x v="1391"/>
    <x v="0"/>
    <d v="2021-09-16T00:00:00"/>
    <x v="0"/>
    <x v="9"/>
    <x v="1"/>
    <x v="2"/>
    <x v="1"/>
    <x v="103"/>
    <d v="2021-11-02T00:00:00"/>
    <n v="5"/>
    <n v="72"/>
    <n v="120"/>
    <x v="0"/>
  </r>
  <r>
    <n v="1396"/>
    <s v="Dana Carter"/>
    <x v="1392"/>
    <x v="6"/>
    <d v="2022-08-15T00:00:00"/>
    <x v="3"/>
    <x v="7"/>
    <x v="3"/>
    <x v="3"/>
    <x v="1"/>
    <x v="100"/>
    <d v="2022-12-03T00:00:00"/>
    <m/>
    <n v="0"/>
    <n v="168"/>
    <x v="0"/>
  </r>
  <r>
    <n v="1397"/>
    <s v="Nathan Jones"/>
    <x v="1393"/>
    <x v="15"/>
    <d v="2021-11-07T00:00:00"/>
    <x v="3"/>
    <x v="11"/>
    <x v="1"/>
    <x v="3"/>
    <x v="0"/>
    <x v="869"/>
    <d v="2022-10-20T00:00:00"/>
    <n v="3"/>
    <n v="264"/>
    <n v="168"/>
    <x v="1"/>
  </r>
  <r>
    <n v="1398"/>
    <s v="John Taylor"/>
    <x v="1394"/>
    <x v="10"/>
    <d v="2020-05-10T00:00:00"/>
    <x v="2"/>
    <x v="2"/>
    <x v="0"/>
    <x v="3"/>
    <x v="3"/>
    <x v="635"/>
    <d v="2020-09-13T00:00:00"/>
    <m/>
    <n v="144"/>
    <n v="168"/>
    <x v="0"/>
  </r>
  <r>
    <n v="1399"/>
    <s v="Adam Watkins"/>
    <x v="1395"/>
    <x v="13"/>
    <d v="2022-03-01T00:00:00"/>
    <x v="2"/>
    <x v="2"/>
    <x v="0"/>
    <x v="3"/>
    <x v="1"/>
    <x v="236"/>
    <d v="2022-07-02T00:00:00"/>
    <m/>
    <n v="120"/>
    <n v="168"/>
    <x v="0"/>
  </r>
  <r>
    <n v="1400"/>
    <s v="Diana Mejia"/>
    <x v="1396"/>
    <x v="3"/>
    <d v="2022-03-15T00:00:00"/>
    <x v="1"/>
    <x v="1"/>
    <x v="0"/>
    <x v="2"/>
    <x v="0"/>
    <x v="197"/>
    <d v="2022-09-26T00:00:00"/>
    <m/>
    <n v="96"/>
    <n v="120"/>
    <x v="0"/>
  </r>
  <r>
    <n v="1401"/>
    <s v="Lauren Anthony"/>
    <x v="1397"/>
    <x v="3"/>
    <d v="2023-03-22T00:00:00"/>
    <x v="2"/>
    <x v="11"/>
    <x v="3"/>
    <x v="2"/>
    <x v="0"/>
    <x v="675"/>
    <d v="2024-01-14T00:00:00"/>
    <m/>
    <n v="24"/>
    <n v="120"/>
    <x v="0"/>
  </r>
  <r>
    <n v="1402"/>
    <s v="Charles Cervantes"/>
    <x v="1398"/>
    <x v="12"/>
    <d v="2021-05-03T00:00:00"/>
    <x v="2"/>
    <x v="9"/>
    <x v="1"/>
    <x v="2"/>
    <x v="1"/>
    <x v="764"/>
    <d v="2021-12-01T00:00:00"/>
    <n v="5"/>
    <n v="96"/>
    <n v="120"/>
    <x v="0"/>
  </r>
  <r>
    <n v="1403"/>
    <s v="Dustin Wilson"/>
    <x v="1399"/>
    <x v="3"/>
    <d v="2021-02-07T00:00:00"/>
    <x v="4"/>
    <x v="14"/>
    <x v="0"/>
    <x v="3"/>
    <x v="1"/>
    <x v="34"/>
    <d v="2021-03-03T00:00:00"/>
    <m/>
    <n v="72"/>
    <n v="168"/>
    <x v="0"/>
  </r>
  <r>
    <n v="1404"/>
    <s v="Nicole Middleton DDS"/>
    <x v="1400"/>
    <x v="1"/>
    <d v="2023-03-18T00:00:00"/>
    <x v="0"/>
    <x v="2"/>
    <x v="3"/>
    <x v="3"/>
    <x v="2"/>
    <x v="158"/>
    <d v="2023-06-05T00:00:00"/>
    <m/>
    <n v="168"/>
    <n v="168"/>
    <x v="0"/>
  </r>
  <r>
    <n v="1405"/>
    <s v="Kyle Williams"/>
    <x v="1401"/>
    <x v="15"/>
    <d v="2021-07-28T00:00:00"/>
    <x v="1"/>
    <x v="9"/>
    <x v="1"/>
    <x v="1"/>
    <x v="1"/>
    <x v="574"/>
    <d v="2022-04-20T00:00:00"/>
    <n v="4"/>
    <n v="0"/>
    <n v="24"/>
    <x v="0"/>
  </r>
  <r>
    <n v="1406"/>
    <s v="Tom Duncan"/>
    <x v="1402"/>
    <x v="2"/>
    <d v="2020-06-19T00:00:00"/>
    <x v="3"/>
    <x v="3"/>
    <x v="1"/>
    <x v="2"/>
    <x v="1"/>
    <x v="253"/>
    <d v="2021-03-30T00:00:00"/>
    <n v="3"/>
    <n v="96"/>
    <n v="120"/>
    <x v="0"/>
  </r>
  <r>
    <n v="1407"/>
    <s v="Tamara Wilson"/>
    <x v="1403"/>
    <x v="5"/>
    <d v="2021-03-08T00:00:00"/>
    <x v="0"/>
    <x v="6"/>
    <x v="0"/>
    <x v="3"/>
    <x v="0"/>
    <x v="870"/>
    <d v="2021-06-03T00:00:00"/>
    <m/>
    <n v="192"/>
    <n v="168"/>
    <x v="1"/>
  </r>
  <r>
    <n v="1408"/>
    <s v="Audrey Gomez"/>
    <x v="1404"/>
    <x v="0"/>
    <d v="2021-05-23T00:00:00"/>
    <x v="0"/>
    <x v="11"/>
    <x v="1"/>
    <x v="0"/>
    <x v="0"/>
    <x v="871"/>
    <d v="2022-02-03T00:00:00"/>
    <n v="4"/>
    <n v="72"/>
    <n v="48"/>
    <x v="1"/>
  </r>
  <r>
    <n v="1409"/>
    <s v="George Chavez"/>
    <x v="1405"/>
    <x v="10"/>
    <d v="2021-11-04T00:00:00"/>
    <x v="2"/>
    <x v="0"/>
    <x v="1"/>
    <x v="2"/>
    <x v="1"/>
    <x v="872"/>
    <d v="2021-11-21T00:00:00"/>
    <n v="3"/>
    <n v="120"/>
    <n v="120"/>
    <x v="0"/>
  </r>
  <r>
    <n v="1410"/>
    <s v="Michael Boyd"/>
    <x v="1406"/>
    <x v="2"/>
    <d v="2020-02-25T00:00:00"/>
    <x v="0"/>
    <x v="4"/>
    <x v="1"/>
    <x v="3"/>
    <x v="1"/>
    <x v="873"/>
    <d v="2021-02-01T00:00:00"/>
    <n v="4"/>
    <n v="96"/>
    <n v="168"/>
    <x v="0"/>
  </r>
  <r>
    <n v="1411"/>
    <s v="Lori Sanchez"/>
    <x v="1407"/>
    <x v="1"/>
    <d v="2020-10-30T00:00:00"/>
    <x v="2"/>
    <x v="6"/>
    <x v="1"/>
    <x v="3"/>
    <x v="3"/>
    <x v="874"/>
    <d v="2020-12-01T00:00:00"/>
    <n v="4"/>
    <n v="264"/>
    <n v="168"/>
    <x v="1"/>
  </r>
  <r>
    <n v="1412"/>
    <s v="Christian Cervantes"/>
    <x v="1408"/>
    <x v="0"/>
    <d v="2020-05-17T00:00:00"/>
    <x v="3"/>
    <x v="9"/>
    <x v="1"/>
    <x v="2"/>
    <x v="1"/>
    <x v="192"/>
    <d v="2020-12-22T00:00:00"/>
    <n v="4"/>
    <n v="72"/>
    <n v="120"/>
    <x v="0"/>
  </r>
  <r>
    <n v="1413"/>
    <s v="Shannon Curry"/>
    <x v="1409"/>
    <x v="9"/>
    <d v="2020-11-19T00:00:00"/>
    <x v="2"/>
    <x v="13"/>
    <x v="1"/>
    <x v="0"/>
    <x v="1"/>
    <x v="623"/>
    <d v="2021-07-20T00:00:00"/>
    <n v="4"/>
    <n v="0"/>
    <n v="48"/>
    <x v="0"/>
  </r>
  <r>
    <n v="1414"/>
    <s v="Amanda Watts"/>
    <x v="1410"/>
    <x v="13"/>
    <d v="2021-06-25T00:00:00"/>
    <x v="4"/>
    <x v="7"/>
    <x v="1"/>
    <x v="2"/>
    <x v="1"/>
    <x v="631"/>
    <d v="2021-07-17T00:00:00"/>
    <m/>
    <n v="120"/>
    <n v="120"/>
    <x v="0"/>
  </r>
  <r>
    <n v="1415"/>
    <s v="Mr. Christopher Evans"/>
    <x v="1411"/>
    <x v="8"/>
    <d v="2023-05-22T00:00:00"/>
    <x v="3"/>
    <x v="10"/>
    <x v="1"/>
    <x v="2"/>
    <x v="2"/>
    <x v="875"/>
    <d v="2024-02-08T00:00:00"/>
    <n v="4"/>
    <n v="72"/>
    <n v="120"/>
    <x v="0"/>
  </r>
  <r>
    <n v="1416"/>
    <s v="Linda Daniels"/>
    <x v="1412"/>
    <x v="18"/>
    <d v="2021-11-25T00:00:00"/>
    <x v="2"/>
    <x v="0"/>
    <x v="0"/>
    <x v="2"/>
    <x v="3"/>
    <x v="39"/>
    <d v="2022-08-07T00:00:00"/>
    <m/>
    <n v="96"/>
    <n v="120"/>
    <x v="0"/>
  </r>
  <r>
    <n v="1417"/>
    <s v="Matthew Wilson"/>
    <x v="1413"/>
    <x v="6"/>
    <d v="2021-06-23T00:00:00"/>
    <x v="1"/>
    <x v="14"/>
    <x v="0"/>
    <x v="2"/>
    <x v="1"/>
    <x v="478"/>
    <d v="2021-08-10T00:00:00"/>
    <m/>
    <n v="216"/>
    <n v="120"/>
    <x v="1"/>
  </r>
  <r>
    <n v="1418"/>
    <s v="Michele Ayala"/>
    <x v="1414"/>
    <x v="1"/>
    <d v="2021-10-02T00:00:00"/>
    <x v="0"/>
    <x v="7"/>
    <x v="1"/>
    <x v="2"/>
    <x v="1"/>
    <x v="740"/>
    <d v="2022-06-14T00:00:00"/>
    <n v="5"/>
    <n v="72"/>
    <n v="120"/>
    <x v="0"/>
  </r>
  <r>
    <n v="1419"/>
    <s v="Alyssa Adams"/>
    <x v="1415"/>
    <x v="13"/>
    <d v="2022-05-23T00:00:00"/>
    <x v="2"/>
    <x v="9"/>
    <x v="1"/>
    <x v="2"/>
    <x v="3"/>
    <x v="876"/>
    <d v="2022-11-29T00:00:00"/>
    <n v="4"/>
    <n v="72"/>
    <n v="120"/>
    <x v="0"/>
  </r>
  <r>
    <n v="1420"/>
    <s v="Deborah Stewart"/>
    <x v="1416"/>
    <x v="16"/>
    <d v="2021-02-08T00:00:00"/>
    <x v="0"/>
    <x v="4"/>
    <x v="1"/>
    <x v="1"/>
    <x v="3"/>
    <x v="242"/>
    <d v="2021-11-20T00:00:00"/>
    <n v="5"/>
    <n v="0"/>
    <n v="24"/>
    <x v="0"/>
  </r>
  <r>
    <n v="1421"/>
    <s v="Debra Chandler"/>
    <x v="1417"/>
    <x v="6"/>
    <d v="2021-09-28T00:00:00"/>
    <x v="0"/>
    <x v="10"/>
    <x v="1"/>
    <x v="0"/>
    <x v="3"/>
    <x v="877"/>
    <d v="2021-11-29T00:00:00"/>
    <n v="3"/>
    <n v="24"/>
    <n v="48"/>
    <x v="0"/>
  </r>
  <r>
    <n v="1422"/>
    <s v="Shawn Herrera"/>
    <x v="1418"/>
    <x v="3"/>
    <d v="2020-07-19T00:00:00"/>
    <x v="2"/>
    <x v="8"/>
    <x v="0"/>
    <x v="2"/>
    <x v="1"/>
    <x v="878"/>
    <d v="2021-05-19T00:00:00"/>
    <m/>
    <n v="144"/>
    <n v="120"/>
    <x v="1"/>
  </r>
  <r>
    <n v="1423"/>
    <s v="Alicia Bowen"/>
    <x v="1419"/>
    <x v="2"/>
    <d v="2021-07-01T00:00:00"/>
    <x v="4"/>
    <x v="5"/>
    <x v="1"/>
    <x v="1"/>
    <x v="1"/>
    <x v="144"/>
    <d v="2021-08-01T00:00:00"/>
    <m/>
    <n v="24"/>
    <n v="24"/>
    <x v="0"/>
  </r>
  <r>
    <n v="1424"/>
    <s v="Kristen Pena"/>
    <x v="1420"/>
    <x v="13"/>
    <d v="2022-04-12T00:00:00"/>
    <x v="0"/>
    <x v="14"/>
    <x v="0"/>
    <x v="2"/>
    <x v="1"/>
    <x v="879"/>
    <d v="2022-08-02T00:00:00"/>
    <m/>
    <n v="72"/>
    <n v="120"/>
    <x v="0"/>
  </r>
  <r>
    <n v="1425"/>
    <s v="Mitchell Roberts"/>
    <x v="1421"/>
    <x v="9"/>
    <d v="2022-05-08T00:00:00"/>
    <x v="3"/>
    <x v="7"/>
    <x v="1"/>
    <x v="3"/>
    <x v="2"/>
    <x v="542"/>
    <d v="2022-07-22T00:00:00"/>
    <n v="5"/>
    <n v="24"/>
    <n v="168"/>
    <x v="0"/>
  </r>
  <r>
    <n v="1426"/>
    <s v="Teresa Johnson"/>
    <x v="1422"/>
    <x v="16"/>
    <d v="2021-09-10T00:00:00"/>
    <x v="1"/>
    <x v="6"/>
    <x v="0"/>
    <x v="0"/>
    <x v="1"/>
    <x v="880"/>
    <d v="2022-07-28T00:00:00"/>
    <m/>
    <n v="24"/>
    <n v="48"/>
    <x v="0"/>
  </r>
  <r>
    <n v="1427"/>
    <s v="Amanda Campbell"/>
    <x v="1423"/>
    <x v="17"/>
    <d v="2020-02-22T00:00:00"/>
    <x v="4"/>
    <x v="9"/>
    <x v="3"/>
    <x v="3"/>
    <x v="1"/>
    <x v="586"/>
    <d v="2020-03-16T00:00:00"/>
    <m/>
    <n v="216"/>
    <n v="168"/>
    <x v="1"/>
  </r>
  <r>
    <n v="1428"/>
    <s v="Caleb Bowers"/>
    <x v="1424"/>
    <x v="18"/>
    <d v="2020-05-11T00:00:00"/>
    <x v="2"/>
    <x v="7"/>
    <x v="1"/>
    <x v="3"/>
    <x v="0"/>
    <x v="592"/>
    <d v="2020-12-06T00:00:00"/>
    <n v="5"/>
    <n v="24"/>
    <n v="168"/>
    <x v="0"/>
  </r>
  <r>
    <n v="1429"/>
    <s v="Jonathan Warner"/>
    <x v="1425"/>
    <x v="9"/>
    <d v="2022-07-28T00:00:00"/>
    <x v="2"/>
    <x v="11"/>
    <x v="1"/>
    <x v="3"/>
    <x v="1"/>
    <x v="21"/>
    <d v="2023-05-14T00:00:00"/>
    <n v="5"/>
    <n v="72"/>
    <n v="168"/>
    <x v="0"/>
  </r>
  <r>
    <n v="1430"/>
    <s v="Anna Chapman"/>
    <x v="1426"/>
    <x v="4"/>
    <d v="2023-05-04T00:00:00"/>
    <x v="0"/>
    <x v="13"/>
    <x v="1"/>
    <x v="2"/>
    <x v="3"/>
    <x v="375"/>
    <d v="2023-10-10T00:00:00"/>
    <n v="3"/>
    <n v="96"/>
    <n v="120"/>
    <x v="0"/>
  </r>
  <r>
    <n v="1431"/>
    <s v="Jose Johnson"/>
    <x v="1427"/>
    <x v="1"/>
    <d v="2022-06-14T00:00:00"/>
    <x v="1"/>
    <x v="11"/>
    <x v="1"/>
    <x v="0"/>
    <x v="3"/>
    <x v="390"/>
    <d v="2022-08-24T00:00:00"/>
    <n v="5"/>
    <n v="24"/>
    <n v="48"/>
    <x v="0"/>
  </r>
  <r>
    <n v="1432"/>
    <s v="Eddie Davis"/>
    <x v="1428"/>
    <x v="11"/>
    <d v="2022-12-27T00:00:00"/>
    <x v="1"/>
    <x v="3"/>
    <x v="1"/>
    <x v="0"/>
    <x v="1"/>
    <x v="881"/>
    <d v="2023-05-25T00:00:00"/>
    <n v="4"/>
    <n v="48"/>
    <n v="48"/>
    <x v="0"/>
  </r>
  <r>
    <n v="1433"/>
    <s v="Dana Smith"/>
    <x v="1429"/>
    <x v="18"/>
    <d v="2023-01-15T00:00:00"/>
    <x v="4"/>
    <x v="6"/>
    <x v="3"/>
    <x v="2"/>
    <x v="2"/>
    <x v="882"/>
    <d v="2024-01-03T00:00:00"/>
    <m/>
    <n v="168"/>
    <n v="120"/>
    <x v="1"/>
  </r>
  <r>
    <n v="1434"/>
    <s v="Danny Hester"/>
    <x v="1430"/>
    <x v="7"/>
    <d v="2022-01-10T00:00:00"/>
    <x v="4"/>
    <x v="0"/>
    <x v="3"/>
    <x v="2"/>
    <x v="3"/>
    <x v="219"/>
    <d v="2022-04-18T00:00:00"/>
    <m/>
    <n v="24"/>
    <n v="120"/>
    <x v="0"/>
  </r>
  <r>
    <n v="1435"/>
    <s v="Maria Cook"/>
    <x v="1431"/>
    <x v="7"/>
    <d v="2022-07-10T00:00:00"/>
    <x v="1"/>
    <x v="3"/>
    <x v="3"/>
    <x v="2"/>
    <x v="0"/>
    <x v="372"/>
    <d v="2023-06-07T00:00:00"/>
    <m/>
    <n v="144"/>
    <n v="120"/>
    <x v="1"/>
  </r>
  <r>
    <n v="1436"/>
    <s v="Charles Jensen"/>
    <x v="1432"/>
    <x v="17"/>
    <d v="2020-04-01T00:00:00"/>
    <x v="3"/>
    <x v="1"/>
    <x v="1"/>
    <x v="3"/>
    <x v="1"/>
    <x v="883"/>
    <d v="2020-12-11T00:00:00"/>
    <n v="3"/>
    <n v="168"/>
    <n v="168"/>
    <x v="0"/>
  </r>
  <r>
    <n v="1437"/>
    <s v="Darlene Collins"/>
    <x v="1433"/>
    <x v="17"/>
    <d v="2022-05-28T00:00:00"/>
    <x v="1"/>
    <x v="2"/>
    <x v="2"/>
    <x v="3"/>
    <x v="3"/>
    <x v="163"/>
    <d v="2022-06-01T00:00:00"/>
    <n v="4"/>
    <n v="72"/>
    <n v="168"/>
    <x v="0"/>
  </r>
  <r>
    <n v="1438"/>
    <s v="Shelby Adams"/>
    <x v="1434"/>
    <x v="10"/>
    <d v="2022-02-15T00:00:00"/>
    <x v="3"/>
    <x v="12"/>
    <x v="1"/>
    <x v="2"/>
    <x v="1"/>
    <x v="884"/>
    <d v="2022-07-06T00:00:00"/>
    <n v="4"/>
    <n v="120"/>
    <n v="120"/>
    <x v="0"/>
  </r>
  <r>
    <n v="1439"/>
    <s v="Matthew Morris"/>
    <x v="1435"/>
    <x v="2"/>
    <d v="2020-05-06T00:00:00"/>
    <x v="2"/>
    <x v="3"/>
    <x v="1"/>
    <x v="0"/>
    <x v="1"/>
    <x v="885"/>
    <d v="2020-06-05T00:00:00"/>
    <n v="3"/>
    <n v="72"/>
    <n v="48"/>
    <x v="1"/>
  </r>
  <r>
    <n v="1440"/>
    <s v="Jessica Jones"/>
    <x v="1436"/>
    <x v="1"/>
    <d v="2020-07-07T00:00:00"/>
    <x v="0"/>
    <x v="7"/>
    <x v="1"/>
    <x v="2"/>
    <x v="1"/>
    <x v="84"/>
    <d v="2020-08-09T00:00:00"/>
    <n v="3"/>
    <n v="72"/>
    <n v="120"/>
    <x v="0"/>
  </r>
  <r>
    <n v="1441"/>
    <s v="Jeffrey Stanton"/>
    <x v="1437"/>
    <x v="11"/>
    <d v="2022-03-25T00:00:00"/>
    <x v="2"/>
    <x v="3"/>
    <x v="3"/>
    <x v="0"/>
    <x v="1"/>
    <x v="683"/>
    <d v="2023-01-03T00:00:00"/>
    <m/>
    <n v="48"/>
    <n v="48"/>
    <x v="0"/>
  </r>
  <r>
    <n v="1442"/>
    <s v="Dr. Joshua Ross"/>
    <x v="1438"/>
    <x v="12"/>
    <d v="2021-05-15T00:00:00"/>
    <x v="3"/>
    <x v="0"/>
    <x v="2"/>
    <x v="0"/>
    <x v="0"/>
    <x v="729"/>
    <d v="2022-03-28T00:00:00"/>
    <n v="4"/>
    <n v="48"/>
    <n v="48"/>
    <x v="0"/>
  </r>
  <r>
    <n v="1443"/>
    <s v="Jacqueline Santos"/>
    <x v="1439"/>
    <x v="16"/>
    <d v="2023-01-14T00:00:00"/>
    <x v="1"/>
    <x v="1"/>
    <x v="1"/>
    <x v="2"/>
    <x v="1"/>
    <x v="886"/>
    <d v="2023-05-07T00:00:00"/>
    <n v="4"/>
    <n v="0"/>
    <n v="120"/>
    <x v="0"/>
  </r>
  <r>
    <n v="1444"/>
    <s v="Larry Kennedy"/>
    <x v="1440"/>
    <x v="17"/>
    <d v="2020-07-29T00:00:00"/>
    <x v="2"/>
    <x v="14"/>
    <x v="1"/>
    <x v="0"/>
    <x v="0"/>
    <x v="887"/>
    <d v="2021-03-16T00:00:00"/>
    <n v="4"/>
    <n v="48"/>
    <n v="48"/>
    <x v="0"/>
  </r>
  <r>
    <n v="1445"/>
    <s v="Mike Wells"/>
    <x v="1441"/>
    <x v="17"/>
    <d v="2020-01-09T00:00:00"/>
    <x v="1"/>
    <x v="8"/>
    <x v="3"/>
    <x v="2"/>
    <x v="3"/>
    <x v="888"/>
    <d v="2020-01-25T00:00:00"/>
    <m/>
    <n v="120"/>
    <n v="120"/>
    <x v="0"/>
  </r>
  <r>
    <n v="1446"/>
    <s v="Cody Benson"/>
    <x v="1442"/>
    <x v="13"/>
    <d v="2021-12-29T00:00:00"/>
    <x v="2"/>
    <x v="12"/>
    <x v="1"/>
    <x v="3"/>
    <x v="3"/>
    <x v="454"/>
    <d v="2022-09-18T00:00:00"/>
    <n v="5"/>
    <n v="96"/>
    <n v="168"/>
    <x v="0"/>
  </r>
  <r>
    <n v="1447"/>
    <s v="Andrea Fields"/>
    <x v="1443"/>
    <x v="10"/>
    <d v="2021-03-02T00:00:00"/>
    <x v="2"/>
    <x v="8"/>
    <x v="1"/>
    <x v="2"/>
    <x v="3"/>
    <x v="74"/>
    <d v="2021-06-26T00:00:00"/>
    <n v="3"/>
    <n v="120"/>
    <n v="120"/>
    <x v="0"/>
  </r>
  <r>
    <n v="1448"/>
    <s v="Thomas Simmons"/>
    <x v="1444"/>
    <x v="1"/>
    <d v="2022-04-20T00:00:00"/>
    <x v="1"/>
    <x v="1"/>
    <x v="0"/>
    <x v="1"/>
    <x v="3"/>
    <x v="889"/>
    <d v="2022-08-23T00:00:00"/>
    <m/>
    <n v="24"/>
    <n v="24"/>
    <x v="0"/>
  </r>
  <r>
    <n v="1449"/>
    <s v="Christina Watkins"/>
    <x v="1445"/>
    <x v="8"/>
    <d v="2022-05-25T00:00:00"/>
    <x v="1"/>
    <x v="9"/>
    <x v="1"/>
    <x v="2"/>
    <x v="1"/>
    <x v="890"/>
    <d v="2023-02-03T00:00:00"/>
    <n v="4"/>
    <n v="72"/>
    <n v="120"/>
    <x v="0"/>
  </r>
  <r>
    <n v="1450"/>
    <s v="Robert Matthews"/>
    <x v="1446"/>
    <x v="14"/>
    <d v="2022-07-28T00:00:00"/>
    <x v="4"/>
    <x v="0"/>
    <x v="2"/>
    <x v="2"/>
    <x v="1"/>
    <x v="881"/>
    <d v="2023-05-27T00:00:00"/>
    <n v="4"/>
    <n v="96"/>
    <n v="120"/>
    <x v="0"/>
  </r>
  <r>
    <n v="1451"/>
    <s v="Robert Savage"/>
    <x v="1447"/>
    <x v="3"/>
    <d v="2020-12-02T00:00:00"/>
    <x v="4"/>
    <x v="14"/>
    <x v="1"/>
    <x v="2"/>
    <x v="1"/>
    <x v="891"/>
    <d v="2021-01-20T00:00:00"/>
    <n v="4"/>
    <n v="48"/>
    <n v="120"/>
    <x v="0"/>
  </r>
  <r>
    <n v="1452"/>
    <s v="Robert Thomas"/>
    <x v="1448"/>
    <x v="3"/>
    <d v="2020-03-22T00:00:00"/>
    <x v="4"/>
    <x v="10"/>
    <x v="1"/>
    <x v="0"/>
    <x v="3"/>
    <x v="892"/>
    <d v="2020-07-18T00:00:00"/>
    <n v="3"/>
    <n v="24"/>
    <n v="48"/>
    <x v="0"/>
  </r>
  <r>
    <n v="1453"/>
    <s v="Robert Coleman"/>
    <x v="1449"/>
    <x v="16"/>
    <d v="2021-01-09T00:00:00"/>
    <x v="4"/>
    <x v="2"/>
    <x v="1"/>
    <x v="3"/>
    <x v="1"/>
    <x v="893"/>
    <d v="2021-04-12T00:00:00"/>
    <n v="3"/>
    <n v="192"/>
    <n v="168"/>
    <x v="1"/>
  </r>
  <r>
    <n v="1454"/>
    <s v="Jamie Cruz"/>
    <x v="1450"/>
    <x v="5"/>
    <d v="2022-04-04T00:00:00"/>
    <x v="4"/>
    <x v="6"/>
    <x v="1"/>
    <x v="3"/>
    <x v="1"/>
    <x v="573"/>
    <d v="2023-01-20T00:00:00"/>
    <n v="4"/>
    <n v="192"/>
    <n v="168"/>
    <x v="1"/>
  </r>
  <r>
    <n v="1455"/>
    <s v="Larry Lewis"/>
    <x v="1451"/>
    <x v="8"/>
    <d v="2020-08-09T00:00:00"/>
    <x v="4"/>
    <x v="3"/>
    <x v="0"/>
    <x v="1"/>
    <x v="1"/>
    <x v="894"/>
    <d v="2021-04-22T00:00:00"/>
    <m/>
    <n v="0"/>
    <n v="24"/>
    <x v="0"/>
  </r>
  <r>
    <n v="1456"/>
    <s v="Kristina Henry"/>
    <x v="1452"/>
    <x v="2"/>
    <d v="2021-06-24T00:00:00"/>
    <x v="0"/>
    <x v="6"/>
    <x v="1"/>
    <x v="2"/>
    <x v="1"/>
    <x v="600"/>
    <d v="2022-04-15T00:00:00"/>
    <n v="5"/>
    <n v="48"/>
    <n v="120"/>
    <x v="0"/>
  </r>
  <r>
    <n v="1457"/>
    <s v="Sean Wyatt"/>
    <x v="1453"/>
    <x v="17"/>
    <d v="2020-10-23T00:00:00"/>
    <x v="2"/>
    <x v="4"/>
    <x v="1"/>
    <x v="2"/>
    <x v="3"/>
    <x v="895"/>
    <d v="2021-01-02T00:00:00"/>
    <n v="4"/>
    <n v="48"/>
    <n v="120"/>
    <x v="0"/>
  </r>
  <r>
    <n v="1458"/>
    <s v="Christopher Adkins"/>
    <x v="1454"/>
    <x v="18"/>
    <d v="2020-01-09T00:00:00"/>
    <x v="4"/>
    <x v="2"/>
    <x v="1"/>
    <x v="2"/>
    <x v="2"/>
    <x v="896"/>
    <d v="2020-07-12T00:00:00"/>
    <m/>
    <n v="96"/>
    <n v="120"/>
    <x v="0"/>
  </r>
  <r>
    <n v="1459"/>
    <s v="Erin Bartlett"/>
    <x v="1455"/>
    <x v="6"/>
    <d v="2020-02-22T00:00:00"/>
    <x v="2"/>
    <x v="10"/>
    <x v="1"/>
    <x v="2"/>
    <x v="1"/>
    <x v="897"/>
    <d v="2020-03-16T00:00:00"/>
    <n v="4"/>
    <n v="120"/>
    <n v="120"/>
    <x v="0"/>
  </r>
  <r>
    <n v="1460"/>
    <s v="Maria Sanders"/>
    <x v="1456"/>
    <x v="4"/>
    <d v="2023-01-20T00:00:00"/>
    <x v="4"/>
    <x v="11"/>
    <x v="1"/>
    <x v="1"/>
    <x v="2"/>
    <x v="410"/>
    <d v="2023-09-26T00:00:00"/>
    <n v="5"/>
    <n v="0"/>
    <n v="24"/>
    <x v="0"/>
  </r>
  <r>
    <n v="1461"/>
    <s v="Yolanda Chen"/>
    <x v="1457"/>
    <x v="17"/>
    <d v="2023-03-11T00:00:00"/>
    <x v="1"/>
    <x v="4"/>
    <x v="1"/>
    <x v="3"/>
    <x v="0"/>
    <x v="406"/>
    <d v="2023-07-25T00:00:00"/>
    <n v="5"/>
    <n v="264"/>
    <n v="168"/>
    <x v="1"/>
  </r>
  <r>
    <n v="1462"/>
    <s v="Ashley Wood"/>
    <x v="1458"/>
    <x v="6"/>
    <d v="2020-05-08T00:00:00"/>
    <x v="1"/>
    <x v="9"/>
    <x v="1"/>
    <x v="0"/>
    <x v="1"/>
    <x v="578"/>
    <d v="2020-12-09T00:00:00"/>
    <m/>
    <n v="48"/>
    <n v="48"/>
    <x v="0"/>
  </r>
  <r>
    <n v="1463"/>
    <s v="Ryan Brown"/>
    <x v="1459"/>
    <x v="16"/>
    <d v="2020-10-28T00:00:00"/>
    <x v="2"/>
    <x v="0"/>
    <x v="2"/>
    <x v="2"/>
    <x v="2"/>
    <x v="148"/>
    <d v="2020-12-08T00:00:00"/>
    <n v="3"/>
    <n v="48"/>
    <n v="120"/>
    <x v="0"/>
  </r>
  <r>
    <n v="1464"/>
    <s v="Nancy Cook"/>
    <x v="1460"/>
    <x v="10"/>
    <d v="2021-07-22T00:00:00"/>
    <x v="1"/>
    <x v="8"/>
    <x v="0"/>
    <x v="0"/>
    <x v="0"/>
    <x v="654"/>
    <d v="2021-12-29T00:00:00"/>
    <m/>
    <n v="48"/>
    <n v="48"/>
    <x v="0"/>
  </r>
  <r>
    <n v="1465"/>
    <s v="Teresa Powell"/>
    <x v="1461"/>
    <x v="8"/>
    <d v="2020-08-17T00:00:00"/>
    <x v="0"/>
    <x v="5"/>
    <x v="3"/>
    <x v="2"/>
    <x v="3"/>
    <x v="756"/>
    <d v="2021-05-08T00:00:00"/>
    <m/>
    <n v="96"/>
    <n v="120"/>
    <x v="0"/>
  </r>
  <r>
    <n v="1466"/>
    <s v="Angela Ramos"/>
    <x v="1462"/>
    <x v="7"/>
    <d v="2022-09-13T00:00:00"/>
    <x v="3"/>
    <x v="11"/>
    <x v="1"/>
    <x v="2"/>
    <x v="0"/>
    <x v="806"/>
    <d v="2023-03-26T00:00:00"/>
    <n v="5"/>
    <n v="144"/>
    <n v="120"/>
    <x v="1"/>
  </r>
  <r>
    <n v="1467"/>
    <s v="Sara Smith"/>
    <x v="1463"/>
    <x v="1"/>
    <d v="2022-06-01T00:00:00"/>
    <x v="1"/>
    <x v="12"/>
    <x v="1"/>
    <x v="3"/>
    <x v="1"/>
    <x v="514"/>
    <d v="2023-02-17T00:00:00"/>
    <n v="5"/>
    <n v="48"/>
    <n v="168"/>
    <x v="0"/>
  </r>
  <r>
    <n v="1468"/>
    <s v="Angelica Conrad"/>
    <x v="1464"/>
    <x v="10"/>
    <d v="2020-05-14T00:00:00"/>
    <x v="4"/>
    <x v="3"/>
    <x v="0"/>
    <x v="2"/>
    <x v="1"/>
    <x v="898"/>
    <d v="2020-07-02T00:00:00"/>
    <m/>
    <n v="48"/>
    <n v="120"/>
    <x v="0"/>
  </r>
  <r>
    <n v="1469"/>
    <s v="Kevin Sheppard"/>
    <x v="1465"/>
    <x v="16"/>
    <d v="2021-12-16T00:00:00"/>
    <x v="4"/>
    <x v="8"/>
    <x v="1"/>
    <x v="3"/>
    <x v="2"/>
    <x v="899"/>
    <d v="2022-10-08T00:00:00"/>
    <m/>
    <n v="120"/>
    <n v="168"/>
    <x v="0"/>
  </r>
  <r>
    <n v="1470"/>
    <s v="Nathaniel Wright"/>
    <x v="1466"/>
    <x v="3"/>
    <d v="2020-03-23T00:00:00"/>
    <x v="2"/>
    <x v="0"/>
    <x v="2"/>
    <x v="2"/>
    <x v="2"/>
    <x v="900"/>
    <d v="2020-04-15T00:00:00"/>
    <n v="5"/>
    <n v="96"/>
    <n v="120"/>
    <x v="0"/>
  </r>
  <r>
    <n v="1471"/>
    <s v="Dustin Ramirez"/>
    <x v="1467"/>
    <x v="5"/>
    <d v="2020-10-02T00:00:00"/>
    <x v="1"/>
    <x v="11"/>
    <x v="1"/>
    <x v="3"/>
    <x v="3"/>
    <x v="253"/>
    <d v="2021-04-10T00:00:00"/>
    <n v="4"/>
    <n v="360"/>
    <n v="168"/>
    <x v="1"/>
  </r>
  <r>
    <n v="1472"/>
    <s v="Deanna Gonzales"/>
    <x v="1468"/>
    <x v="18"/>
    <d v="2023-04-14T00:00:00"/>
    <x v="4"/>
    <x v="3"/>
    <x v="3"/>
    <x v="3"/>
    <x v="0"/>
    <x v="901"/>
    <d v="2023-07-08T00:00:00"/>
    <m/>
    <n v="144"/>
    <n v="168"/>
    <x v="0"/>
  </r>
  <r>
    <n v="1473"/>
    <s v="Joanna Welch"/>
    <x v="1469"/>
    <x v="8"/>
    <d v="2020-08-29T00:00:00"/>
    <x v="0"/>
    <x v="10"/>
    <x v="1"/>
    <x v="2"/>
    <x v="1"/>
    <x v="411"/>
    <d v="2021-04-12T00:00:00"/>
    <n v="5"/>
    <n v="96"/>
    <n v="120"/>
    <x v="0"/>
  </r>
  <r>
    <n v="1474"/>
    <s v="Christine Park"/>
    <x v="1470"/>
    <x v="11"/>
    <d v="2022-12-22T00:00:00"/>
    <x v="4"/>
    <x v="4"/>
    <x v="2"/>
    <x v="2"/>
    <x v="3"/>
    <x v="902"/>
    <d v="2023-02-17T00:00:00"/>
    <n v="5"/>
    <n v="72"/>
    <n v="120"/>
    <x v="0"/>
  </r>
  <r>
    <n v="1475"/>
    <s v="Kristen Paul"/>
    <x v="1471"/>
    <x v="12"/>
    <d v="2021-12-27T00:00:00"/>
    <x v="2"/>
    <x v="4"/>
    <x v="1"/>
    <x v="3"/>
    <x v="1"/>
    <x v="799"/>
    <d v="2022-09-18T00:00:00"/>
    <n v="4"/>
    <n v="168"/>
    <n v="168"/>
    <x v="0"/>
  </r>
  <r>
    <n v="1476"/>
    <s v="Thomas Holmes"/>
    <x v="1472"/>
    <x v="4"/>
    <d v="2021-08-01T00:00:00"/>
    <x v="3"/>
    <x v="10"/>
    <x v="0"/>
    <x v="3"/>
    <x v="2"/>
    <x v="903"/>
    <d v="2021-09-07T00:00:00"/>
    <m/>
    <n v="192"/>
    <n v="168"/>
    <x v="1"/>
  </r>
  <r>
    <n v="1477"/>
    <s v="Mary Valenzuela"/>
    <x v="1473"/>
    <x v="14"/>
    <d v="2021-10-16T00:00:00"/>
    <x v="1"/>
    <x v="3"/>
    <x v="1"/>
    <x v="2"/>
    <x v="0"/>
    <x v="567"/>
    <d v="2022-06-26T00:00:00"/>
    <n v="5"/>
    <n v="96"/>
    <n v="120"/>
    <x v="0"/>
  </r>
  <r>
    <n v="1478"/>
    <s v="George Leach"/>
    <x v="1474"/>
    <x v="3"/>
    <d v="2022-04-29T00:00:00"/>
    <x v="3"/>
    <x v="12"/>
    <x v="0"/>
    <x v="2"/>
    <x v="1"/>
    <x v="904"/>
    <d v="2022-10-21T00:00:00"/>
    <m/>
    <n v="72"/>
    <n v="120"/>
    <x v="0"/>
  </r>
  <r>
    <n v="1479"/>
    <s v="Alex Lamb"/>
    <x v="1475"/>
    <x v="12"/>
    <d v="2023-02-09T00:00:00"/>
    <x v="3"/>
    <x v="9"/>
    <x v="1"/>
    <x v="0"/>
    <x v="2"/>
    <x v="905"/>
    <d v="2023-09-17T00:00:00"/>
    <n v="3"/>
    <n v="24"/>
    <n v="48"/>
    <x v="0"/>
  </r>
  <r>
    <n v="1480"/>
    <s v="Roy King"/>
    <x v="1476"/>
    <x v="6"/>
    <d v="2020-03-03T00:00:00"/>
    <x v="3"/>
    <x v="12"/>
    <x v="1"/>
    <x v="2"/>
    <x v="3"/>
    <x v="906"/>
    <d v="2020-08-04T00:00:00"/>
    <m/>
    <n v="96"/>
    <n v="120"/>
    <x v="0"/>
  </r>
  <r>
    <n v="1481"/>
    <s v="Sherry Hines"/>
    <x v="1477"/>
    <x v="4"/>
    <d v="2021-09-14T00:00:00"/>
    <x v="4"/>
    <x v="4"/>
    <x v="3"/>
    <x v="2"/>
    <x v="1"/>
    <x v="907"/>
    <d v="2021-11-09T00:00:00"/>
    <m/>
    <n v="120"/>
    <n v="120"/>
    <x v="0"/>
  </r>
  <r>
    <n v="1482"/>
    <s v="Carly Jackson"/>
    <x v="1478"/>
    <x v="17"/>
    <d v="2023-03-13T00:00:00"/>
    <x v="3"/>
    <x v="9"/>
    <x v="3"/>
    <x v="2"/>
    <x v="1"/>
    <x v="805"/>
    <d v="2023-11-23T00:00:00"/>
    <m/>
    <n v="96"/>
    <n v="120"/>
    <x v="0"/>
  </r>
  <r>
    <n v="1483"/>
    <s v="Matthew Kramer"/>
    <x v="1479"/>
    <x v="11"/>
    <d v="2023-05-30T00:00:00"/>
    <x v="1"/>
    <x v="11"/>
    <x v="1"/>
    <x v="3"/>
    <x v="1"/>
    <x v="908"/>
    <d v="2023-08-29T00:00:00"/>
    <n v="4"/>
    <n v="264"/>
    <n v="168"/>
    <x v="1"/>
  </r>
  <r>
    <n v="1484"/>
    <s v="James Murray"/>
    <x v="1480"/>
    <x v="13"/>
    <d v="2020-05-04T00:00:00"/>
    <x v="4"/>
    <x v="6"/>
    <x v="1"/>
    <x v="2"/>
    <x v="0"/>
    <x v="793"/>
    <d v="2020-12-26T00:00:00"/>
    <m/>
    <n v="120"/>
    <n v="120"/>
    <x v="0"/>
  </r>
  <r>
    <n v="1485"/>
    <s v="Scott Kim"/>
    <x v="1481"/>
    <x v="7"/>
    <d v="2020-01-08T00:00:00"/>
    <x v="3"/>
    <x v="12"/>
    <x v="1"/>
    <x v="0"/>
    <x v="3"/>
    <x v="541"/>
    <d v="2020-12-15T00:00:00"/>
    <n v="4"/>
    <n v="24"/>
    <n v="48"/>
    <x v="0"/>
  </r>
  <r>
    <n v="1486"/>
    <s v="Gregory Ruiz"/>
    <x v="1482"/>
    <x v="5"/>
    <d v="2021-08-07T00:00:00"/>
    <x v="2"/>
    <x v="1"/>
    <x v="1"/>
    <x v="0"/>
    <x v="0"/>
    <x v="198"/>
    <d v="2021-10-12T00:00:00"/>
    <n v="5"/>
    <n v="48"/>
    <n v="48"/>
    <x v="0"/>
  </r>
  <r>
    <n v="1487"/>
    <s v="Michelle Hines"/>
    <x v="1483"/>
    <x v="12"/>
    <d v="2021-09-13T00:00:00"/>
    <x v="1"/>
    <x v="0"/>
    <x v="1"/>
    <x v="3"/>
    <x v="1"/>
    <x v="122"/>
    <d v="2022-07-16T00:00:00"/>
    <n v="4"/>
    <n v="144"/>
    <n v="168"/>
    <x v="0"/>
  </r>
  <r>
    <n v="1488"/>
    <s v="Stephanie Weiss"/>
    <x v="1484"/>
    <x v="11"/>
    <d v="2021-06-22T00:00:00"/>
    <x v="4"/>
    <x v="14"/>
    <x v="1"/>
    <x v="2"/>
    <x v="1"/>
    <x v="909"/>
    <d v="2022-01-08T00:00:00"/>
    <n v="4"/>
    <n v="24"/>
    <n v="120"/>
    <x v="0"/>
  </r>
  <r>
    <n v="1489"/>
    <s v="Patrick Willis II"/>
    <x v="1485"/>
    <x v="16"/>
    <d v="2022-02-17T00:00:00"/>
    <x v="1"/>
    <x v="1"/>
    <x v="0"/>
    <x v="3"/>
    <x v="0"/>
    <x v="322"/>
    <d v="2023-01-29T00:00:00"/>
    <m/>
    <n v="216"/>
    <n v="168"/>
    <x v="1"/>
  </r>
  <r>
    <n v="1490"/>
    <s v="Lisa Walton"/>
    <x v="1486"/>
    <x v="9"/>
    <d v="2020-03-09T00:00:00"/>
    <x v="2"/>
    <x v="10"/>
    <x v="0"/>
    <x v="2"/>
    <x v="3"/>
    <x v="910"/>
    <d v="2020-11-17T00:00:00"/>
    <m/>
    <n v="96"/>
    <n v="120"/>
    <x v="0"/>
  </r>
  <r>
    <n v="1491"/>
    <s v="Jeffrey Morgan"/>
    <x v="1487"/>
    <x v="10"/>
    <d v="2022-11-14T00:00:00"/>
    <x v="3"/>
    <x v="0"/>
    <x v="3"/>
    <x v="3"/>
    <x v="1"/>
    <x v="902"/>
    <d v="2023-02-22T00:00:00"/>
    <m/>
    <n v="192"/>
    <n v="168"/>
    <x v="1"/>
  </r>
  <r>
    <n v="1492"/>
    <s v="Amanda Mullen"/>
    <x v="1488"/>
    <x v="13"/>
    <d v="2022-03-14T00:00:00"/>
    <x v="2"/>
    <x v="4"/>
    <x v="1"/>
    <x v="0"/>
    <x v="1"/>
    <x v="56"/>
    <d v="2022-11-27T00:00:00"/>
    <n v="4"/>
    <n v="48"/>
    <n v="48"/>
    <x v="0"/>
  </r>
  <r>
    <n v="1493"/>
    <s v="Julie Miller"/>
    <x v="1489"/>
    <x v="1"/>
    <d v="2020-09-06T00:00:00"/>
    <x v="0"/>
    <x v="2"/>
    <x v="0"/>
    <x v="0"/>
    <x v="2"/>
    <x v="744"/>
    <d v="2021-07-17T00:00:00"/>
    <m/>
    <n v="24"/>
    <n v="48"/>
    <x v="0"/>
  </r>
  <r>
    <n v="1494"/>
    <s v="Kenneth Cruz"/>
    <x v="1490"/>
    <x v="7"/>
    <d v="2021-09-16T00:00:00"/>
    <x v="3"/>
    <x v="9"/>
    <x v="0"/>
    <x v="2"/>
    <x v="3"/>
    <x v="694"/>
    <d v="2022-06-24T00:00:00"/>
    <m/>
    <n v="120"/>
    <n v="120"/>
    <x v="0"/>
  </r>
  <r>
    <n v="1495"/>
    <s v="Anthony Coleman"/>
    <x v="1491"/>
    <x v="16"/>
    <d v="2022-02-18T00:00:00"/>
    <x v="1"/>
    <x v="4"/>
    <x v="1"/>
    <x v="2"/>
    <x v="1"/>
    <x v="120"/>
    <d v="2022-10-17T00:00:00"/>
    <n v="4"/>
    <n v="96"/>
    <n v="120"/>
    <x v="0"/>
  </r>
  <r>
    <n v="1496"/>
    <s v="John Rogers"/>
    <x v="1492"/>
    <x v="15"/>
    <d v="2023-03-26T00:00:00"/>
    <x v="4"/>
    <x v="14"/>
    <x v="0"/>
    <x v="2"/>
    <x v="1"/>
    <x v="264"/>
    <d v="2023-07-24T00:00:00"/>
    <m/>
    <n v="72"/>
    <n v="120"/>
    <x v="0"/>
  </r>
  <r>
    <n v="1497"/>
    <s v="Michael Hernandez"/>
    <x v="1493"/>
    <x v="5"/>
    <d v="2022-03-10T00:00:00"/>
    <x v="0"/>
    <x v="1"/>
    <x v="1"/>
    <x v="2"/>
    <x v="0"/>
    <x v="122"/>
    <d v="2022-07-10T00:00:00"/>
    <n v="5"/>
    <n v="0"/>
    <n v="120"/>
    <x v="0"/>
  </r>
  <r>
    <n v="1498"/>
    <s v="Monica Gibson"/>
    <x v="1494"/>
    <x v="7"/>
    <d v="2021-12-15T00:00:00"/>
    <x v="4"/>
    <x v="4"/>
    <x v="1"/>
    <x v="2"/>
    <x v="0"/>
    <x v="904"/>
    <d v="2022-10-21T00:00:00"/>
    <m/>
    <n v="72"/>
    <n v="120"/>
    <x v="0"/>
  </r>
  <r>
    <n v="1499"/>
    <s v="Stephen Parks"/>
    <x v="1495"/>
    <x v="12"/>
    <d v="2021-02-19T00:00:00"/>
    <x v="2"/>
    <x v="8"/>
    <x v="0"/>
    <x v="3"/>
    <x v="3"/>
    <x v="447"/>
    <d v="2021-08-28T00:00:00"/>
    <m/>
    <n v="528"/>
    <n v="168"/>
    <x v="1"/>
  </r>
  <r>
    <n v="1500"/>
    <s v="Howard Smith"/>
    <x v="1496"/>
    <x v="0"/>
    <d v="2021-07-08T00:00:00"/>
    <x v="2"/>
    <x v="3"/>
    <x v="1"/>
    <x v="3"/>
    <x v="1"/>
    <x v="911"/>
    <d v="2021-09-20T00:00:00"/>
    <n v="4"/>
    <n v="192"/>
    <n v="168"/>
    <x v="1"/>
  </r>
  <r>
    <n v="1501"/>
    <s v="Kim Foster"/>
    <x v="1497"/>
    <x v="2"/>
    <d v="2020-08-12T00:00:00"/>
    <x v="4"/>
    <x v="14"/>
    <x v="1"/>
    <x v="2"/>
    <x v="1"/>
    <x v="912"/>
    <d v="2020-10-05T00:00:00"/>
    <n v="4"/>
    <n v="120"/>
    <n v="120"/>
    <x v="0"/>
  </r>
  <r>
    <n v="1502"/>
    <s v="Jessica Hill"/>
    <x v="1498"/>
    <x v="8"/>
    <d v="2022-03-24T00:00:00"/>
    <x v="1"/>
    <x v="0"/>
    <x v="1"/>
    <x v="3"/>
    <x v="0"/>
    <x v="90"/>
    <d v="2022-08-01T00:00:00"/>
    <n v="3"/>
    <n v="192"/>
    <n v="168"/>
    <x v="1"/>
  </r>
  <r>
    <n v="1503"/>
    <s v="Amanda Nguyen"/>
    <x v="1499"/>
    <x v="12"/>
    <d v="2020-06-06T00:00:00"/>
    <x v="4"/>
    <x v="1"/>
    <x v="1"/>
    <x v="2"/>
    <x v="1"/>
    <x v="688"/>
    <d v="2021-02-04T00:00:00"/>
    <n v="4"/>
    <n v="120"/>
    <n v="120"/>
    <x v="0"/>
  </r>
  <r>
    <n v="1504"/>
    <s v="William Miller"/>
    <x v="1500"/>
    <x v="12"/>
    <d v="2021-02-03T00:00:00"/>
    <x v="4"/>
    <x v="12"/>
    <x v="3"/>
    <x v="3"/>
    <x v="2"/>
    <x v="913"/>
    <d v="2021-06-16T00:00:00"/>
    <m/>
    <n v="120"/>
    <n v="168"/>
    <x v="0"/>
  </r>
  <r>
    <n v="1505"/>
    <s v="Natalie Miller"/>
    <x v="1501"/>
    <x v="4"/>
    <d v="2022-06-05T00:00:00"/>
    <x v="1"/>
    <x v="14"/>
    <x v="3"/>
    <x v="3"/>
    <x v="1"/>
    <x v="41"/>
    <d v="2022-09-02T00:00:00"/>
    <m/>
    <n v="168"/>
    <n v="168"/>
    <x v="0"/>
  </r>
  <r>
    <n v="1506"/>
    <s v="Eric Palmer"/>
    <x v="1502"/>
    <x v="17"/>
    <d v="2022-01-04T00:00:00"/>
    <x v="0"/>
    <x v="13"/>
    <x v="1"/>
    <x v="2"/>
    <x v="3"/>
    <x v="787"/>
    <d v="2022-08-14T00:00:00"/>
    <n v="4"/>
    <n v="24"/>
    <n v="120"/>
    <x v="0"/>
  </r>
  <r>
    <n v="1507"/>
    <s v="Timothy Hill"/>
    <x v="1503"/>
    <x v="14"/>
    <d v="2021-09-11T00:00:00"/>
    <x v="3"/>
    <x v="8"/>
    <x v="1"/>
    <x v="3"/>
    <x v="1"/>
    <x v="787"/>
    <d v="2022-08-17T00:00:00"/>
    <n v="3"/>
    <n v="96"/>
    <n v="168"/>
    <x v="0"/>
  </r>
  <r>
    <n v="1508"/>
    <s v="Megan Nelson"/>
    <x v="1504"/>
    <x v="8"/>
    <d v="2022-10-17T00:00:00"/>
    <x v="1"/>
    <x v="14"/>
    <x v="1"/>
    <x v="3"/>
    <x v="0"/>
    <x v="914"/>
    <d v="2023-08-07T00:00:00"/>
    <n v="5"/>
    <n v="48"/>
    <n v="168"/>
    <x v="0"/>
  </r>
  <r>
    <n v="1509"/>
    <s v="Derek George"/>
    <x v="1505"/>
    <x v="6"/>
    <d v="2021-05-19T00:00:00"/>
    <x v="0"/>
    <x v="13"/>
    <x v="0"/>
    <x v="2"/>
    <x v="3"/>
    <x v="915"/>
    <d v="2021-07-09T00:00:00"/>
    <m/>
    <n v="48"/>
    <n v="120"/>
    <x v="0"/>
  </r>
  <r>
    <n v="1510"/>
    <s v="Logan Chandler"/>
    <x v="1506"/>
    <x v="4"/>
    <d v="2021-05-25T00:00:00"/>
    <x v="1"/>
    <x v="8"/>
    <x v="1"/>
    <x v="1"/>
    <x v="0"/>
    <x v="916"/>
    <d v="2021-07-26T00:00:00"/>
    <m/>
    <n v="24"/>
    <n v="24"/>
    <x v="0"/>
  </r>
  <r>
    <n v="1511"/>
    <s v="Karen Grant"/>
    <x v="1507"/>
    <x v="15"/>
    <d v="2021-12-18T00:00:00"/>
    <x v="2"/>
    <x v="0"/>
    <x v="2"/>
    <x v="3"/>
    <x v="1"/>
    <x v="174"/>
    <d v="2022-05-25T00:00:00"/>
    <m/>
    <n v="120"/>
    <n v="168"/>
    <x v="0"/>
  </r>
  <r>
    <n v="1512"/>
    <s v="Kathryn Patel"/>
    <x v="1508"/>
    <x v="2"/>
    <d v="2022-10-23T00:00:00"/>
    <x v="4"/>
    <x v="13"/>
    <x v="0"/>
    <x v="3"/>
    <x v="1"/>
    <x v="94"/>
    <d v="2022-12-02T00:00:00"/>
    <m/>
    <n v="48"/>
    <n v="168"/>
    <x v="0"/>
  </r>
  <r>
    <n v="1513"/>
    <s v="Tracy Welch"/>
    <x v="1509"/>
    <x v="9"/>
    <d v="2021-03-29T00:00:00"/>
    <x v="1"/>
    <x v="5"/>
    <x v="1"/>
    <x v="2"/>
    <x v="1"/>
    <x v="239"/>
    <d v="2021-06-09T00:00:00"/>
    <m/>
    <n v="48"/>
    <n v="120"/>
    <x v="0"/>
  </r>
  <r>
    <n v="1514"/>
    <s v="Jocelyn Mcdonald"/>
    <x v="1510"/>
    <x v="3"/>
    <d v="2022-05-27T00:00:00"/>
    <x v="0"/>
    <x v="4"/>
    <x v="3"/>
    <x v="3"/>
    <x v="3"/>
    <x v="47"/>
    <d v="2023-03-28T00:00:00"/>
    <m/>
    <n v="240"/>
    <n v="168"/>
    <x v="1"/>
  </r>
  <r>
    <n v="1515"/>
    <s v="Zachary Johnson"/>
    <x v="1511"/>
    <x v="9"/>
    <d v="2022-04-15T00:00:00"/>
    <x v="2"/>
    <x v="6"/>
    <x v="1"/>
    <x v="2"/>
    <x v="1"/>
    <x v="428"/>
    <d v="2023-04-17T00:00:00"/>
    <m/>
    <n v="72"/>
    <n v="120"/>
    <x v="0"/>
  </r>
  <r>
    <n v="1516"/>
    <s v="Lawrence Atkinson"/>
    <x v="1512"/>
    <x v="7"/>
    <d v="2022-06-05T00:00:00"/>
    <x v="0"/>
    <x v="8"/>
    <x v="0"/>
    <x v="2"/>
    <x v="1"/>
    <x v="443"/>
    <d v="2023-01-09T00:00:00"/>
    <m/>
    <n v="72"/>
    <n v="120"/>
    <x v="0"/>
  </r>
  <r>
    <n v="1517"/>
    <s v="Sean Wang"/>
    <x v="1513"/>
    <x v="0"/>
    <d v="2021-10-11T00:00:00"/>
    <x v="0"/>
    <x v="4"/>
    <x v="0"/>
    <x v="3"/>
    <x v="1"/>
    <x v="516"/>
    <d v="2022-06-19T00:00:00"/>
    <m/>
    <n v="168"/>
    <n v="168"/>
    <x v="0"/>
  </r>
  <r>
    <n v="1518"/>
    <s v="Diana Townsend"/>
    <x v="1514"/>
    <x v="14"/>
    <d v="2023-03-29T00:00:00"/>
    <x v="2"/>
    <x v="3"/>
    <x v="1"/>
    <x v="0"/>
    <x v="0"/>
    <x v="668"/>
    <d v="2023-05-11T00:00:00"/>
    <n v="5"/>
    <n v="48"/>
    <n v="48"/>
    <x v="0"/>
  </r>
  <r>
    <n v="1519"/>
    <s v="Kathryn Patel"/>
    <x v="1515"/>
    <x v="6"/>
    <d v="2021-03-20T00:00:00"/>
    <x v="1"/>
    <x v="7"/>
    <x v="1"/>
    <x v="3"/>
    <x v="3"/>
    <x v="830"/>
    <d v="2021-06-25T00:00:00"/>
    <n v="4"/>
    <n v="264"/>
    <n v="168"/>
    <x v="1"/>
  </r>
  <r>
    <n v="1520"/>
    <s v="Joanna Bradshaw"/>
    <x v="1516"/>
    <x v="10"/>
    <d v="2023-03-31T00:00:00"/>
    <x v="1"/>
    <x v="12"/>
    <x v="1"/>
    <x v="1"/>
    <x v="3"/>
    <x v="734"/>
    <d v="2023-12-08T00:00:00"/>
    <n v="4"/>
    <n v="0"/>
    <n v="24"/>
    <x v="0"/>
  </r>
  <r>
    <n v="1521"/>
    <s v="Christopher Solomon"/>
    <x v="1517"/>
    <x v="1"/>
    <d v="2021-09-29T00:00:00"/>
    <x v="0"/>
    <x v="9"/>
    <x v="1"/>
    <x v="2"/>
    <x v="1"/>
    <x v="630"/>
    <d v="2022-05-01T00:00:00"/>
    <n v="3"/>
    <n v="96"/>
    <n v="120"/>
    <x v="0"/>
  </r>
  <r>
    <n v="1522"/>
    <s v="Allen Walker"/>
    <x v="1518"/>
    <x v="0"/>
    <d v="2021-05-19T00:00:00"/>
    <x v="4"/>
    <x v="12"/>
    <x v="3"/>
    <x v="3"/>
    <x v="3"/>
    <x v="402"/>
    <d v="2021-12-16T00:00:00"/>
    <m/>
    <n v="96"/>
    <n v="168"/>
    <x v="0"/>
  </r>
  <r>
    <n v="1523"/>
    <s v="Carol Garrett"/>
    <x v="1519"/>
    <x v="15"/>
    <d v="2023-05-12T00:00:00"/>
    <x v="3"/>
    <x v="7"/>
    <x v="1"/>
    <x v="3"/>
    <x v="1"/>
    <x v="152"/>
    <d v="2023-09-16T00:00:00"/>
    <n v="4"/>
    <n v="168"/>
    <n v="168"/>
    <x v="0"/>
  </r>
  <r>
    <n v="1524"/>
    <s v="Kristen Boyer"/>
    <x v="1520"/>
    <x v="10"/>
    <d v="2020-09-29T00:00:00"/>
    <x v="3"/>
    <x v="14"/>
    <x v="1"/>
    <x v="1"/>
    <x v="0"/>
    <x v="917"/>
    <d v="2020-11-25T00:00:00"/>
    <n v="3"/>
    <n v="24"/>
    <n v="24"/>
    <x v="0"/>
  </r>
  <r>
    <n v="1525"/>
    <s v="Micheal Gonzalez"/>
    <x v="1521"/>
    <x v="16"/>
    <d v="2022-06-16T00:00:00"/>
    <x v="1"/>
    <x v="3"/>
    <x v="1"/>
    <x v="3"/>
    <x v="1"/>
    <x v="918"/>
    <d v="2023-01-01T00:00:00"/>
    <m/>
    <n v="144"/>
    <n v="168"/>
    <x v="0"/>
  </r>
  <r>
    <n v="1526"/>
    <s v="David Morrison"/>
    <x v="1522"/>
    <x v="14"/>
    <d v="2022-09-23T00:00:00"/>
    <x v="3"/>
    <x v="6"/>
    <x v="0"/>
    <x v="2"/>
    <x v="3"/>
    <x v="919"/>
    <d v="2023-06-02T00:00:00"/>
    <m/>
    <n v="48"/>
    <n v="120"/>
    <x v="0"/>
  </r>
  <r>
    <n v="1527"/>
    <s v="Larry Rivera"/>
    <x v="1523"/>
    <x v="15"/>
    <d v="2020-01-11T00:00:00"/>
    <x v="3"/>
    <x v="9"/>
    <x v="1"/>
    <x v="0"/>
    <x v="1"/>
    <x v="201"/>
    <d v="2020-09-03T00:00:00"/>
    <n v="5"/>
    <n v="48"/>
    <n v="48"/>
    <x v="0"/>
  </r>
  <r>
    <n v="1528"/>
    <s v="Melanie Russell"/>
    <x v="1524"/>
    <x v="18"/>
    <d v="2021-02-07T00:00:00"/>
    <x v="2"/>
    <x v="1"/>
    <x v="1"/>
    <x v="2"/>
    <x v="1"/>
    <x v="65"/>
    <d v="2021-03-13T00:00:00"/>
    <n v="3"/>
    <n v="24"/>
    <n v="120"/>
    <x v="0"/>
  </r>
  <r>
    <n v="1529"/>
    <s v="Kimberly Baldwin"/>
    <x v="1525"/>
    <x v="13"/>
    <d v="2021-03-31T00:00:00"/>
    <x v="0"/>
    <x v="2"/>
    <x v="1"/>
    <x v="0"/>
    <x v="2"/>
    <x v="279"/>
    <d v="2021-07-21T00:00:00"/>
    <n v="3"/>
    <n v="0"/>
    <n v="48"/>
    <x v="0"/>
  </r>
  <r>
    <n v="1530"/>
    <s v="Sandra Hardy"/>
    <x v="1526"/>
    <x v="6"/>
    <d v="2022-09-04T00:00:00"/>
    <x v="0"/>
    <x v="6"/>
    <x v="0"/>
    <x v="2"/>
    <x v="2"/>
    <x v="681"/>
    <d v="2022-11-02T00:00:00"/>
    <m/>
    <n v="72"/>
    <n v="120"/>
    <x v="0"/>
  </r>
  <r>
    <n v="1531"/>
    <s v="Jessica Martinez"/>
    <x v="1527"/>
    <x v="7"/>
    <d v="2023-03-16T00:00:00"/>
    <x v="0"/>
    <x v="14"/>
    <x v="1"/>
    <x v="2"/>
    <x v="0"/>
    <x v="920"/>
    <d v="2023-10-09T00:00:00"/>
    <n v="3"/>
    <n v="24"/>
    <n v="120"/>
    <x v="0"/>
  </r>
  <r>
    <n v="1532"/>
    <s v="Miranda Richardson"/>
    <x v="1528"/>
    <x v="18"/>
    <d v="2021-02-14T00:00:00"/>
    <x v="0"/>
    <x v="5"/>
    <x v="1"/>
    <x v="3"/>
    <x v="3"/>
    <x v="52"/>
    <d v="2021-05-26T00:00:00"/>
    <n v="4"/>
    <n v="192"/>
    <n v="168"/>
    <x v="1"/>
  </r>
  <r>
    <n v="1533"/>
    <s v="Martin Jones"/>
    <x v="1529"/>
    <x v="10"/>
    <d v="2021-06-15T00:00:00"/>
    <x v="2"/>
    <x v="11"/>
    <x v="3"/>
    <x v="2"/>
    <x v="3"/>
    <x v="715"/>
    <d v="2021-09-22T00:00:00"/>
    <m/>
    <n v="96"/>
    <n v="120"/>
    <x v="0"/>
  </r>
  <r>
    <n v="1534"/>
    <s v="Jeremy Cobb"/>
    <x v="1530"/>
    <x v="1"/>
    <d v="2020-08-17T00:00:00"/>
    <x v="1"/>
    <x v="9"/>
    <x v="1"/>
    <x v="2"/>
    <x v="2"/>
    <x v="409"/>
    <d v="2021-06-03T00:00:00"/>
    <n v="4"/>
    <n v="48"/>
    <n v="120"/>
    <x v="0"/>
  </r>
  <r>
    <n v="1535"/>
    <s v="Allison Beard"/>
    <x v="1531"/>
    <x v="12"/>
    <d v="2022-09-11T00:00:00"/>
    <x v="4"/>
    <x v="1"/>
    <x v="1"/>
    <x v="2"/>
    <x v="2"/>
    <x v="405"/>
    <d v="2023-03-03T00:00:00"/>
    <m/>
    <n v="72"/>
    <n v="120"/>
    <x v="0"/>
  </r>
  <r>
    <n v="1536"/>
    <s v="Micheal Nunez"/>
    <x v="1532"/>
    <x v="10"/>
    <d v="2022-08-01T00:00:00"/>
    <x v="4"/>
    <x v="3"/>
    <x v="2"/>
    <x v="3"/>
    <x v="1"/>
    <x v="921"/>
    <d v="2023-04-03T00:00:00"/>
    <n v="5"/>
    <n v="144"/>
    <n v="168"/>
    <x v="0"/>
  </r>
  <r>
    <n v="1537"/>
    <s v="James Walsh"/>
    <x v="1533"/>
    <x v="10"/>
    <d v="2022-06-26T00:00:00"/>
    <x v="2"/>
    <x v="4"/>
    <x v="2"/>
    <x v="2"/>
    <x v="3"/>
    <x v="683"/>
    <d v="2023-01-07T00:00:00"/>
    <n v="3"/>
    <n v="144"/>
    <n v="120"/>
    <x v="1"/>
  </r>
  <r>
    <n v="1538"/>
    <s v="Jackson Romero"/>
    <x v="1534"/>
    <x v="4"/>
    <d v="2022-09-27T00:00:00"/>
    <x v="4"/>
    <x v="8"/>
    <x v="1"/>
    <x v="0"/>
    <x v="2"/>
    <x v="503"/>
    <d v="2023-01-28T00:00:00"/>
    <n v="5"/>
    <n v="48"/>
    <n v="48"/>
    <x v="0"/>
  </r>
  <r>
    <n v="1539"/>
    <s v="Samuel Edwards"/>
    <x v="1535"/>
    <x v="11"/>
    <d v="2022-01-18T00:00:00"/>
    <x v="2"/>
    <x v="4"/>
    <x v="1"/>
    <x v="3"/>
    <x v="2"/>
    <x v="922"/>
    <d v="2022-10-25T00:00:00"/>
    <n v="5"/>
    <n v="72"/>
    <n v="168"/>
    <x v="0"/>
  </r>
  <r>
    <n v="1540"/>
    <s v="Steven Smith"/>
    <x v="1536"/>
    <x v="9"/>
    <d v="2020-08-21T00:00:00"/>
    <x v="2"/>
    <x v="2"/>
    <x v="1"/>
    <x v="3"/>
    <x v="1"/>
    <x v="923"/>
    <d v="2021-05-16T00:00:00"/>
    <n v="3"/>
    <n v="264"/>
    <n v="168"/>
    <x v="1"/>
  </r>
  <r>
    <n v="1541"/>
    <s v="Richard Mccormick"/>
    <x v="1537"/>
    <x v="8"/>
    <d v="2020-01-19T00:00:00"/>
    <x v="3"/>
    <x v="13"/>
    <x v="3"/>
    <x v="2"/>
    <x v="1"/>
    <x v="924"/>
    <d v="2020-03-11T00:00:00"/>
    <m/>
    <n v="48"/>
    <n v="120"/>
    <x v="0"/>
  </r>
  <r>
    <n v="1542"/>
    <s v="Sarah Logan"/>
    <x v="1538"/>
    <x v="3"/>
    <d v="2021-09-11T00:00:00"/>
    <x v="0"/>
    <x v="12"/>
    <x v="0"/>
    <x v="0"/>
    <x v="1"/>
    <x v="527"/>
    <d v="2021-12-22T00:00:00"/>
    <m/>
    <n v="48"/>
    <n v="48"/>
    <x v="0"/>
  </r>
  <r>
    <n v="1543"/>
    <s v="Tiffany Romero"/>
    <x v="1539"/>
    <x v="15"/>
    <d v="2023-05-24T00:00:00"/>
    <x v="2"/>
    <x v="12"/>
    <x v="3"/>
    <x v="3"/>
    <x v="0"/>
    <x v="82"/>
    <d v="2023-07-30T00:00:00"/>
    <m/>
    <n v="168"/>
    <n v="168"/>
    <x v="0"/>
  </r>
  <r>
    <n v="1544"/>
    <s v="Keith Wright"/>
    <x v="1540"/>
    <x v="9"/>
    <d v="2022-12-07T00:00:00"/>
    <x v="3"/>
    <x v="0"/>
    <x v="1"/>
    <x v="1"/>
    <x v="2"/>
    <x v="687"/>
    <d v="2023-02-27T00:00:00"/>
    <n v="4"/>
    <n v="24"/>
    <n v="24"/>
    <x v="0"/>
  </r>
  <r>
    <n v="1545"/>
    <s v="Cassandra Krause"/>
    <x v="1541"/>
    <x v="10"/>
    <d v="2020-04-08T00:00:00"/>
    <x v="0"/>
    <x v="4"/>
    <x v="1"/>
    <x v="0"/>
    <x v="3"/>
    <x v="475"/>
    <d v="2020-05-17T00:00:00"/>
    <n v="3"/>
    <n v="48"/>
    <n v="48"/>
    <x v="0"/>
  </r>
  <r>
    <n v="1546"/>
    <s v="Brandi Turner"/>
    <x v="1542"/>
    <x v="1"/>
    <d v="2022-01-11T00:00:00"/>
    <x v="2"/>
    <x v="1"/>
    <x v="1"/>
    <x v="3"/>
    <x v="3"/>
    <x v="925"/>
    <d v="2022-11-16T00:00:00"/>
    <n v="5"/>
    <n v="216"/>
    <n v="168"/>
    <x v="1"/>
  </r>
  <r>
    <n v="1547"/>
    <s v="Joshua Harrington"/>
    <x v="1543"/>
    <x v="5"/>
    <d v="2020-06-29T00:00:00"/>
    <x v="1"/>
    <x v="1"/>
    <x v="3"/>
    <x v="2"/>
    <x v="1"/>
    <x v="926"/>
    <d v="2020-11-21T00:00:00"/>
    <m/>
    <n v="72"/>
    <n v="120"/>
    <x v="0"/>
  </r>
  <r>
    <n v="1548"/>
    <s v="John Garcia"/>
    <x v="1544"/>
    <x v="12"/>
    <d v="2022-06-22T00:00:00"/>
    <x v="0"/>
    <x v="14"/>
    <x v="3"/>
    <x v="3"/>
    <x v="1"/>
    <x v="514"/>
    <d v="2023-02-21T00:00:00"/>
    <m/>
    <n v="144"/>
    <n v="168"/>
    <x v="0"/>
  </r>
  <r>
    <n v="1549"/>
    <s v="Taylor Cortez"/>
    <x v="1545"/>
    <x v="0"/>
    <d v="2022-09-13T00:00:00"/>
    <x v="0"/>
    <x v="4"/>
    <x v="1"/>
    <x v="3"/>
    <x v="3"/>
    <x v="763"/>
    <d v="2023-06-28T00:00:00"/>
    <n v="4"/>
    <n v="48"/>
    <n v="168"/>
    <x v="0"/>
  </r>
  <r>
    <n v="1550"/>
    <s v="Joy Smith"/>
    <x v="1546"/>
    <x v="6"/>
    <d v="2020-10-01T00:00:00"/>
    <x v="1"/>
    <x v="2"/>
    <x v="1"/>
    <x v="2"/>
    <x v="3"/>
    <x v="105"/>
    <d v="2021-02-05T00:00:00"/>
    <n v="4"/>
    <n v="96"/>
    <n v="120"/>
    <x v="0"/>
  </r>
  <r>
    <n v="1551"/>
    <s v="John Campbell"/>
    <x v="1547"/>
    <x v="11"/>
    <d v="2021-03-03T00:00:00"/>
    <x v="4"/>
    <x v="13"/>
    <x v="3"/>
    <x v="0"/>
    <x v="1"/>
    <x v="927"/>
    <d v="2021-07-16T00:00:00"/>
    <m/>
    <n v="48"/>
    <n v="48"/>
    <x v="0"/>
  </r>
  <r>
    <n v="1552"/>
    <s v="Kathryn Garrett"/>
    <x v="1548"/>
    <x v="9"/>
    <d v="2020-01-11T00:00:00"/>
    <x v="2"/>
    <x v="12"/>
    <x v="1"/>
    <x v="2"/>
    <x v="0"/>
    <x v="590"/>
    <d v="2020-10-05T00:00:00"/>
    <n v="4"/>
    <n v="72"/>
    <n v="120"/>
    <x v="0"/>
  </r>
  <r>
    <n v="1553"/>
    <s v="William Ruiz"/>
    <x v="1549"/>
    <x v="4"/>
    <d v="2021-04-18T00:00:00"/>
    <x v="3"/>
    <x v="0"/>
    <x v="0"/>
    <x v="1"/>
    <x v="0"/>
    <x v="6"/>
    <d v="2021-05-03T00:00:00"/>
    <m/>
    <n v="0"/>
    <n v="24"/>
    <x v="0"/>
  </r>
  <r>
    <n v="1554"/>
    <s v="Scott Peterson"/>
    <x v="1550"/>
    <x v="4"/>
    <d v="2020-11-27T00:00:00"/>
    <x v="3"/>
    <x v="9"/>
    <x v="0"/>
    <x v="3"/>
    <x v="1"/>
    <x v="641"/>
    <d v="2021-02-25T00:00:00"/>
    <m/>
    <n v="144"/>
    <n v="168"/>
    <x v="0"/>
  </r>
  <r>
    <n v="1555"/>
    <s v="Eric Miranda"/>
    <x v="1551"/>
    <x v="12"/>
    <d v="2020-11-22T00:00:00"/>
    <x v="1"/>
    <x v="1"/>
    <x v="1"/>
    <x v="3"/>
    <x v="2"/>
    <x v="77"/>
    <d v="2021-10-25T00:00:00"/>
    <n v="4"/>
    <n v="144"/>
    <n v="168"/>
    <x v="0"/>
  </r>
  <r>
    <n v="1556"/>
    <s v="Brittney Moore"/>
    <x v="1552"/>
    <x v="18"/>
    <d v="2022-10-26T00:00:00"/>
    <x v="0"/>
    <x v="9"/>
    <x v="1"/>
    <x v="2"/>
    <x v="3"/>
    <x v="781"/>
    <d v="2023-09-24T00:00:00"/>
    <n v="4"/>
    <n v="72"/>
    <n v="120"/>
    <x v="0"/>
  </r>
  <r>
    <n v="1557"/>
    <s v="Tyler Zavala"/>
    <x v="1553"/>
    <x v="18"/>
    <d v="2021-02-12T00:00:00"/>
    <x v="3"/>
    <x v="2"/>
    <x v="0"/>
    <x v="3"/>
    <x v="1"/>
    <x v="928"/>
    <d v="2021-04-01T00:00:00"/>
    <m/>
    <n v="216"/>
    <n v="168"/>
    <x v="1"/>
  </r>
  <r>
    <n v="1558"/>
    <s v="Scott Torres"/>
    <x v="1554"/>
    <x v="16"/>
    <d v="2021-05-04T00:00:00"/>
    <x v="3"/>
    <x v="5"/>
    <x v="1"/>
    <x v="2"/>
    <x v="3"/>
    <x v="929"/>
    <d v="2022-01-11T00:00:00"/>
    <n v="3"/>
    <n v="312"/>
    <n v="120"/>
    <x v="1"/>
  </r>
  <r>
    <n v="1559"/>
    <s v="Jeffery Long"/>
    <x v="1555"/>
    <x v="11"/>
    <d v="2021-09-27T00:00:00"/>
    <x v="1"/>
    <x v="5"/>
    <x v="3"/>
    <x v="2"/>
    <x v="3"/>
    <x v="930"/>
    <d v="2022-07-01T00:00:00"/>
    <m/>
    <n v="144"/>
    <n v="120"/>
    <x v="1"/>
  </r>
  <r>
    <n v="1560"/>
    <s v="Robert Proctor"/>
    <x v="1556"/>
    <x v="15"/>
    <d v="2023-01-18T00:00:00"/>
    <x v="2"/>
    <x v="8"/>
    <x v="1"/>
    <x v="0"/>
    <x v="1"/>
    <x v="931"/>
    <d v="2023-07-27T00:00:00"/>
    <n v="3"/>
    <n v="72"/>
    <n v="48"/>
    <x v="1"/>
  </r>
  <r>
    <n v="1561"/>
    <s v="Ronnie Johnson"/>
    <x v="1557"/>
    <x v="14"/>
    <d v="2022-05-19T00:00:00"/>
    <x v="0"/>
    <x v="12"/>
    <x v="2"/>
    <x v="2"/>
    <x v="0"/>
    <x v="749"/>
    <d v="2022-12-20T00:00:00"/>
    <n v="4"/>
    <n v="120"/>
    <n v="120"/>
    <x v="0"/>
  </r>
  <r>
    <n v="1562"/>
    <s v="Rebecca Williamson"/>
    <x v="1558"/>
    <x v="15"/>
    <d v="2021-01-12T00:00:00"/>
    <x v="0"/>
    <x v="13"/>
    <x v="1"/>
    <x v="3"/>
    <x v="2"/>
    <x v="81"/>
    <d v="2021-06-05T00:00:00"/>
    <n v="4"/>
    <n v="168"/>
    <n v="168"/>
    <x v="0"/>
  </r>
  <r>
    <n v="1563"/>
    <s v="Nathan David"/>
    <x v="1559"/>
    <x v="11"/>
    <d v="2021-08-28T00:00:00"/>
    <x v="4"/>
    <x v="2"/>
    <x v="1"/>
    <x v="3"/>
    <x v="1"/>
    <x v="709"/>
    <d v="2022-07-29T00:00:00"/>
    <n v="3"/>
    <n v="144"/>
    <n v="168"/>
    <x v="0"/>
  </r>
  <r>
    <n v="1564"/>
    <s v="Susan Tucker"/>
    <x v="1560"/>
    <x v="17"/>
    <d v="2020-06-06T00:00:00"/>
    <x v="0"/>
    <x v="7"/>
    <x v="1"/>
    <x v="3"/>
    <x v="0"/>
    <x v="575"/>
    <d v="2020-10-26T00:00:00"/>
    <n v="3"/>
    <n v="120"/>
    <n v="168"/>
    <x v="0"/>
  </r>
  <r>
    <n v="1565"/>
    <s v="Grant Medina"/>
    <x v="1561"/>
    <x v="7"/>
    <d v="2020-07-27T00:00:00"/>
    <x v="0"/>
    <x v="1"/>
    <x v="1"/>
    <x v="1"/>
    <x v="0"/>
    <x v="355"/>
    <d v="2021-02-20T00:00:00"/>
    <n v="4"/>
    <n v="0"/>
    <n v="24"/>
    <x v="0"/>
  </r>
  <r>
    <n v="1566"/>
    <s v="Angela Rowland"/>
    <x v="1562"/>
    <x v="7"/>
    <d v="2021-04-09T00:00:00"/>
    <x v="1"/>
    <x v="6"/>
    <x v="2"/>
    <x v="3"/>
    <x v="1"/>
    <x v="123"/>
    <d v="2021-08-19T00:00:00"/>
    <n v="5"/>
    <n v="96"/>
    <n v="168"/>
    <x v="0"/>
  </r>
  <r>
    <n v="1567"/>
    <s v="Kristina Gonzales"/>
    <x v="1563"/>
    <x v="7"/>
    <d v="2021-03-28T00:00:00"/>
    <x v="4"/>
    <x v="14"/>
    <x v="1"/>
    <x v="3"/>
    <x v="1"/>
    <x v="289"/>
    <d v="2021-04-29T00:00:00"/>
    <m/>
    <n v="264"/>
    <n v="168"/>
    <x v="1"/>
  </r>
  <r>
    <n v="1568"/>
    <s v="Brenda Carrillo"/>
    <x v="1564"/>
    <x v="8"/>
    <d v="2020-11-29T00:00:00"/>
    <x v="0"/>
    <x v="2"/>
    <x v="1"/>
    <x v="2"/>
    <x v="3"/>
    <x v="72"/>
    <d v="2021-11-09T00:00:00"/>
    <m/>
    <n v="72"/>
    <n v="120"/>
    <x v="0"/>
  </r>
  <r>
    <n v="1569"/>
    <s v="John Murray"/>
    <x v="689"/>
    <x v="8"/>
    <d v="2023-03-07T00:00:00"/>
    <x v="1"/>
    <x v="13"/>
    <x v="1"/>
    <x v="2"/>
    <x v="2"/>
    <x v="633"/>
    <d v="2023-07-04T00:00:00"/>
    <m/>
    <n v="96"/>
    <n v="120"/>
    <x v="0"/>
  </r>
  <r>
    <n v="1570"/>
    <s v="Brenda May"/>
    <x v="1565"/>
    <x v="5"/>
    <d v="2022-03-31T00:00:00"/>
    <x v="3"/>
    <x v="14"/>
    <x v="0"/>
    <x v="1"/>
    <x v="3"/>
    <x v="559"/>
    <d v="2023-02-07T00:00:00"/>
    <m/>
    <n v="24"/>
    <n v="24"/>
    <x v="0"/>
  </r>
  <r>
    <n v="1571"/>
    <s v="William Brooks"/>
    <x v="1566"/>
    <x v="7"/>
    <d v="2023-05-12T00:00:00"/>
    <x v="0"/>
    <x v="5"/>
    <x v="1"/>
    <x v="0"/>
    <x v="3"/>
    <x v="721"/>
    <d v="2023-09-13T00:00:00"/>
    <m/>
    <n v="48"/>
    <n v="48"/>
    <x v="0"/>
  </r>
  <r>
    <n v="1572"/>
    <s v="Diane Cook"/>
    <x v="1567"/>
    <x v="0"/>
    <d v="2023-04-27T00:00:00"/>
    <x v="2"/>
    <x v="2"/>
    <x v="0"/>
    <x v="3"/>
    <x v="0"/>
    <x v="582"/>
    <d v="2023-11-22T00:00:00"/>
    <m/>
    <n v="168"/>
    <n v="168"/>
    <x v="0"/>
  </r>
  <r>
    <n v="1573"/>
    <s v="Christopher Palmer"/>
    <x v="1568"/>
    <x v="5"/>
    <d v="2020-10-23T00:00:00"/>
    <x v="4"/>
    <x v="12"/>
    <x v="1"/>
    <x v="2"/>
    <x v="1"/>
    <x v="932"/>
    <d v="2020-12-30T00:00:00"/>
    <n v="4"/>
    <n v="120"/>
    <n v="120"/>
    <x v="0"/>
  </r>
  <r>
    <n v="1574"/>
    <s v="Pamela Jordan"/>
    <x v="1569"/>
    <x v="4"/>
    <d v="2020-10-09T00:00:00"/>
    <x v="0"/>
    <x v="6"/>
    <x v="0"/>
    <x v="2"/>
    <x v="1"/>
    <x v="105"/>
    <d v="2021-02-03T00:00:00"/>
    <m/>
    <n v="48"/>
    <n v="120"/>
    <x v="0"/>
  </r>
  <r>
    <n v="1575"/>
    <s v="Gina Rose"/>
    <x v="1570"/>
    <x v="18"/>
    <d v="2021-04-01T00:00:00"/>
    <x v="0"/>
    <x v="13"/>
    <x v="1"/>
    <x v="2"/>
    <x v="1"/>
    <x v="933"/>
    <d v="2021-12-16T00:00:00"/>
    <m/>
    <n v="120"/>
    <n v="120"/>
    <x v="0"/>
  </r>
  <r>
    <n v="1576"/>
    <s v="Ronald Smith"/>
    <x v="1571"/>
    <x v="8"/>
    <d v="2022-06-26T00:00:00"/>
    <x v="2"/>
    <x v="0"/>
    <x v="1"/>
    <x v="0"/>
    <x v="1"/>
    <x v="884"/>
    <d v="2022-07-03T00:00:00"/>
    <n v="3"/>
    <n v="48"/>
    <n v="48"/>
    <x v="0"/>
  </r>
  <r>
    <n v="1577"/>
    <s v="Erin Ellis"/>
    <x v="1572"/>
    <x v="18"/>
    <d v="2023-01-15T00:00:00"/>
    <x v="0"/>
    <x v="0"/>
    <x v="1"/>
    <x v="2"/>
    <x v="1"/>
    <x v="934"/>
    <d v="2023-01-25T00:00:00"/>
    <m/>
    <n v="96"/>
    <n v="120"/>
    <x v="0"/>
  </r>
  <r>
    <n v="1578"/>
    <s v="Brittany Mejia"/>
    <x v="1573"/>
    <x v="16"/>
    <d v="2022-07-24T00:00:00"/>
    <x v="3"/>
    <x v="10"/>
    <x v="1"/>
    <x v="3"/>
    <x v="2"/>
    <x v="496"/>
    <d v="2022-08-02T00:00:00"/>
    <n v="4"/>
    <n v="192"/>
    <n v="168"/>
    <x v="1"/>
  </r>
  <r>
    <n v="1579"/>
    <s v="Amanda Anderson"/>
    <x v="1574"/>
    <x v="0"/>
    <d v="2022-10-19T00:00:00"/>
    <x v="1"/>
    <x v="14"/>
    <x v="1"/>
    <x v="2"/>
    <x v="3"/>
    <x v="552"/>
    <d v="2023-07-20T00:00:00"/>
    <n v="5"/>
    <n v="120"/>
    <n v="120"/>
    <x v="0"/>
  </r>
  <r>
    <n v="1580"/>
    <s v="Eric Coleman"/>
    <x v="1575"/>
    <x v="6"/>
    <d v="2020-08-01T00:00:00"/>
    <x v="4"/>
    <x v="9"/>
    <x v="1"/>
    <x v="3"/>
    <x v="1"/>
    <x v="935"/>
    <d v="2021-03-01T00:00:00"/>
    <n v="3"/>
    <n v="96"/>
    <n v="168"/>
    <x v="0"/>
  </r>
  <r>
    <n v="1581"/>
    <s v="Terry Martinez"/>
    <x v="1576"/>
    <x v="4"/>
    <d v="2020-11-20T00:00:00"/>
    <x v="0"/>
    <x v="1"/>
    <x v="1"/>
    <x v="2"/>
    <x v="1"/>
    <x v="801"/>
    <d v="2021-06-26T00:00:00"/>
    <m/>
    <n v="96"/>
    <n v="120"/>
    <x v="0"/>
  </r>
  <r>
    <n v="1582"/>
    <s v="Jeremy Ross"/>
    <x v="1577"/>
    <x v="15"/>
    <d v="2020-05-24T00:00:00"/>
    <x v="3"/>
    <x v="2"/>
    <x v="1"/>
    <x v="3"/>
    <x v="1"/>
    <x v="936"/>
    <d v="2020-12-06T00:00:00"/>
    <n v="4"/>
    <n v="216"/>
    <n v="168"/>
    <x v="1"/>
  </r>
  <r>
    <n v="1583"/>
    <s v="Katie Lane"/>
    <x v="1578"/>
    <x v="0"/>
    <d v="2023-02-24T00:00:00"/>
    <x v="4"/>
    <x v="5"/>
    <x v="3"/>
    <x v="3"/>
    <x v="1"/>
    <x v="272"/>
    <d v="2023-05-11T00:00:00"/>
    <m/>
    <n v="264"/>
    <n v="168"/>
    <x v="1"/>
  </r>
  <r>
    <n v="1584"/>
    <s v="Nicole Stewart"/>
    <x v="1579"/>
    <x v="17"/>
    <d v="2021-07-13T00:00:00"/>
    <x v="2"/>
    <x v="0"/>
    <x v="0"/>
    <x v="0"/>
    <x v="1"/>
    <x v="937"/>
    <d v="2022-02-01T00:00:00"/>
    <m/>
    <n v="0"/>
    <n v="48"/>
    <x v="0"/>
  </r>
  <r>
    <n v="1585"/>
    <s v="Jordan Duffy"/>
    <x v="1580"/>
    <x v="4"/>
    <d v="2020-06-04T00:00:00"/>
    <x v="0"/>
    <x v="2"/>
    <x v="1"/>
    <x v="0"/>
    <x v="0"/>
    <x v="140"/>
    <d v="2020-09-22T00:00:00"/>
    <n v="4"/>
    <n v="48"/>
    <n v="48"/>
    <x v="0"/>
  </r>
  <r>
    <n v="1586"/>
    <s v="Tracy Copeland"/>
    <x v="1581"/>
    <x v="1"/>
    <d v="2020-12-22T00:00:00"/>
    <x v="0"/>
    <x v="14"/>
    <x v="3"/>
    <x v="3"/>
    <x v="3"/>
    <x v="53"/>
    <d v="2021-02-26T00:00:00"/>
    <m/>
    <n v="264"/>
    <n v="168"/>
    <x v="1"/>
  </r>
  <r>
    <n v="1587"/>
    <s v="Mrs. Maria Price DDS"/>
    <x v="1582"/>
    <x v="11"/>
    <d v="2021-01-21T00:00:00"/>
    <x v="2"/>
    <x v="6"/>
    <x v="0"/>
    <x v="1"/>
    <x v="3"/>
    <x v="847"/>
    <d v="2021-06-19T00:00:00"/>
    <m/>
    <n v="24"/>
    <n v="24"/>
    <x v="0"/>
  </r>
  <r>
    <n v="1588"/>
    <s v="Adam Stone"/>
    <x v="1583"/>
    <x v="10"/>
    <d v="2022-07-15T00:00:00"/>
    <x v="3"/>
    <x v="3"/>
    <x v="3"/>
    <x v="2"/>
    <x v="1"/>
    <x v="443"/>
    <d v="2023-01-08T00:00:00"/>
    <m/>
    <n v="48"/>
    <n v="120"/>
    <x v="0"/>
  </r>
  <r>
    <n v="1589"/>
    <s v="Sharon Guerrero"/>
    <x v="1584"/>
    <x v="14"/>
    <d v="2020-09-28T00:00:00"/>
    <x v="0"/>
    <x v="14"/>
    <x v="1"/>
    <x v="3"/>
    <x v="3"/>
    <x v="836"/>
    <d v="2021-08-29T00:00:00"/>
    <n v="5"/>
    <n v="120"/>
    <n v="168"/>
    <x v="0"/>
  </r>
  <r>
    <n v="1590"/>
    <s v="Traci Harmon"/>
    <x v="1585"/>
    <x v="2"/>
    <d v="2020-02-16T00:00:00"/>
    <x v="2"/>
    <x v="10"/>
    <x v="2"/>
    <x v="1"/>
    <x v="0"/>
    <x v="644"/>
    <d v="2020-12-01T00:00:00"/>
    <n v="4"/>
    <n v="0"/>
    <n v="24"/>
    <x v="0"/>
  </r>
  <r>
    <n v="1591"/>
    <s v="Mr. Mario Stout III"/>
    <x v="1586"/>
    <x v="3"/>
    <d v="2021-12-31T00:00:00"/>
    <x v="2"/>
    <x v="14"/>
    <x v="3"/>
    <x v="3"/>
    <x v="3"/>
    <x v="496"/>
    <d v="2022-08-01T00:00:00"/>
    <m/>
    <n v="168"/>
    <n v="168"/>
    <x v="0"/>
  </r>
  <r>
    <n v="1592"/>
    <s v="Shane Mcintyre"/>
    <x v="1587"/>
    <x v="7"/>
    <d v="2022-03-26T00:00:00"/>
    <x v="3"/>
    <x v="4"/>
    <x v="3"/>
    <x v="3"/>
    <x v="2"/>
    <x v="544"/>
    <d v="2023-01-03T00:00:00"/>
    <m/>
    <n v="24"/>
    <n v="168"/>
    <x v="0"/>
  </r>
  <r>
    <n v="1593"/>
    <s v="Brett Bailey"/>
    <x v="1588"/>
    <x v="18"/>
    <d v="2022-01-08T00:00:00"/>
    <x v="0"/>
    <x v="0"/>
    <x v="1"/>
    <x v="3"/>
    <x v="1"/>
    <x v="938"/>
    <d v="2022-06-14T00:00:00"/>
    <n v="3"/>
    <n v="144"/>
    <n v="168"/>
    <x v="0"/>
  </r>
  <r>
    <n v="1594"/>
    <s v="Jason Villanueva"/>
    <x v="1589"/>
    <x v="18"/>
    <d v="2020-01-02T00:00:00"/>
    <x v="4"/>
    <x v="10"/>
    <x v="3"/>
    <x v="3"/>
    <x v="1"/>
    <x v="939"/>
    <d v="2020-06-13T00:00:00"/>
    <m/>
    <n v="120"/>
    <n v="168"/>
    <x v="0"/>
  </r>
  <r>
    <n v="1595"/>
    <s v="John Leach"/>
    <x v="1590"/>
    <x v="6"/>
    <d v="2022-11-04T00:00:00"/>
    <x v="2"/>
    <x v="12"/>
    <x v="1"/>
    <x v="2"/>
    <x v="2"/>
    <x v="304"/>
    <d v="2023-06-18T00:00:00"/>
    <n v="3"/>
    <n v="144"/>
    <n v="120"/>
    <x v="1"/>
  </r>
  <r>
    <n v="1596"/>
    <s v="Karen Goodman"/>
    <x v="1591"/>
    <x v="0"/>
    <d v="2020-12-16T00:00:00"/>
    <x v="4"/>
    <x v="2"/>
    <x v="1"/>
    <x v="3"/>
    <x v="1"/>
    <x v="218"/>
    <d v="2021-08-16T00:00:00"/>
    <n v="4"/>
    <n v="216"/>
    <n v="168"/>
    <x v="1"/>
  </r>
  <r>
    <n v="1597"/>
    <s v="Natalie Love"/>
    <x v="1592"/>
    <x v="4"/>
    <d v="2021-01-24T00:00:00"/>
    <x v="0"/>
    <x v="6"/>
    <x v="1"/>
    <x v="3"/>
    <x v="3"/>
    <x v="555"/>
    <d v="2022-01-08T00:00:00"/>
    <n v="5"/>
    <n v="144"/>
    <n v="168"/>
    <x v="0"/>
  </r>
  <r>
    <n v="1598"/>
    <s v="Matthew Murphy"/>
    <x v="1593"/>
    <x v="7"/>
    <d v="2022-06-15T00:00:00"/>
    <x v="0"/>
    <x v="7"/>
    <x v="0"/>
    <x v="3"/>
    <x v="1"/>
    <x v="232"/>
    <d v="2022-06-23T00:00:00"/>
    <m/>
    <n v="168"/>
    <n v="168"/>
    <x v="0"/>
  </r>
  <r>
    <n v="1599"/>
    <s v="Debra Lam MD"/>
    <x v="1594"/>
    <x v="16"/>
    <d v="2023-05-27T00:00:00"/>
    <x v="4"/>
    <x v="1"/>
    <x v="3"/>
    <x v="3"/>
    <x v="3"/>
    <x v="800"/>
    <d v="2023-11-25T00:00:00"/>
    <m/>
    <n v="192"/>
    <n v="168"/>
    <x v="1"/>
  </r>
  <r>
    <n v="1600"/>
    <s v="Anthony Gonzalez"/>
    <x v="1595"/>
    <x v="11"/>
    <d v="2020-09-08T00:00:00"/>
    <x v="3"/>
    <x v="2"/>
    <x v="1"/>
    <x v="2"/>
    <x v="0"/>
    <x v="804"/>
    <d v="2020-10-30T00:00:00"/>
    <n v="4"/>
    <n v="120"/>
    <n v="120"/>
    <x v="0"/>
  </r>
  <r>
    <n v="1601"/>
    <s v="Adam Castillo"/>
    <x v="1596"/>
    <x v="16"/>
    <d v="2020-11-29T00:00:00"/>
    <x v="3"/>
    <x v="10"/>
    <x v="1"/>
    <x v="3"/>
    <x v="3"/>
    <x v="891"/>
    <d v="2021-01-23T00:00:00"/>
    <n v="3"/>
    <n v="120"/>
    <n v="168"/>
    <x v="0"/>
  </r>
  <r>
    <n v="1602"/>
    <s v="Dennis Gonzales"/>
    <x v="1597"/>
    <x v="11"/>
    <d v="2020-10-16T00:00:00"/>
    <x v="3"/>
    <x v="14"/>
    <x v="1"/>
    <x v="0"/>
    <x v="3"/>
    <x v="316"/>
    <d v="2021-05-09T00:00:00"/>
    <n v="5"/>
    <n v="24"/>
    <n v="48"/>
    <x v="0"/>
  </r>
  <r>
    <n v="1603"/>
    <s v="Robert Freeman"/>
    <x v="1598"/>
    <x v="3"/>
    <d v="2023-03-31T00:00:00"/>
    <x v="2"/>
    <x v="0"/>
    <x v="1"/>
    <x v="1"/>
    <x v="2"/>
    <x v="752"/>
    <d v="2023-12-01T00:00:00"/>
    <m/>
    <n v="24"/>
    <n v="24"/>
    <x v="0"/>
  </r>
  <r>
    <n v="1604"/>
    <s v="Amy Diaz"/>
    <x v="1599"/>
    <x v="0"/>
    <d v="2021-12-11T00:00:00"/>
    <x v="3"/>
    <x v="8"/>
    <x v="1"/>
    <x v="0"/>
    <x v="2"/>
    <x v="236"/>
    <d v="2022-06-27T00:00:00"/>
    <m/>
    <n v="0"/>
    <n v="48"/>
    <x v="0"/>
  </r>
  <r>
    <n v="1605"/>
    <s v="Barbara Marquez"/>
    <x v="1600"/>
    <x v="17"/>
    <d v="2022-05-09T00:00:00"/>
    <x v="3"/>
    <x v="9"/>
    <x v="1"/>
    <x v="2"/>
    <x v="0"/>
    <x v="825"/>
    <d v="2023-02-04T00:00:00"/>
    <n v="4"/>
    <n v="24"/>
    <n v="120"/>
    <x v="0"/>
  </r>
  <r>
    <n v="1606"/>
    <s v="Mrs. Sharon Wagner"/>
    <x v="1601"/>
    <x v="3"/>
    <d v="2020-08-08T00:00:00"/>
    <x v="1"/>
    <x v="3"/>
    <x v="1"/>
    <x v="3"/>
    <x v="1"/>
    <x v="940"/>
    <d v="2021-07-04T00:00:00"/>
    <n v="4"/>
    <n v="192"/>
    <n v="168"/>
    <x v="1"/>
  </r>
  <r>
    <n v="1607"/>
    <s v="Courtney Smith"/>
    <x v="1602"/>
    <x v="11"/>
    <d v="2022-03-26T00:00:00"/>
    <x v="4"/>
    <x v="13"/>
    <x v="1"/>
    <x v="2"/>
    <x v="2"/>
    <x v="941"/>
    <d v="2022-04-06T00:00:00"/>
    <n v="4"/>
    <n v="72"/>
    <n v="120"/>
    <x v="0"/>
  </r>
  <r>
    <n v="1608"/>
    <s v="Joseph Ryan"/>
    <x v="1603"/>
    <x v="16"/>
    <d v="2022-09-13T00:00:00"/>
    <x v="2"/>
    <x v="4"/>
    <x v="1"/>
    <x v="0"/>
    <x v="3"/>
    <x v="441"/>
    <d v="2023-08-26T00:00:00"/>
    <n v="4"/>
    <n v="96"/>
    <n v="48"/>
    <x v="1"/>
  </r>
  <r>
    <n v="1609"/>
    <s v="Lisa Bridges"/>
    <x v="1604"/>
    <x v="15"/>
    <d v="2020-11-10T00:00:00"/>
    <x v="0"/>
    <x v="10"/>
    <x v="0"/>
    <x v="3"/>
    <x v="2"/>
    <x v="726"/>
    <d v="2021-01-31T00:00:00"/>
    <m/>
    <n v="0"/>
    <n v="168"/>
    <x v="0"/>
  </r>
  <r>
    <n v="1610"/>
    <s v="Tyler Rush"/>
    <x v="1605"/>
    <x v="9"/>
    <d v="2021-12-28T00:00:00"/>
    <x v="1"/>
    <x v="13"/>
    <x v="0"/>
    <x v="2"/>
    <x v="2"/>
    <x v="829"/>
    <d v="2022-04-09T00:00:00"/>
    <m/>
    <n v="72"/>
    <n v="120"/>
    <x v="0"/>
  </r>
  <r>
    <n v="1611"/>
    <s v="Nathan Evans"/>
    <x v="1606"/>
    <x v="3"/>
    <d v="2020-11-20T00:00:00"/>
    <x v="4"/>
    <x v="11"/>
    <x v="1"/>
    <x v="3"/>
    <x v="1"/>
    <x v="460"/>
    <d v="2021-03-07T00:00:00"/>
    <n v="4"/>
    <n v="96"/>
    <n v="168"/>
    <x v="0"/>
  </r>
  <r>
    <n v="1612"/>
    <s v="Lisa Chung"/>
    <x v="1607"/>
    <x v="3"/>
    <d v="2020-09-05T00:00:00"/>
    <x v="2"/>
    <x v="9"/>
    <x v="2"/>
    <x v="0"/>
    <x v="1"/>
    <x v="942"/>
    <d v="2020-09-09T00:00:00"/>
    <n v="4"/>
    <n v="96"/>
    <n v="48"/>
    <x v="1"/>
  </r>
  <r>
    <n v="1613"/>
    <s v="Renee Tapia"/>
    <x v="1608"/>
    <x v="2"/>
    <d v="2021-08-30T00:00:00"/>
    <x v="3"/>
    <x v="13"/>
    <x v="1"/>
    <x v="0"/>
    <x v="1"/>
    <x v="943"/>
    <d v="2022-03-11T00:00:00"/>
    <m/>
    <n v="24"/>
    <n v="48"/>
    <x v="0"/>
  </r>
  <r>
    <n v="1614"/>
    <s v="Danielle Bell"/>
    <x v="1609"/>
    <x v="1"/>
    <d v="2020-07-10T00:00:00"/>
    <x v="2"/>
    <x v="10"/>
    <x v="0"/>
    <x v="3"/>
    <x v="0"/>
    <x v="511"/>
    <d v="2020-12-31T00:00:00"/>
    <m/>
    <n v="216"/>
    <n v="168"/>
    <x v="1"/>
  </r>
  <r>
    <n v="1615"/>
    <s v="Laurie Chambers"/>
    <x v="1610"/>
    <x v="7"/>
    <d v="2020-01-17T00:00:00"/>
    <x v="3"/>
    <x v="4"/>
    <x v="0"/>
    <x v="0"/>
    <x v="3"/>
    <x v="944"/>
    <d v="2020-02-15T00:00:00"/>
    <m/>
    <n v="48"/>
    <n v="48"/>
    <x v="0"/>
  </r>
  <r>
    <n v="1616"/>
    <s v="Kelly Warren"/>
    <x v="1611"/>
    <x v="6"/>
    <d v="2020-07-12T00:00:00"/>
    <x v="3"/>
    <x v="4"/>
    <x v="1"/>
    <x v="2"/>
    <x v="0"/>
    <x v="68"/>
    <d v="2021-03-10T00:00:00"/>
    <n v="4"/>
    <n v="96"/>
    <n v="120"/>
    <x v="0"/>
  </r>
  <r>
    <n v="1617"/>
    <s v="Lisa Hernandez"/>
    <x v="1612"/>
    <x v="1"/>
    <d v="2020-06-24T00:00:00"/>
    <x v="0"/>
    <x v="5"/>
    <x v="2"/>
    <x v="0"/>
    <x v="1"/>
    <x v="821"/>
    <d v="2021-03-28T00:00:00"/>
    <n v="3"/>
    <n v="72"/>
    <n v="48"/>
    <x v="1"/>
  </r>
  <r>
    <n v="1618"/>
    <s v="Jessica Jackson"/>
    <x v="1613"/>
    <x v="13"/>
    <d v="2020-06-09T00:00:00"/>
    <x v="3"/>
    <x v="14"/>
    <x v="3"/>
    <x v="0"/>
    <x v="3"/>
    <x v="870"/>
    <d v="2021-05-28T00:00:00"/>
    <m/>
    <n v="48"/>
    <n v="48"/>
    <x v="0"/>
  </r>
  <r>
    <n v="1619"/>
    <s v="Nicholas Moyer"/>
    <x v="1614"/>
    <x v="18"/>
    <d v="2020-03-29T00:00:00"/>
    <x v="3"/>
    <x v="9"/>
    <x v="1"/>
    <x v="3"/>
    <x v="1"/>
    <x v="945"/>
    <d v="2020-07-01T00:00:00"/>
    <n v="4"/>
    <n v="96"/>
    <n v="168"/>
    <x v="0"/>
  </r>
  <r>
    <n v="1620"/>
    <s v="Sharon Ramirez"/>
    <x v="1615"/>
    <x v="1"/>
    <d v="2022-11-02T00:00:00"/>
    <x v="2"/>
    <x v="14"/>
    <x v="1"/>
    <x v="2"/>
    <x v="0"/>
    <x v="310"/>
    <d v="2023-08-09T00:00:00"/>
    <m/>
    <n v="48"/>
    <n v="120"/>
    <x v="0"/>
  </r>
  <r>
    <n v="1621"/>
    <s v="Victoria Miller"/>
    <x v="1616"/>
    <x v="14"/>
    <d v="2022-02-07T00:00:00"/>
    <x v="2"/>
    <x v="2"/>
    <x v="0"/>
    <x v="3"/>
    <x v="0"/>
    <x v="143"/>
    <d v="2022-09-07T00:00:00"/>
    <m/>
    <n v="120"/>
    <n v="168"/>
    <x v="0"/>
  </r>
  <r>
    <n v="1622"/>
    <s v="Jeffrey Baker"/>
    <x v="1617"/>
    <x v="6"/>
    <d v="2022-07-31T00:00:00"/>
    <x v="2"/>
    <x v="11"/>
    <x v="1"/>
    <x v="0"/>
    <x v="1"/>
    <x v="596"/>
    <d v="2022-09-13T00:00:00"/>
    <m/>
    <n v="24"/>
    <n v="48"/>
    <x v="0"/>
  </r>
  <r>
    <n v="1623"/>
    <s v="Tammy Reyes"/>
    <x v="1618"/>
    <x v="2"/>
    <d v="2022-06-13T00:00:00"/>
    <x v="0"/>
    <x v="12"/>
    <x v="0"/>
    <x v="2"/>
    <x v="1"/>
    <x v="326"/>
    <d v="2022-06-25T00:00:00"/>
    <m/>
    <n v="120"/>
    <n v="120"/>
    <x v="0"/>
  </r>
  <r>
    <n v="1624"/>
    <s v="Vincent Allen"/>
    <x v="1619"/>
    <x v="9"/>
    <d v="2020-03-02T00:00:00"/>
    <x v="2"/>
    <x v="6"/>
    <x v="1"/>
    <x v="3"/>
    <x v="1"/>
    <x v="917"/>
    <d v="2020-12-03T00:00:00"/>
    <n v="3"/>
    <n v="216"/>
    <n v="168"/>
    <x v="1"/>
  </r>
  <r>
    <n v="1625"/>
    <s v="Richard Phelps"/>
    <x v="1620"/>
    <x v="15"/>
    <d v="2023-03-02T00:00:00"/>
    <x v="0"/>
    <x v="14"/>
    <x v="1"/>
    <x v="3"/>
    <x v="1"/>
    <x v="946"/>
    <d v="2023-12-19T00:00:00"/>
    <n v="3"/>
    <n v="168"/>
    <n v="168"/>
    <x v="0"/>
  </r>
  <r>
    <n v="1626"/>
    <s v="Maureen Johnson"/>
    <x v="1621"/>
    <x v="3"/>
    <d v="2021-03-30T00:00:00"/>
    <x v="4"/>
    <x v="11"/>
    <x v="0"/>
    <x v="1"/>
    <x v="3"/>
    <x v="828"/>
    <d v="2021-06-02T00:00:00"/>
    <m/>
    <n v="0"/>
    <n v="24"/>
    <x v="0"/>
  </r>
  <r>
    <n v="1627"/>
    <s v="Rebecca Daniel"/>
    <x v="1622"/>
    <x v="12"/>
    <d v="2021-03-05T00:00:00"/>
    <x v="0"/>
    <x v="5"/>
    <x v="1"/>
    <x v="2"/>
    <x v="1"/>
    <x v="947"/>
    <d v="2021-10-16T00:00:00"/>
    <n v="4"/>
    <n v="72"/>
    <n v="120"/>
    <x v="0"/>
  </r>
  <r>
    <n v="1628"/>
    <s v="Anthony Ellis"/>
    <x v="1623"/>
    <x v="18"/>
    <d v="2023-04-12T00:00:00"/>
    <x v="3"/>
    <x v="13"/>
    <x v="1"/>
    <x v="2"/>
    <x v="3"/>
    <x v="948"/>
    <d v="2024-01-27T00:00:00"/>
    <n v="4"/>
    <n v="168"/>
    <n v="120"/>
    <x v="1"/>
  </r>
  <r>
    <n v="1629"/>
    <s v="Mariah Yang"/>
    <x v="1624"/>
    <x v="9"/>
    <d v="2021-06-02T00:00:00"/>
    <x v="4"/>
    <x v="8"/>
    <x v="1"/>
    <x v="0"/>
    <x v="3"/>
    <x v="839"/>
    <d v="2021-12-01T00:00:00"/>
    <m/>
    <n v="0"/>
    <n v="48"/>
    <x v="0"/>
  </r>
  <r>
    <n v="1630"/>
    <s v="Joshua Trujillo"/>
    <x v="1625"/>
    <x v="5"/>
    <d v="2020-05-20T00:00:00"/>
    <x v="0"/>
    <x v="2"/>
    <x v="1"/>
    <x v="0"/>
    <x v="3"/>
    <x v="949"/>
    <d v="2020-10-08T00:00:00"/>
    <n v="5"/>
    <n v="24"/>
    <n v="48"/>
    <x v="0"/>
  </r>
  <r>
    <n v="1631"/>
    <s v="Emily Crawford"/>
    <x v="1626"/>
    <x v="12"/>
    <d v="2022-01-24T00:00:00"/>
    <x v="4"/>
    <x v="5"/>
    <x v="3"/>
    <x v="2"/>
    <x v="0"/>
    <x v="512"/>
    <d v="2022-04-17T00:00:00"/>
    <m/>
    <n v="168"/>
    <n v="120"/>
    <x v="1"/>
  </r>
  <r>
    <n v="1632"/>
    <s v="Robert Huang"/>
    <x v="1627"/>
    <x v="18"/>
    <d v="2020-10-21T00:00:00"/>
    <x v="2"/>
    <x v="11"/>
    <x v="1"/>
    <x v="3"/>
    <x v="3"/>
    <x v="238"/>
    <d v="2021-08-14T00:00:00"/>
    <n v="2"/>
    <n v="48"/>
    <n v="168"/>
    <x v="0"/>
  </r>
  <r>
    <n v="1633"/>
    <s v="Susan Graves"/>
    <x v="1628"/>
    <x v="14"/>
    <d v="2022-08-18T00:00:00"/>
    <x v="2"/>
    <x v="13"/>
    <x v="1"/>
    <x v="2"/>
    <x v="2"/>
    <x v="950"/>
    <d v="2023-02-28T00:00:00"/>
    <n v="4"/>
    <n v="144"/>
    <n v="120"/>
    <x v="1"/>
  </r>
  <r>
    <n v="1634"/>
    <s v="Christina Davis"/>
    <x v="1629"/>
    <x v="5"/>
    <d v="2021-06-12T00:00:00"/>
    <x v="1"/>
    <x v="10"/>
    <x v="1"/>
    <x v="3"/>
    <x v="0"/>
    <x v="951"/>
    <d v="2022-04-03T00:00:00"/>
    <n v="4"/>
    <n v="96"/>
    <n v="168"/>
    <x v="0"/>
  </r>
  <r>
    <n v="1635"/>
    <s v="Jennifer Morse"/>
    <x v="1630"/>
    <x v="18"/>
    <d v="2022-08-10T00:00:00"/>
    <x v="4"/>
    <x v="11"/>
    <x v="1"/>
    <x v="2"/>
    <x v="1"/>
    <x v="15"/>
    <d v="2023-02-27T00:00:00"/>
    <m/>
    <n v="0"/>
    <n v="120"/>
    <x v="0"/>
  </r>
  <r>
    <n v="1636"/>
    <s v="Angela Key"/>
    <x v="1631"/>
    <x v="12"/>
    <d v="2020-08-28T00:00:00"/>
    <x v="0"/>
    <x v="4"/>
    <x v="2"/>
    <x v="3"/>
    <x v="3"/>
    <x v="847"/>
    <d v="2021-06-25T00:00:00"/>
    <n v="4"/>
    <n v="168"/>
    <n v="168"/>
    <x v="0"/>
  </r>
  <r>
    <n v="1637"/>
    <s v="Denise Simpson"/>
    <x v="1632"/>
    <x v="17"/>
    <d v="2020-12-01T00:00:00"/>
    <x v="2"/>
    <x v="12"/>
    <x v="3"/>
    <x v="3"/>
    <x v="0"/>
    <x v="254"/>
    <d v="2021-03-04T00:00:00"/>
    <m/>
    <n v="216"/>
    <n v="168"/>
    <x v="1"/>
  </r>
  <r>
    <n v="1638"/>
    <s v="Edward Oconnell"/>
    <x v="1633"/>
    <x v="4"/>
    <d v="2022-05-06T00:00:00"/>
    <x v="0"/>
    <x v="7"/>
    <x v="3"/>
    <x v="2"/>
    <x v="1"/>
    <x v="301"/>
    <d v="2022-11-23T00:00:00"/>
    <m/>
    <n v="48"/>
    <n v="120"/>
    <x v="0"/>
  </r>
  <r>
    <n v="1639"/>
    <s v="Mrs. Charlotte Stone MD"/>
    <x v="1634"/>
    <x v="2"/>
    <d v="2023-05-30T00:00:00"/>
    <x v="2"/>
    <x v="2"/>
    <x v="1"/>
    <x v="3"/>
    <x v="1"/>
    <x v="264"/>
    <d v="2023-07-28T00:00:00"/>
    <n v="3"/>
    <n v="168"/>
    <n v="168"/>
    <x v="0"/>
  </r>
  <r>
    <n v="1640"/>
    <s v="Jacob Mccullough"/>
    <x v="1635"/>
    <x v="17"/>
    <d v="2020-07-27T00:00:00"/>
    <x v="3"/>
    <x v="3"/>
    <x v="1"/>
    <x v="2"/>
    <x v="1"/>
    <x v="485"/>
    <d v="2021-05-13T00:00:00"/>
    <n v="3"/>
    <n v="96"/>
    <n v="120"/>
    <x v="0"/>
  </r>
  <r>
    <n v="1641"/>
    <s v="Ronald Park"/>
    <x v="1636"/>
    <x v="0"/>
    <d v="2023-01-05T00:00:00"/>
    <x v="4"/>
    <x v="8"/>
    <x v="3"/>
    <x v="3"/>
    <x v="3"/>
    <x v="745"/>
    <d v="2023-12-21T00:00:00"/>
    <m/>
    <n v="120"/>
    <n v="168"/>
    <x v="0"/>
  </r>
  <r>
    <n v="1642"/>
    <s v="Erik Aguirre"/>
    <x v="1637"/>
    <x v="10"/>
    <d v="2022-05-10T00:00:00"/>
    <x v="2"/>
    <x v="10"/>
    <x v="1"/>
    <x v="2"/>
    <x v="1"/>
    <x v="952"/>
    <d v="2023-02-03T00:00:00"/>
    <n v="5"/>
    <n v="48"/>
    <n v="120"/>
    <x v="0"/>
  </r>
  <r>
    <n v="1643"/>
    <s v="Courtney Adams"/>
    <x v="1638"/>
    <x v="7"/>
    <d v="2021-11-08T00:00:00"/>
    <x v="4"/>
    <x v="14"/>
    <x v="1"/>
    <x v="3"/>
    <x v="3"/>
    <x v="953"/>
    <d v="2022-07-07T00:00:00"/>
    <n v="4"/>
    <n v="216"/>
    <n v="168"/>
    <x v="1"/>
  </r>
  <r>
    <n v="1644"/>
    <s v="Zachary Johnson"/>
    <x v="1639"/>
    <x v="18"/>
    <d v="2022-01-10T00:00:00"/>
    <x v="1"/>
    <x v="14"/>
    <x v="0"/>
    <x v="2"/>
    <x v="2"/>
    <x v="169"/>
    <d v="2022-03-04T00:00:00"/>
    <m/>
    <n v="96"/>
    <n v="120"/>
    <x v="0"/>
  </r>
  <r>
    <n v="1645"/>
    <s v="Brittany Fleming"/>
    <x v="1640"/>
    <x v="6"/>
    <d v="2023-02-04T00:00:00"/>
    <x v="4"/>
    <x v="9"/>
    <x v="1"/>
    <x v="3"/>
    <x v="0"/>
    <x v="954"/>
    <d v="2024-01-28T00:00:00"/>
    <n v="4"/>
    <n v="48"/>
    <n v="168"/>
    <x v="0"/>
  </r>
  <r>
    <n v="1646"/>
    <s v="Kyle Jordan"/>
    <x v="1641"/>
    <x v="18"/>
    <d v="2021-04-26T00:00:00"/>
    <x v="3"/>
    <x v="10"/>
    <x v="3"/>
    <x v="2"/>
    <x v="0"/>
    <x v="365"/>
    <d v="2021-06-30T00:00:00"/>
    <m/>
    <n v="72"/>
    <n v="120"/>
    <x v="0"/>
  </r>
  <r>
    <n v="1647"/>
    <s v="Megan Rivera"/>
    <x v="1642"/>
    <x v="2"/>
    <d v="2022-06-30T00:00:00"/>
    <x v="1"/>
    <x v="2"/>
    <x v="1"/>
    <x v="2"/>
    <x v="2"/>
    <x v="344"/>
    <d v="2022-09-12T00:00:00"/>
    <n v="3"/>
    <n v="192"/>
    <n v="120"/>
    <x v="1"/>
  </r>
  <r>
    <n v="1648"/>
    <s v="Adam Lynch"/>
    <x v="1643"/>
    <x v="16"/>
    <d v="2022-04-02T00:00:00"/>
    <x v="2"/>
    <x v="10"/>
    <x v="3"/>
    <x v="2"/>
    <x v="1"/>
    <x v="739"/>
    <d v="2022-11-07T00:00:00"/>
    <m/>
    <n v="144"/>
    <n v="120"/>
    <x v="1"/>
  </r>
  <r>
    <n v="1649"/>
    <s v="Christopher Lee"/>
    <x v="1644"/>
    <x v="7"/>
    <d v="2023-02-05T00:00:00"/>
    <x v="1"/>
    <x v="13"/>
    <x v="3"/>
    <x v="3"/>
    <x v="1"/>
    <x v="955"/>
    <d v="2023-05-10T00:00:00"/>
    <m/>
    <n v="216"/>
    <n v="168"/>
    <x v="1"/>
  </r>
  <r>
    <n v="1650"/>
    <s v="Brandon Shah"/>
    <x v="1645"/>
    <x v="1"/>
    <d v="2022-01-06T00:00:00"/>
    <x v="4"/>
    <x v="10"/>
    <x v="1"/>
    <x v="3"/>
    <x v="1"/>
    <x v="533"/>
    <d v="2022-08-18T00:00:00"/>
    <m/>
    <n v="168"/>
    <n v="168"/>
    <x v="0"/>
  </r>
  <r>
    <n v="1651"/>
    <s v="Greg Davis"/>
    <x v="1646"/>
    <x v="0"/>
    <d v="2020-05-20T00:00:00"/>
    <x v="3"/>
    <x v="8"/>
    <x v="0"/>
    <x v="2"/>
    <x v="2"/>
    <x v="404"/>
    <d v="2020-07-07T00:00:00"/>
    <m/>
    <n v="144"/>
    <n v="120"/>
    <x v="1"/>
  </r>
  <r>
    <n v="1652"/>
    <s v="James Perez"/>
    <x v="1647"/>
    <x v="6"/>
    <d v="2021-02-04T00:00:00"/>
    <x v="3"/>
    <x v="6"/>
    <x v="2"/>
    <x v="0"/>
    <x v="1"/>
    <x v="956"/>
    <d v="2021-07-13T00:00:00"/>
    <n v="4"/>
    <n v="48"/>
    <n v="48"/>
    <x v="0"/>
  </r>
  <r>
    <n v="1653"/>
    <s v="Larry Hendrix"/>
    <x v="1648"/>
    <x v="4"/>
    <d v="2022-04-01T00:00:00"/>
    <x v="4"/>
    <x v="11"/>
    <x v="1"/>
    <x v="2"/>
    <x v="1"/>
    <x v="957"/>
    <d v="2022-05-09T00:00:00"/>
    <n v="5"/>
    <n v="72"/>
    <n v="120"/>
    <x v="0"/>
  </r>
  <r>
    <n v="1654"/>
    <s v="Gabriel Torres"/>
    <x v="1649"/>
    <x v="7"/>
    <d v="2022-08-22T00:00:00"/>
    <x v="2"/>
    <x v="14"/>
    <x v="2"/>
    <x v="2"/>
    <x v="3"/>
    <x v="958"/>
    <d v="2023-01-19T00:00:00"/>
    <n v="3"/>
    <n v="120"/>
    <n v="120"/>
    <x v="0"/>
  </r>
  <r>
    <n v="1655"/>
    <s v="Mr. William Davis DDS"/>
    <x v="1650"/>
    <x v="14"/>
    <d v="2023-01-02T00:00:00"/>
    <x v="3"/>
    <x v="12"/>
    <x v="1"/>
    <x v="2"/>
    <x v="1"/>
    <x v="186"/>
    <d v="2023-08-07T00:00:00"/>
    <n v="4"/>
    <n v="24"/>
    <n v="120"/>
    <x v="0"/>
  </r>
  <r>
    <n v="1656"/>
    <s v="Patricia Romero"/>
    <x v="1651"/>
    <x v="18"/>
    <d v="2023-05-17T00:00:00"/>
    <x v="4"/>
    <x v="13"/>
    <x v="1"/>
    <x v="2"/>
    <x v="0"/>
    <x v="959"/>
    <d v="2024-05-13T00:00:00"/>
    <n v="4"/>
    <n v="48"/>
    <n v="120"/>
    <x v="0"/>
  </r>
  <r>
    <n v="1657"/>
    <s v="Renee Collins"/>
    <x v="1652"/>
    <x v="0"/>
    <d v="2020-09-17T00:00:00"/>
    <x v="3"/>
    <x v="11"/>
    <x v="0"/>
    <x v="1"/>
    <x v="0"/>
    <x v="917"/>
    <d v="2020-11-25T00:00:00"/>
    <m/>
    <n v="24"/>
    <n v="24"/>
    <x v="0"/>
  </r>
  <r>
    <n v="1658"/>
    <s v="Kathleen Munoz"/>
    <x v="1653"/>
    <x v="7"/>
    <d v="2020-06-29T00:00:00"/>
    <x v="4"/>
    <x v="13"/>
    <x v="1"/>
    <x v="2"/>
    <x v="3"/>
    <x v="345"/>
    <d v="2021-05-20T00:00:00"/>
    <n v="4"/>
    <n v="144"/>
    <n v="120"/>
    <x v="1"/>
  </r>
  <r>
    <n v="1659"/>
    <s v="Ana Sanchez"/>
    <x v="1654"/>
    <x v="2"/>
    <d v="2023-05-18T00:00:00"/>
    <x v="4"/>
    <x v="4"/>
    <x v="1"/>
    <x v="3"/>
    <x v="1"/>
    <x v="776"/>
    <d v="2023-06-06T00:00:00"/>
    <n v="5"/>
    <n v="168"/>
    <n v="168"/>
    <x v="0"/>
  </r>
  <r>
    <n v="1660"/>
    <s v="Ian Rangel"/>
    <x v="1655"/>
    <x v="5"/>
    <d v="2023-03-18T00:00:00"/>
    <x v="0"/>
    <x v="8"/>
    <x v="1"/>
    <x v="3"/>
    <x v="1"/>
    <x v="960"/>
    <d v="2023-08-29T00:00:00"/>
    <n v="4"/>
    <n v="0"/>
    <n v="168"/>
    <x v="0"/>
  </r>
  <r>
    <n v="1661"/>
    <s v="Annette Meyer"/>
    <x v="1656"/>
    <x v="9"/>
    <d v="2022-04-06T00:00:00"/>
    <x v="3"/>
    <x v="1"/>
    <x v="1"/>
    <x v="3"/>
    <x v="1"/>
    <x v="961"/>
    <d v="2022-12-30T00:00:00"/>
    <n v="5"/>
    <n v="168"/>
    <n v="168"/>
    <x v="0"/>
  </r>
  <r>
    <n v="1662"/>
    <s v="Nicole Day"/>
    <x v="1657"/>
    <x v="3"/>
    <d v="2022-08-30T00:00:00"/>
    <x v="4"/>
    <x v="4"/>
    <x v="1"/>
    <x v="2"/>
    <x v="1"/>
    <x v="311"/>
    <d v="2023-04-16T00:00:00"/>
    <n v="2"/>
    <n v="72"/>
    <n v="120"/>
    <x v="0"/>
  </r>
  <r>
    <n v="1663"/>
    <s v="Jeffrey Miller"/>
    <x v="1658"/>
    <x v="1"/>
    <d v="2022-08-05T00:00:00"/>
    <x v="0"/>
    <x v="3"/>
    <x v="1"/>
    <x v="3"/>
    <x v="3"/>
    <x v="128"/>
    <d v="2022-11-17T00:00:00"/>
    <n v="3"/>
    <n v="192"/>
    <n v="168"/>
    <x v="1"/>
  </r>
  <r>
    <n v="1664"/>
    <s v="Jonathan Hartman"/>
    <x v="1659"/>
    <x v="3"/>
    <d v="2020-10-19T00:00:00"/>
    <x v="0"/>
    <x v="12"/>
    <x v="1"/>
    <x v="3"/>
    <x v="1"/>
    <x v="564"/>
    <d v="2020-12-12T00:00:00"/>
    <n v="4"/>
    <n v="72"/>
    <n v="168"/>
    <x v="0"/>
  </r>
  <r>
    <n v="1665"/>
    <s v="Elizabeth Matthews"/>
    <x v="1660"/>
    <x v="3"/>
    <d v="2020-02-13T00:00:00"/>
    <x v="0"/>
    <x v="10"/>
    <x v="3"/>
    <x v="3"/>
    <x v="1"/>
    <x v="693"/>
    <d v="2020-08-03T00:00:00"/>
    <m/>
    <n v="144"/>
    <n v="168"/>
    <x v="0"/>
  </r>
  <r>
    <n v="1666"/>
    <s v="Eric Lopez"/>
    <x v="1661"/>
    <x v="11"/>
    <d v="2023-02-21T00:00:00"/>
    <x v="2"/>
    <x v="10"/>
    <x v="1"/>
    <x v="3"/>
    <x v="1"/>
    <x v="962"/>
    <d v="2023-09-27T00:00:00"/>
    <n v="2"/>
    <n v="120"/>
    <n v="168"/>
    <x v="0"/>
  </r>
  <r>
    <n v="1667"/>
    <s v="Sarah Hicks"/>
    <x v="1662"/>
    <x v="8"/>
    <d v="2020-12-10T00:00:00"/>
    <x v="3"/>
    <x v="12"/>
    <x v="1"/>
    <x v="3"/>
    <x v="0"/>
    <x v="221"/>
    <d v="2021-10-07T00:00:00"/>
    <m/>
    <n v="216"/>
    <n v="168"/>
    <x v="1"/>
  </r>
  <r>
    <n v="1668"/>
    <s v="Angel Harris"/>
    <x v="1663"/>
    <x v="1"/>
    <d v="2021-08-15T00:00:00"/>
    <x v="0"/>
    <x v="9"/>
    <x v="1"/>
    <x v="2"/>
    <x v="3"/>
    <x v="963"/>
    <d v="2022-04-02T00:00:00"/>
    <n v="5"/>
    <n v="144"/>
    <n v="120"/>
    <x v="1"/>
  </r>
  <r>
    <n v="1669"/>
    <s v="Michael Glass"/>
    <x v="1664"/>
    <x v="13"/>
    <d v="2020-10-02T00:00:00"/>
    <x v="0"/>
    <x v="3"/>
    <x v="0"/>
    <x v="3"/>
    <x v="2"/>
    <x v="964"/>
    <d v="2020-12-01T00:00:00"/>
    <m/>
    <n v="72"/>
    <n v="168"/>
    <x v="0"/>
  </r>
  <r>
    <n v="1670"/>
    <s v="Dr. Jacqueline Monroe"/>
    <x v="1665"/>
    <x v="6"/>
    <d v="2022-11-04T00:00:00"/>
    <x v="3"/>
    <x v="2"/>
    <x v="0"/>
    <x v="3"/>
    <x v="1"/>
    <x v="93"/>
    <d v="2023-01-25T00:00:00"/>
    <m/>
    <n v="144"/>
    <n v="168"/>
    <x v="0"/>
  </r>
  <r>
    <n v="1671"/>
    <s v="Thomas Becker"/>
    <x v="1666"/>
    <x v="10"/>
    <d v="2020-01-16T00:00:00"/>
    <x v="2"/>
    <x v="2"/>
    <x v="3"/>
    <x v="1"/>
    <x v="3"/>
    <x v="965"/>
    <d v="2020-04-13T00:00:00"/>
    <m/>
    <n v="0"/>
    <n v="24"/>
    <x v="0"/>
  </r>
  <r>
    <n v="1672"/>
    <s v="Jason Ramirez"/>
    <x v="1667"/>
    <x v="18"/>
    <d v="2020-01-17T00:00:00"/>
    <x v="0"/>
    <x v="5"/>
    <x v="1"/>
    <x v="2"/>
    <x v="2"/>
    <x v="590"/>
    <d v="2020-10-06T00:00:00"/>
    <n v="5"/>
    <n v="96"/>
    <n v="120"/>
    <x v="0"/>
  </r>
  <r>
    <n v="1673"/>
    <s v="Jennifer Dominguez"/>
    <x v="1668"/>
    <x v="12"/>
    <d v="2020-04-19T00:00:00"/>
    <x v="3"/>
    <x v="10"/>
    <x v="3"/>
    <x v="3"/>
    <x v="1"/>
    <x v="145"/>
    <d v="2020-11-10T00:00:00"/>
    <m/>
    <n v="96"/>
    <n v="168"/>
    <x v="0"/>
  </r>
  <r>
    <n v="1674"/>
    <s v="Ashley Barrera"/>
    <x v="1669"/>
    <x v="7"/>
    <d v="2020-09-16T00:00:00"/>
    <x v="3"/>
    <x v="5"/>
    <x v="1"/>
    <x v="2"/>
    <x v="1"/>
    <x v="157"/>
    <d v="2021-01-18T00:00:00"/>
    <n v="4"/>
    <n v="96"/>
    <n v="120"/>
    <x v="0"/>
  </r>
  <r>
    <n v="1675"/>
    <s v="Dawn Becker"/>
    <x v="1670"/>
    <x v="3"/>
    <d v="2022-06-04T00:00:00"/>
    <x v="0"/>
    <x v="12"/>
    <x v="0"/>
    <x v="2"/>
    <x v="0"/>
    <x v="188"/>
    <d v="2022-09-25T00:00:00"/>
    <m/>
    <n v="144"/>
    <n v="120"/>
    <x v="1"/>
  </r>
  <r>
    <n v="1676"/>
    <s v="Philip Foster"/>
    <x v="1671"/>
    <x v="1"/>
    <d v="2020-11-07T00:00:00"/>
    <x v="3"/>
    <x v="7"/>
    <x v="3"/>
    <x v="0"/>
    <x v="3"/>
    <x v="756"/>
    <d v="2021-05-06T00:00:00"/>
    <m/>
    <n v="48"/>
    <n v="48"/>
    <x v="0"/>
  </r>
  <r>
    <n v="1677"/>
    <s v="Zachary Harrison"/>
    <x v="1672"/>
    <x v="10"/>
    <d v="2020-10-13T00:00:00"/>
    <x v="3"/>
    <x v="12"/>
    <x v="1"/>
    <x v="3"/>
    <x v="3"/>
    <x v="613"/>
    <d v="2020-10-24T00:00:00"/>
    <n v="4"/>
    <n v="216"/>
    <n v="168"/>
    <x v="1"/>
  </r>
  <r>
    <n v="1678"/>
    <s v="Michael Jones"/>
    <x v="1673"/>
    <x v="6"/>
    <d v="2020-08-09T00:00:00"/>
    <x v="4"/>
    <x v="8"/>
    <x v="2"/>
    <x v="0"/>
    <x v="1"/>
    <x v="804"/>
    <d v="2020-10-28T00:00:00"/>
    <n v="4"/>
    <n v="72"/>
    <n v="48"/>
    <x v="1"/>
  </r>
  <r>
    <n v="1679"/>
    <s v="Randy Bates"/>
    <x v="1674"/>
    <x v="9"/>
    <d v="2022-06-02T00:00:00"/>
    <x v="2"/>
    <x v="12"/>
    <x v="1"/>
    <x v="2"/>
    <x v="0"/>
    <x v="856"/>
    <d v="2022-08-02T00:00:00"/>
    <n v="5"/>
    <n v="48"/>
    <n v="120"/>
    <x v="0"/>
  </r>
  <r>
    <n v="1680"/>
    <s v="Christian Villarreal"/>
    <x v="1675"/>
    <x v="18"/>
    <d v="2022-09-27T00:00:00"/>
    <x v="2"/>
    <x v="1"/>
    <x v="0"/>
    <x v="0"/>
    <x v="3"/>
    <x v="668"/>
    <d v="2023-05-11T00:00:00"/>
    <m/>
    <n v="48"/>
    <n v="48"/>
    <x v="0"/>
  </r>
  <r>
    <n v="1681"/>
    <s v="James Arroyo"/>
    <x v="1676"/>
    <x v="4"/>
    <d v="2022-10-19T00:00:00"/>
    <x v="3"/>
    <x v="12"/>
    <x v="3"/>
    <x v="3"/>
    <x v="0"/>
    <x v="966"/>
    <d v="2023-02-07T00:00:00"/>
    <m/>
    <n v="120"/>
    <n v="168"/>
    <x v="0"/>
  </r>
  <r>
    <n v="1682"/>
    <s v="Allison Alexander"/>
    <x v="1677"/>
    <x v="7"/>
    <d v="2020-08-10T00:00:00"/>
    <x v="1"/>
    <x v="14"/>
    <x v="1"/>
    <x v="2"/>
    <x v="1"/>
    <x v="842"/>
    <d v="2020-11-11T00:00:00"/>
    <n v="4"/>
    <n v="72"/>
    <n v="120"/>
    <x v="0"/>
  </r>
  <r>
    <n v="1683"/>
    <s v="Emily Rodriguez"/>
    <x v="1678"/>
    <x v="4"/>
    <d v="2023-01-24T00:00:00"/>
    <x v="1"/>
    <x v="5"/>
    <x v="1"/>
    <x v="2"/>
    <x v="0"/>
    <x v="426"/>
    <d v="2023-04-06T00:00:00"/>
    <n v="4"/>
    <n v="96"/>
    <n v="120"/>
    <x v="0"/>
  </r>
  <r>
    <n v="1684"/>
    <s v="Timothy Wood"/>
    <x v="1679"/>
    <x v="9"/>
    <d v="2021-08-15T00:00:00"/>
    <x v="0"/>
    <x v="9"/>
    <x v="1"/>
    <x v="3"/>
    <x v="0"/>
    <x v="967"/>
    <d v="2022-07-23T00:00:00"/>
    <n v="5"/>
    <n v="168"/>
    <n v="168"/>
    <x v="0"/>
  </r>
  <r>
    <n v="1685"/>
    <s v="Anthony Hughes"/>
    <x v="1680"/>
    <x v="0"/>
    <d v="2022-05-25T00:00:00"/>
    <x v="1"/>
    <x v="1"/>
    <x v="1"/>
    <x v="0"/>
    <x v="1"/>
    <x v="968"/>
    <d v="2022-09-22T00:00:00"/>
    <n v="4"/>
    <n v="48"/>
    <n v="48"/>
    <x v="0"/>
  </r>
  <r>
    <n v="1686"/>
    <s v="Alicia Holloway"/>
    <x v="1681"/>
    <x v="6"/>
    <d v="2021-03-14T00:00:00"/>
    <x v="2"/>
    <x v="4"/>
    <x v="1"/>
    <x v="2"/>
    <x v="1"/>
    <x v="599"/>
    <d v="2021-07-05T00:00:00"/>
    <n v="3"/>
    <n v="120"/>
    <n v="120"/>
    <x v="0"/>
  </r>
  <r>
    <n v="1687"/>
    <s v="Jasmine Kent"/>
    <x v="1682"/>
    <x v="0"/>
    <d v="2022-09-16T00:00:00"/>
    <x v="2"/>
    <x v="13"/>
    <x v="1"/>
    <x v="2"/>
    <x v="3"/>
    <x v="806"/>
    <d v="2023-03-24T00:00:00"/>
    <n v="5"/>
    <n v="96"/>
    <n v="120"/>
    <x v="0"/>
  </r>
  <r>
    <n v="1688"/>
    <s v="Thomas Hernandez"/>
    <x v="1683"/>
    <x v="9"/>
    <d v="2021-02-03T00:00:00"/>
    <x v="0"/>
    <x v="11"/>
    <x v="0"/>
    <x v="2"/>
    <x v="2"/>
    <x v="273"/>
    <d v="2021-09-14T00:00:00"/>
    <m/>
    <n v="72"/>
    <n v="120"/>
    <x v="0"/>
  </r>
  <r>
    <n v="1689"/>
    <s v="Isabel Smith"/>
    <x v="1684"/>
    <x v="0"/>
    <d v="2022-04-21T00:00:00"/>
    <x v="1"/>
    <x v="8"/>
    <x v="1"/>
    <x v="3"/>
    <x v="1"/>
    <x v="120"/>
    <d v="2022-10-17T00:00:00"/>
    <n v="3"/>
    <n v="96"/>
    <n v="168"/>
    <x v="0"/>
  </r>
  <r>
    <n v="1690"/>
    <s v="Victoria Martinez"/>
    <x v="1685"/>
    <x v="0"/>
    <d v="2021-12-16T00:00:00"/>
    <x v="1"/>
    <x v="1"/>
    <x v="3"/>
    <x v="3"/>
    <x v="3"/>
    <x v="969"/>
    <d v="2021-12-27T00:00:00"/>
    <m/>
    <n v="72"/>
    <n v="168"/>
    <x v="0"/>
  </r>
  <r>
    <n v="1691"/>
    <s v="Jill Price"/>
    <x v="1686"/>
    <x v="7"/>
    <d v="2022-04-03T00:00:00"/>
    <x v="4"/>
    <x v="3"/>
    <x v="1"/>
    <x v="2"/>
    <x v="1"/>
    <x v="514"/>
    <d v="2023-02-17T00:00:00"/>
    <n v="4"/>
    <n v="48"/>
    <n v="120"/>
    <x v="0"/>
  </r>
  <r>
    <n v="1692"/>
    <s v="Daniel Lee"/>
    <x v="1687"/>
    <x v="0"/>
    <d v="2021-07-18T00:00:00"/>
    <x v="3"/>
    <x v="6"/>
    <x v="0"/>
    <x v="2"/>
    <x v="3"/>
    <x v="970"/>
    <d v="2021-09-27T00:00:00"/>
    <m/>
    <n v="24"/>
    <n v="120"/>
    <x v="0"/>
  </r>
  <r>
    <n v="1693"/>
    <s v="Kimberly Gallagher"/>
    <x v="1688"/>
    <x v="18"/>
    <d v="2021-09-02T00:00:00"/>
    <x v="2"/>
    <x v="10"/>
    <x v="1"/>
    <x v="1"/>
    <x v="1"/>
    <x v="730"/>
    <d v="2021-11-04T00:00:00"/>
    <n v="5"/>
    <n v="24"/>
    <n v="24"/>
    <x v="0"/>
  </r>
  <r>
    <n v="1694"/>
    <s v="Brian Pearson"/>
    <x v="1689"/>
    <x v="9"/>
    <d v="2020-11-05T00:00:00"/>
    <x v="2"/>
    <x v="0"/>
    <x v="3"/>
    <x v="2"/>
    <x v="3"/>
    <x v="971"/>
    <d v="2021-07-15T00:00:00"/>
    <m/>
    <n v="48"/>
    <n v="120"/>
    <x v="0"/>
  </r>
  <r>
    <n v="1695"/>
    <s v="Juan Moore"/>
    <x v="1690"/>
    <x v="6"/>
    <d v="2021-11-19T00:00:00"/>
    <x v="3"/>
    <x v="1"/>
    <x v="1"/>
    <x v="3"/>
    <x v="1"/>
    <x v="658"/>
    <d v="2022-09-29T00:00:00"/>
    <n v="4"/>
    <n v="264"/>
    <n v="168"/>
    <x v="1"/>
  </r>
  <r>
    <n v="1696"/>
    <s v="Daniel Bradley"/>
    <x v="1691"/>
    <x v="14"/>
    <d v="2023-04-09T00:00:00"/>
    <x v="1"/>
    <x v="2"/>
    <x v="0"/>
    <x v="0"/>
    <x v="2"/>
    <x v="464"/>
    <d v="2023-05-08T00:00:00"/>
    <m/>
    <n v="48"/>
    <n v="48"/>
    <x v="0"/>
  </r>
  <r>
    <n v="1697"/>
    <s v="James Casey"/>
    <x v="1692"/>
    <x v="11"/>
    <d v="2023-02-21T00:00:00"/>
    <x v="4"/>
    <x v="5"/>
    <x v="0"/>
    <x v="3"/>
    <x v="3"/>
    <x v="625"/>
    <d v="2023-11-04T00:00:00"/>
    <m/>
    <n v="120"/>
    <n v="168"/>
    <x v="0"/>
  </r>
  <r>
    <n v="1698"/>
    <s v="Timothy Stewart"/>
    <x v="1693"/>
    <x v="12"/>
    <d v="2020-02-03T00:00:00"/>
    <x v="0"/>
    <x v="8"/>
    <x v="1"/>
    <x v="2"/>
    <x v="1"/>
    <x v="584"/>
    <d v="2020-11-04T00:00:00"/>
    <n v="3"/>
    <n v="120"/>
    <n v="120"/>
    <x v="0"/>
  </r>
  <r>
    <n v="1699"/>
    <s v="Scott Brown"/>
    <x v="1694"/>
    <x v="10"/>
    <d v="2023-03-01T00:00:00"/>
    <x v="2"/>
    <x v="1"/>
    <x v="1"/>
    <x v="3"/>
    <x v="1"/>
    <x v="972"/>
    <d v="2024-01-14T00:00:00"/>
    <n v="4"/>
    <n v="216"/>
    <n v="168"/>
    <x v="1"/>
  </r>
  <r>
    <n v="1700"/>
    <s v="Daniel Pittman"/>
    <x v="1695"/>
    <x v="9"/>
    <d v="2022-01-08T00:00:00"/>
    <x v="1"/>
    <x v="1"/>
    <x v="1"/>
    <x v="2"/>
    <x v="1"/>
    <x v="652"/>
    <d v="2022-07-11T00:00:00"/>
    <n v="3"/>
    <n v="96"/>
    <n v="120"/>
    <x v="0"/>
  </r>
  <r>
    <n v="1701"/>
    <s v="Christopher Turner"/>
    <x v="1696"/>
    <x v="0"/>
    <d v="2020-07-02T00:00:00"/>
    <x v="2"/>
    <x v="7"/>
    <x v="0"/>
    <x v="2"/>
    <x v="1"/>
    <x v="564"/>
    <d v="2020-12-11T00:00:00"/>
    <m/>
    <n v="48"/>
    <n v="120"/>
    <x v="0"/>
  </r>
  <r>
    <n v="1702"/>
    <s v="Lisa Moore"/>
    <x v="1697"/>
    <x v="13"/>
    <d v="2021-01-22T00:00:00"/>
    <x v="0"/>
    <x v="0"/>
    <x v="1"/>
    <x v="3"/>
    <x v="1"/>
    <x v="929"/>
    <d v="2022-01-06T00:00:00"/>
    <n v="3"/>
    <n v="192"/>
    <n v="168"/>
    <x v="1"/>
  </r>
  <r>
    <n v="1703"/>
    <s v="Mary Thomas"/>
    <x v="1698"/>
    <x v="1"/>
    <d v="2021-08-14T00:00:00"/>
    <x v="3"/>
    <x v="5"/>
    <x v="0"/>
    <x v="2"/>
    <x v="1"/>
    <x v="645"/>
    <d v="2022-08-11T00:00:00"/>
    <m/>
    <n v="96"/>
    <n v="120"/>
    <x v="0"/>
  </r>
  <r>
    <n v="1704"/>
    <s v="John Wang"/>
    <x v="1699"/>
    <x v="3"/>
    <d v="2021-11-25T00:00:00"/>
    <x v="2"/>
    <x v="4"/>
    <x v="1"/>
    <x v="2"/>
    <x v="3"/>
    <x v="42"/>
    <d v="2021-12-17T00:00:00"/>
    <m/>
    <n v="24"/>
    <n v="120"/>
    <x v="0"/>
  </r>
  <r>
    <n v="1705"/>
    <s v="Tracy Potts"/>
    <x v="1700"/>
    <x v="18"/>
    <d v="2020-10-02T00:00:00"/>
    <x v="2"/>
    <x v="7"/>
    <x v="1"/>
    <x v="2"/>
    <x v="0"/>
    <x v="913"/>
    <d v="2021-06-16T00:00:00"/>
    <n v="3"/>
    <n v="120"/>
    <n v="120"/>
    <x v="0"/>
  </r>
  <r>
    <n v="1706"/>
    <s v="Eric Long"/>
    <x v="1701"/>
    <x v="7"/>
    <d v="2020-11-02T00:00:00"/>
    <x v="2"/>
    <x v="7"/>
    <x v="1"/>
    <x v="2"/>
    <x v="1"/>
    <x v="612"/>
    <d v="2020-12-28T00:00:00"/>
    <n v="5"/>
    <n v="96"/>
    <n v="120"/>
    <x v="0"/>
  </r>
  <r>
    <n v="1707"/>
    <s v="Erica Dawson"/>
    <x v="1702"/>
    <x v="14"/>
    <d v="2020-01-25T00:00:00"/>
    <x v="1"/>
    <x v="7"/>
    <x v="1"/>
    <x v="2"/>
    <x v="3"/>
    <x v="973"/>
    <d v="2020-04-25T00:00:00"/>
    <n v="4"/>
    <n v="48"/>
    <n v="120"/>
    <x v="0"/>
  </r>
  <r>
    <n v="1708"/>
    <s v="Leslie Frey"/>
    <x v="1703"/>
    <x v="0"/>
    <d v="2022-03-19T00:00:00"/>
    <x v="4"/>
    <x v="8"/>
    <x v="1"/>
    <x v="1"/>
    <x v="1"/>
    <x v="604"/>
    <d v="2023-01-26T00:00:00"/>
    <n v="4"/>
    <n v="24"/>
    <n v="24"/>
    <x v="0"/>
  </r>
  <r>
    <n v="1709"/>
    <s v="Allison Flores"/>
    <x v="1704"/>
    <x v="15"/>
    <d v="2021-02-12T00:00:00"/>
    <x v="4"/>
    <x v="11"/>
    <x v="0"/>
    <x v="3"/>
    <x v="1"/>
    <x v="974"/>
    <d v="2021-11-06T00:00:00"/>
    <m/>
    <n v="96"/>
    <n v="168"/>
    <x v="0"/>
  </r>
  <r>
    <n v="1710"/>
    <s v="Jeffrey Williams"/>
    <x v="1705"/>
    <x v="8"/>
    <d v="2020-02-18T00:00:00"/>
    <x v="3"/>
    <x v="3"/>
    <x v="2"/>
    <x v="2"/>
    <x v="2"/>
    <x v="347"/>
    <d v="2021-01-05T00:00:00"/>
    <n v="4"/>
    <n v="0"/>
    <n v="120"/>
    <x v="0"/>
  </r>
  <r>
    <n v="1711"/>
    <s v="William Weber"/>
    <x v="1706"/>
    <x v="1"/>
    <d v="2021-08-13T00:00:00"/>
    <x v="2"/>
    <x v="8"/>
    <x v="1"/>
    <x v="3"/>
    <x v="1"/>
    <x v="382"/>
    <d v="2022-05-04T00:00:00"/>
    <n v="4"/>
    <n v="48"/>
    <n v="168"/>
    <x v="0"/>
  </r>
  <r>
    <n v="1712"/>
    <s v="Michael Nelson"/>
    <x v="1707"/>
    <x v="12"/>
    <d v="2023-05-03T00:00:00"/>
    <x v="0"/>
    <x v="4"/>
    <x v="3"/>
    <x v="3"/>
    <x v="2"/>
    <x v="975"/>
    <d v="2024-01-21T00:00:00"/>
    <m/>
    <n v="144"/>
    <n v="168"/>
    <x v="0"/>
  </r>
  <r>
    <n v="1713"/>
    <s v="Michael Anderson"/>
    <x v="1708"/>
    <x v="17"/>
    <d v="2021-03-13T00:00:00"/>
    <x v="0"/>
    <x v="13"/>
    <x v="3"/>
    <x v="0"/>
    <x v="1"/>
    <x v="796"/>
    <d v="2021-07-26T00:00:00"/>
    <m/>
    <n v="48"/>
    <n v="48"/>
    <x v="0"/>
  </r>
  <r>
    <n v="1714"/>
    <s v="Thomas Sellers"/>
    <x v="1709"/>
    <x v="14"/>
    <d v="2020-06-25T00:00:00"/>
    <x v="3"/>
    <x v="10"/>
    <x v="1"/>
    <x v="3"/>
    <x v="1"/>
    <x v="208"/>
    <d v="2021-04-20T00:00:00"/>
    <n v="4"/>
    <n v="144"/>
    <n v="168"/>
    <x v="0"/>
  </r>
  <r>
    <n v="1715"/>
    <s v="Carl Gill"/>
    <x v="1710"/>
    <x v="16"/>
    <d v="2022-06-07T00:00:00"/>
    <x v="1"/>
    <x v="7"/>
    <x v="1"/>
    <x v="3"/>
    <x v="3"/>
    <x v="976"/>
    <d v="2023-02-13T00:00:00"/>
    <n v="4"/>
    <n v="216"/>
    <n v="168"/>
    <x v="1"/>
  </r>
  <r>
    <n v="1716"/>
    <s v="Peggy Shields"/>
    <x v="1711"/>
    <x v="9"/>
    <d v="2022-08-17T00:00:00"/>
    <x v="0"/>
    <x v="4"/>
    <x v="1"/>
    <x v="2"/>
    <x v="3"/>
    <x v="977"/>
    <d v="2022-11-09T00:00:00"/>
    <n v="4"/>
    <n v="96"/>
    <n v="120"/>
    <x v="0"/>
  </r>
  <r>
    <n v="1717"/>
    <s v="Kevin Sheppard"/>
    <x v="1712"/>
    <x v="5"/>
    <d v="2020-06-13T00:00:00"/>
    <x v="0"/>
    <x v="5"/>
    <x v="1"/>
    <x v="3"/>
    <x v="1"/>
    <x v="689"/>
    <d v="2021-01-01T00:00:00"/>
    <n v="5"/>
    <n v="48"/>
    <n v="168"/>
    <x v="0"/>
  </r>
  <r>
    <n v="1718"/>
    <s v="Amy Taylor"/>
    <x v="1713"/>
    <x v="0"/>
    <d v="2020-01-06T00:00:00"/>
    <x v="2"/>
    <x v="4"/>
    <x v="0"/>
    <x v="0"/>
    <x v="1"/>
    <x v="978"/>
    <d v="2020-05-19T00:00:00"/>
    <m/>
    <n v="48"/>
    <n v="48"/>
    <x v="0"/>
  </r>
  <r>
    <n v="1719"/>
    <s v="Michael Clark"/>
    <x v="1714"/>
    <x v="12"/>
    <d v="2022-01-09T00:00:00"/>
    <x v="2"/>
    <x v="5"/>
    <x v="1"/>
    <x v="2"/>
    <x v="1"/>
    <x v="100"/>
    <d v="2022-12-05T00:00:00"/>
    <n v="4"/>
    <n v="48"/>
    <n v="120"/>
    <x v="0"/>
  </r>
  <r>
    <n v="1720"/>
    <s v="Michelle Simpson"/>
    <x v="1715"/>
    <x v="5"/>
    <d v="2020-04-05T00:00:00"/>
    <x v="0"/>
    <x v="4"/>
    <x v="1"/>
    <x v="3"/>
    <x v="1"/>
    <x v="257"/>
    <d v="2021-02-02T00:00:00"/>
    <n v="4"/>
    <n v="144"/>
    <n v="168"/>
    <x v="0"/>
  </r>
  <r>
    <n v="1721"/>
    <s v="Jordan Miller"/>
    <x v="1716"/>
    <x v="7"/>
    <d v="2020-10-21T00:00:00"/>
    <x v="0"/>
    <x v="10"/>
    <x v="1"/>
    <x v="2"/>
    <x v="1"/>
    <x v="70"/>
    <d v="2021-09-02T00:00:00"/>
    <n v="5"/>
    <n v="96"/>
    <n v="120"/>
    <x v="0"/>
  </r>
  <r>
    <n v="1722"/>
    <s v="Michele Jones"/>
    <x v="1717"/>
    <x v="5"/>
    <d v="2020-09-09T00:00:00"/>
    <x v="4"/>
    <x v="14"/>
    <x v="2"/>
    <x v="2"/>
    <x v="3"/>
    <x v="979"/>
    <d v="2020-09-19T00:00:00"/>
    <n v="3"/>
    <n v="120"/>
    <n v="120"/>
    <x v="0"/>
  </r>
  <r>
    <n v="1723"/>
    <s v="Russell Phillips"/>
    <x v="1718"/>
    <x v="11"/>
    <d v="2021-10-24T00:00:00"/>
    <x v="2"/>
    <x v="2"/>
    <x v="3"/>
    <x v="1"/>
    <x v="1"/>
    <x v="762"/>
    <d v="2022-07-29T00:00:00"/>
    <m/>
    <n v="24"/>
    <n v="24"/>
    <x v="0"/>
  </r>
  <r>
    <n v="1724"/>
    <s v="Gregory Allen"/>
    <x v="1719"/>
    <x v="18"/>
    <d v="2021-03-13T00:00:00"/>
    <x v="0"/>
    <x v="9"/>
    <x v="1"/>
    <x v="3"/>
    <x v="2"/>
    <x v="915"/>
    <d v="2021-07-17T00:00:00"/>
    <n v="4"/>
    <n v="240"/>
    <n v="168"/>
    <x v="1"/>
  </r>
  <r>
    <n v="1725"/>
    <s v="Amy Brown"/>
    <x v="1720"/>
    <x v="9"/>
    <d v="2020-05-04T00:00:00"/>
    <x v="3"/>
    <x v="7"/>
    <x v="0"/>
    <x v="3"/>
    <x v="2"/>
    <x v="578"/>
    <d v="2020-12-17T00:00:00"/>
    <m/>
    <n v="240"/>
    <n v="168"/>
    <x v="1"/>
  </r>
  <r>
    <n v="1726"/>
    <s v="Stephanie Griffin"/>
    <x v="1721"/>
    <x v="14"/>
    <d v="2022-12-20T00:00:00"/>
    <x v="2"/>
    <x v="0"/>
    <x v="3"/>
    <x v="3"/>
    <x v="1"/>
    <x v="682"/>
    <d v="2023-07-03T00:00:00"/>
    <m/>
    <n v="288"/>
    <n v="168"/>
    <x v="1"/>
  </r>
  <r>
    <n v="1727"/>
    <s v="Megan Jones"/>
    <x v="1722"/>
    <x v="14"/>
    <d v="2023-02-26T00:00:00"/>
    <x v="0"/>
    <x v="2"/>
    <x v="0"/>
    <x v="2"/>
    <x v="1"/>
    <x v="980"/>
    <d v="2023-07-01T00:00:00"/>
    <m/>
    <n v="384"/>
    <n v="120"/>
    <x v="1"/>
  </r>
  <r>
    <n v="1728"/>
    <s v="Jacqueline Evans"/>
    <x v="1723"/>
    <x v="0"/>
    <d v="2020-12-20T00:00:00"/>
    <x v="1"/>
    <x v="9"/>
    <x v="3"/>
    <x v="3"/>
    <x v="1"/>
    <x v="971"/>
    <d v="2021-07-20T00:00:00"/>
    <m/>
    <n v="168"/>
    <n v="168"/>
    <x v="0"/>
  </r>
  <r>
    <n v="1729"/>
    <s v="Amanda Gomez"/>
    <x v="1724"/>
    <x v="6"/>
    <d v="2021-12-21T00:00:00"/>
    <x v="1"/>
    <x v="10"/>
    <x v="0"/>
    <x v="0"/>
    <x v="1"/>
    <x v="172"/>
    <d v="2022-05-06T00:00:00"/>
    <m/>
    <n v="48"/>
    <n v="48"/>
    <x v="0"/>
  </r>
  <r>
    <n v="1730"/>
    <s v="Julie Hernandez"/>
    <x v="1725"/>
    <x v="8"/>
    <d v="2023-05-09T00:00:00"/>
    <x v="3"/>
    <x v="6"/>
    <x v="3"/>
    <x v="3"/>
    <x v="2"/>
    <x v="981"/>
    <d v="2024-03-01T00:00:00"/>
    <m/>
    <n v="168"/>
    <n v="168"/>
    <x v="0"/>
  </r>
  <r>
    <n v="1731"/>
    <s v="William Chen"/>
    <x v="1726"/>
    <x v="18"/>
    <d v="2020-09-25T00:00:00"/>
    <x v="3"/>
    <x v="14"/>
    <x v="0"/>
    <x v="2"/>
    <x v="3"/>
    <x v="964"/>
    <d v="2020-12-02T00:00:00"/>
    <m/>
    <n v="96"/>
    <n v="120"/>
    <x v="0"/>
  </r>
  <r>
    <n v="1732"/>
    <s v="Tracy Robinson"/>
    <x v="1727"/>
    <x v="17"/>
    <d v="2020-11-03T00:00:00"/>
    <x v="3"/>
    <x v="6"/>
    <x v="1"/>
    <x v="0"/>
    <x v="0"/>
    <x v="365"/>
    <d v="2021-06-28T00:00:00"/>
    <n v="5"/>
    <n v="24"/>
    <n v="48"/>
    <x v="0"/>
  </r>
  <r>
    <n v="1733"/>
    <s v="James Torres"/>
    <x v="1728"/>
    <x v="4"/>
    <d v="2022-02-14T00:00:00"/>
    <x v="0"/>
    <x v="6"/>
    <x v="1"/>
    <x v="2"/>
    <x v="3"/>
    <x v="982"/>
    <d v="2022-12-31T00:00:00"/>
    <m/>
    <n v="48"/>
    <n v="120"/>
    <x v="0"/>
  </r>
  <r>
    <n v="1734"/>
    <s v="Travis Moore"/>
    <x v="1729"/>
    <x v="1"/>
    <d v="2023-01-01T00:00:00"/>
    <x v="3"/>
    <x v="5"/>
    <x v="1"/>
    <x v="2"/>
    <x v="3"/>
    <x v="983"/>
    <d v="2023-07-28T00:00:00"/>
    <n v="4"/>
    <n v="144"/>
    <n v="120"/>
    <x v="1"/>
  </r>
  <r>
    <n v="1735"/>
    <s v="Dylan Young"/>
    <x v="1730"/>
    <x v="11"/>
    <d v="2020-01-21T00:00:00"/>
    <x v="4"/>
    <x v="8"/>
    <x v="0"/>
    <x v="1"/>
    <x v="3"/>
    <x v="283"/>
    <d v="2020-06-29T00:00:00"/>
    <m/>
    <n v="0"/>
    <n v="24"/>
    <x v="0"/>
  </r>
  <r>
    <n v="1736"/>
    <s v="Lynn Morgan"/>
    <x v="1731"/>
    <x v="13"/>
    <d v="2022-07-19T00:00:00"/>
    <x v="2"/>
    <x v="0"/>
    <x v="0"/>
    <x v="3"/>
    <x v="1"/>
    <x v="93"/>
    <d v="2023-01-27T00:00:00"/>
    <m/>
    <n v="192"/>
    <n v="168"/>
    <x v="1"/>
  </r>
  <r>
    <n v="1737"/>
    <s v="Douglas Hardy"/>
    <x v="1732"/>
    <x v="16"/>
    <d v="2020-01-28T00:00:00"/>
    <x v="2"/>
    <x v="5"/>
    <x v="1"/>
    <x v="0"/>
    <x v="1"/>
    <x v="984"/>
    <d v="2021-01-11T00:00:00"/>
    <n v="5"/>
    <n v="0"/>
    <n v="48"/>
    <x v="0"/>
  </r>
  <r>
    <n v="1738"/>
    <s v="Jason Clark"/>
    <x v="1733"/>
    <x v="6"/>
    <d v="2022-05-12T00:00:00"/>
    <x v="3"/>
    <x v="8"/>
    <x v="0"/>
    <x v="2"/>
    <x v="3"/>
    <x v="489"/>
    <d v="2022-07-07T00:00:00"/>
    <m/>
    <n v="120"/>
    <n v="120"/>
    <x v="0"/>
  </r>
  <r>
    <n v="1739"/>
    <s v="Riley Hale"/>
    <x v="1734"/>
    <x v="1"/>
    <d v="2020-12-21T00:00:00"/>
    <x v="2"/>
    <x v="11"/>
    <x v="0"/>
    <x v="2"/>
    <x v="2"/>
    <x v="985"/>
    <d v="2021-05-27T00:00:00"/>
    <m/>
    <n v="72"/>
    <n v="120"/>
    <x v="0"/>
  </r>
  <r>
    <n v="1740"/>
    <s v="Lisa Li"/>
    <x v="1735"/>
    <x v="11"/>
    <d v="2021-05-01T00:00:00"/>
    <x v="1"/>
    <x v="5"/>
    <x v="1"/>
    <x v="2"/>
    <x v="1"/>
    <x v="331"/>
    <d v="2022-02-14T00:00:00"/>
    <n v="5"/>
    <n v="96"/>
    <n v="120"/>
    <x v="0"/>
  </r>
  <r>
    <n v="1741"/>
    <s v="Anna Christensen"/>
    <x v="1736"/>
    <x v="2"/>
    <d v="2023-02-04T00:00:00"/>
    <x v="1"/>
    <x v="3"/>
    <x v="3"/>
    <x v="2"/>
    <x v="1"/>
    <x v="986"/>
    <d v="2023-10-15T00:00:00"/>
    <m/>
    <n v="72"/>
    <n v="120"/>
    <x v="0"/>
  </r>
  <r>
    <n v="1742"/>
    <s v="Jerry Waters"/>
    <x v="1737"/>
    <x v="10"/>
    <d v="2021-01-18T00:00:00"/>
    <x v="2"/>
    <x v="6"/>
    <x v="1"/>
    <x v="1"/>
    <x v="0"/>
    <x v="207"/>
    <d v="2021-10-04T00:00:00"/>
    <n v="5"/>
    <n v="0"/>
    <n v="24"/>
    <x v="0"/>
  </r>
  <r>
    <n v="1743"/>
    <s v="Aaron Kelly"/>
    <x v="1738"/>
    <x v="3"/>
    <d v="2021-05-12T00:00:00"/>
    <x v="3"/>
    <x v="8"/>
    <x v="1"/>
    <x v="2"/>
    <x v="1"/>
    <x v="402"/>
    <d v="2021-12-19T00:00:00"/>
    <n v="4"/>
    <n v="168"/>
    <n v="120"/>
    <x v="1"/>
  </r>
  <r>
    <n v="1744"/>
    <s v="Mr. Stephen Gonzalez"/>
    <x v="1739"/>
    <x v="16"/>
    <d v="2021-04-04T00:00:00"/>
    <x v="2"/>
    <x v="13"/>
    <x v="3"/>
    <x v="0"/>
    <x v="3"/>
    <x v="987"/>
    <d v="2021-06-27T00:00:00"/>
    <m/>
    <n v="48"/>
    <n v="48"/>
    <x v="0"/>
  </r>
  <r>
    <n v="1745"/>
    <s v="Nancy Lee"/>
    <x v="1740"/>
    <x v="13"/>
    <d v="2020-01-17T00:00:00"/>
    <x v="3"/>
    <x v="0"/>
    <x v="1"/>
    <x v="3"/>
    <x v="1"/>
    <x v="988"/>
    <d v="2020-07-04T00:00:00"/>
    <n v="3"/>
    <n v="240"/>
    <n v="168"/>
    <x v="1"/>
  </r>
  <r>
    <n v="1746"/>
    <s v="Dan Phillips"/>
    <x v="1741"/>
    <x v="18"/>
    <d v="2021-07-26T00:00:00"/>
    <x v="0"/>
    <x v="8"/>
    <x v="0"/>
    <x v="2"/>
    <x v="0"/>
    <x v="839"/>
    <d v="2021-12-04T00:00:00"/>
    <m/>
    <n v="72"/>
    <n v="120"/>
    <x v="0"/>
  </r>
  <r>
    <n v="1747"/>
    <s v="Theodore Hernandez"/>
    <x v="1742"/>
    <x v="0"/>
    <d v="2023-03-24T00:00:00"/>
    <x v="3"/>
    <x v="12"/>
    <x v="1"/>
    <x v="3"/>
    <x v="1"/>
    <x v="989"/>
    <d v="2023-12-01T00:00:00"/>
    <n v="5"/>
    <n v="240"/>
    <n v="168"/>
    <x v="1"/>
  </r>
  <r>
    <n v="1748"/>
    <s v="Timothy Bryant"/>
    <x v="1743"/>
    <x v="2"/>
    <d v="2022-06-30T00:00:00"/>
    <x v="1"/>
    <x v="14"/>
    <x v="1"/>
    <x v="3"/>
    <x v="0"/>
    <x v="824"/>
    <d v="2023-02-20T00:00:00"/>
    <n v="3"/>
    <n v="192"/>
    <n v="168"/>
    <x v="1"/>
  </r>
  <r>
    <n v="1749"/>
    <s v="Tyler Martinez"/>
    <x v="1744"/>
    <x v="16"/>
    <d v="2023-01-24T00:00:00"/>
    <x v="2"/>
    <x v="5"/>
    <x v="1"/>
    <x v="0"/>
    <x v="0"/>
    <x v="150"/>
    <d v="2023-03-06T00:00:00"/>
    <n v="4"/>
    <n v="72"/>
    <n v="48"/>
    <x v="1"/>
  </r>
  <r>
    <n v="1750"/>
    <s v="Alexander Hamilton"/>
    <x v="1745"/>
    <x v="2"/>
    <d v="2022-09-26T00:00:00"/>
    <x v="4"/>
    <x v="5"/>
    <x v="0"/>
    <x v="2"/>
    <x v="3"/>
    <x v="990"/>
    <d v="2023-09-20T00:00:00"/>
    <m/>
    <n v="72"/>
    <n v="120"/>
    <x v="0"/>
  </r>
  <r>
    <n v="1751"/>
    <s v="Keith Carroll"/>
    <x v="1746"/>
    <x v="11"/>
    <d v="2020-04-09T00:00:00"/>
    <x v="1"/>
    <x v="5"/>
    <x v="1"/>
    <x v="0"/>
    <x v="1"/>
    <x v="741"/>
    <d v="2020-12-30T00:00:00"/>
    <n v="5"/>
    <n v="48"/>
    <n v="48"/>
    <x v="0"/>
  </r>
  <r>
    <n v="1752"/>
    <s v="Brenda Garcia"/>
    <x v="1747"/>
    <x v="11"/>
    <d v="2021-07-08T00:00:00"/>
    <x v="4"/>
    <x v="14"/>
    <x v="1"/>
    <x v="3"/>
    <x v="3"/>
    <x v="478"/>
    <d v="2021-08-10T00:00:00"/>
    <n v="4"/>
    <n v="216"/>
    <n v="168"/>
    <x v="1"/>
  </r>
  <r>
    <n v="1753"/>
    <s v="Jason Potter"/>
    <x v="1748"/>
    <x v="9"/>
    <d v="2021-10-08T00:00:00"/>
    <x v="2"/>
    <x v="11"/>
    <x v="1"/>
    <x v="0"/>
    <x v="3"/>
    <x v="376"/>
    <d v="2021-12-06T00:00:00"/>
    <m/>
    <n v="48"/>
    <n v="48"/>
    <x v="0"/>
  </r>
  <r>
    <n v="1754"/>
    <s v="Jennifer Moore"/>
    <x v="1749"/>
    <x v="9"/>
    <d v="2023-03-30T00:00:00"/>
    <x v="4"/>
    <x v="9"/>
    <x v="1"/>
    <x v="3"/>
    <x v="3"/>
    <x v="582"/>
    <d v="2023-11-22T00:00:00"/>
    <n v="4"/>
    <n v="168"/>
    <n v="168"/>
    <x v="0"/>
  </r>
  <r>
    <n v="1755"/>
    <s v="Debbie Allen"/>
    <x v="1750"/>
    <x v="10"/>
    <d v="2022-01-13T00:00:00"/>
    <x v="0"/>
    <x v="8"/>
    <x v="1"/>
    <x v="3"/>
    <x v="1"/>
    <x v="268"/>
    <d v="2022-10-24T00:00:00"/>
    <n v="4"/>
    <n v="0"/>
    <n v="168"/>
    <x v="0"/>
  </r>
  <r>
    <n v="1756"/>
    <s v="Daniel Hall"/>
    <x v="1751"/>
    <x v="9"/>
    <d v="2021-05-16T00:00:00"/>
    <x v="2"/>
    <x v="7"/>
    <x v="1"/>
    <x v="3"/>
    <x v="1"/>
    <x v="119"/>
    <d v="2022-03-29T00:00:00"/>
    <m/>
    <n v="168"/>
    <n v="168"/>
    <x v="0"/>
  </r>
  <r>
    <n v="1757"/>
    <s v="Mark Foster"/>
    <x v="1752"/>
    <x v="14"/>
    <d v="2020-03-03T00:00:00"/>
    <x v="1"/>
    <x v="8"/>
    <x v="1"/>
    <x v="2"/>
    <x v="0"/>
    <x v="449"/>
    <d v="2020-08-18T00:00:00"/>
    <n v="4"/>
    <n v="48"/>
    <n v="120"/>
    <x v="0"/>
  </r>
  <r>
    <n v="1758"/>
    <s v="Andrew Perez"/>
    <x v="1753"/>
    <x v="0"/>
    <d v="2022-06-22T00:00:00"/>
    <x v="2"/>
    <x v="5"/>
    <x v="1"/>
    <x v="3"/>
    <x v="1"/>
    <x v="991"/>
    <d v="2023-03-18T00:00:00"/>
    <m/>
    <n v="144"/>
    <n v="168"/>
    <x v="0"/>
  </r>
  <r>
    <n v="1759"/>
    <s v="Katrina Calderon"/>
    <x v="1754"/>
    <x v="11"/>
    <d v="2022-09-02T00:00:00"/>
    <x v="0"/>
    <x v="4"/>
    <x v="1"/>
    <x v="3"/>
    <x v="3"/>
    <x v="576"/>
    <d v="2023-01-21T00:00:00"/>
    <n v="5"/>
    <n v="264"/>
    <n v="168"/>
    <x v="1"/>
  </r>
  <r>
    <n v="1760"/>
    <s v="Diana Hawkins"/>
    <x v="1755"/>
    <x v="9"/>
    <d v="2021-02-02T00:00:00"/>
    <x v="1"/>
    <x v="3"/>
    <x v="0"/>
    <x v="0"/>
    <x v="3"/>
    <x v="108"/>
    <d v="2021-10-04T00:00:00"/>
    <m/>
    <n v="24"/>
    <n v="48"/>
    <x v="0"/>
  </r>
  <r>
    <n v="1761"/>
    <s v="Gabriel Green"/>
    <x v="1756"/>
    <x v="0"/>
    <d v="2022-07-26T00:00:00"/>
    <x v="0"/>
    <x v="7"/>
    <x v="1"/>
    <x v="3"/>
    <x v="1"/>
    <x v="869"/>
    <d v="2022-10-15T00:00:00"/>
    <n v="4"/>
    <n v="144"/>
    <n v="168"/>
    <x v="0"/>
  </r>
  <r>
    <n v="1762"/>
    <s v="Megan Carrillo"/>
    <x v="1757"/>
    <x v="1"/>
    <d v="2023-02-27T00:00:00"/>
    <x v="1"/>
    <x v="9"/>
    <x v="1"/>
    <x v="0"/>
    <x v="2"/>
    <x v="992"/>
    <d v="2023-11-25T00:00:00"/>
    <n v="4"/>
    <n v="24"/>
    <n v="48"/>
    <x v="0"/>
  </r>
  <r>
    <n v="1763"/>
    <s v="Christine Wolf"/>
    <x v="1758"/>
    <x v="6"/>
    <d v="2021-07-14T00:00:00"/>
    <x v="0"/>
    <x v="2"/>
    <x v="1"/>
    <x v="3"/>
    <x v="0"/>
    <x v="717"/>
    <d v="2022-03-20T00:00:00"/>
    <n v="3"/>
    <n v="96"/>
    <n v="168"/>
    <x v="0"/>
  </r>
  <r>
    <n v="1764"/>
    <s v="Matthew Hall"/>
    <x v="1759"/>
    <x v="17"/>
    <d v="2020-12-02T00:00:00"/>
    <x v="4"/>
    <x v="2"/>
    <x v="1"/>
    <x v="2"/>
    <x v="3"/>
    <x v="339"/>
    <d v="2021-12-04T00:00:00"/>
    <n v="5"/>
    <n v="96"/>
    <n v="120"/>
    <x v="0"/>
  </r>
  <r>
    <n v="1765"/>
    <s v="Shannon Clark"/>
    <x v="1760"/>
    <x v="1"/>
    <d v="2022-07-23T00:00:00"/>
    <x v="4"/>
    <x v="4"/>
    <x v="0"/>
    <x v="0"/>
    <x v="2"/>
    <x v="993"/>
    <d v="2022-09-14T00:00:00"/>
    <m/>
    <n v="24"/>
    <n v="48"/>
    <x v="0"/>
  </r>
  <r>
    <n v="1766"/>
    <s v="Tammie Castillo"/>
    <x v="1761"/>
    <x v="1"/>
    <d v="2020-06-15T00:00:00"/>
    <x v="4"/>
    <x v="12"/>
    <x v="0"/>
    <x v="2"/>
    <x v="3"/>
    <x v="994"/>
    <d v="2020-10-06T00:00:00"/>
    <m/>
    <n v="120"/>
    <n v="120"/>
    <x v="0"/>
  </r>
  <r>
    <n v="1767"/>
    <s v="Sarah Harvey"/>
    <x v="1762"/>
    <x v="6"/>
    <d v="2021-11-22T00:00:00"/>
    <x v="0"/>
    <x v="1"/>
    <x v="0"/>
    <x v="0"/>
    <x v="1"/>
    <x v="838"/>
    <d v="2022-01-24T00:00:00"/>
    <m/>
    <n v="24"/>
    <n v="48"/>
    <x v="0"/>
  </r>
  <r>
    <n v="1768"/>
    <s v="Keith Moore"/>
    <x v="1763"/>
    <x v="5"/>
    <d v="2023-02-26T00:00:00"/>
    <x v="2"/>
    <x v="13"/>
    <x v="1"/>
    <x v="1"/>
    <x v="2"/>
    <x v="375"/>
    <d v="2023-10-07T00:00:00"/>
    <n v="5"/>
    <n v="24"/>
    <n v="24"/>
    <x v="0"/>
  </r>
  <r>
    <n v="1769"/>
    <s v="Angela Butler"/>
    <x v="1764"/>
    <x v="8"/>
    <d v="2021-04-14T00:00:00"/>
    <x v="4"/>
    <x v="4"/>
    <x v="1"/>
    <x v="2"/>
    <x v="2"/>
    <x v="995"/>
    <d v="2022-01-22T00:00:00"/>
    <n v="4"/>
    <n v="72"/>
    <n v="120"/>
    <x v="0"/>
  </r>
  <r>
    <n v="1770"/>
    <s v="Jesus Randolph"/>
    <x v="1765"/>
    <x v="4"/>
    <d v="2023-05-16T00:00:00"/>
    <x v="0"/>
    <x v="11"/>
    <x v="3"/>
    <x v="3"/>
    <x v="1"/>
    <x v="996"/>
    <d v="2024-04-17T00:00:00"/>
    <m/>
    <n v="120"/>
    <n v="168"/>
    <x v="0"/>
  </r>
  <r>
    <n v="1771"/>
    <s v="Timothy Alvarez"/>
    <x v="1766"/>
    <x v="6"/>
    <d v="2022-06-19T00:00:00"/>
    <x v="3"/>
    <x v="3"/>
    <x v="1"/>
    <x v="2"/>
    <x v="1"/>
    <x v="997"/>
    <d v="2022-09-29T00:00:00"/>
    <n v="4"/>
    <n v="72"/>
    <n v="120"/>
    <x v="0"/>
  </r>
  <r>
    <n v="1772"/>
    <s v="Denise Johnson"/>
    <x v="1767"/>
    <x v="8"/>
    <d v="2020-11-30T00:00:00"/>
    <x v="0"/>
    <x v="1"/>
    <x v="3"/>
    <x v="2"/>
    <x v="2"/>
    <x v="666"/>
    <d v="2021-07-24T00:00:00"/>
    <m/>
    <n v="48"/>
    <n v="120"/>
    <x v="0"/>
  </r>
  <r>
    <n v="1773"/>
    <s v="Michael Johnson"/>
    <x v="1768"/>
    <x v="5"/>
    <d v="2020-09-28T00:00:00"/>
    <x v="1"/>
    <x v="0"/>
    <x v="3"/>
    <x v="3"/>
    <x v="1"/>
    <x v="998"/>
    <d v="2020-11-11T00:00:00"/>
    <m/>
    <n v="144"/>
    <n v="168"/>
    <x v="0"/>
  </r>
  <r>
    <n v="1774"/>
    <s v="Laura Williams"/>
    <x v="1769"/>
    <x v="9"/>
    <d v="2021-03-13T00:00:00"/>
    <x v="4"/>
    <x v="10"/>
    <x v="1"/>
    <x v="2"/>
    <x v="0"/>
    <x v="66"/>
    <d v="2021-03-20T00:00:00"/>
    <n v="4"/>
    <n v="24"/>
    <n v="120"/>
    <x v="0"/>
  </r>
  <r>
    <n v="1775"/>
    <s v="Christina Adams"/>
    <x v="1770"/>
    <x v="5"/>
    <d v="2021-11-26T00:00:00"/>
    <x v="3"/>
    <x v="2"/>
    <x v="1"/>
    <x v="2"/>
    <x v="3"/>
    <x v="999"/>
    <d v="2022-09-02T00:00:00"/>
    <n v="4"/>
    <n v="72"/>
    <n v="120"/>
    <x v="0"/>
  </r>
  <r>
    <n v="1776"/>
    <s v="Whitney Williams"/>
    <x v="1771"/>
    <x v="2"/>
    <d v="2023-05-15T00:00:00"/>
    <x v="0"/>
    <x v="7"/>
    <x v="1"/>
    <x v="2"/>
    <x v="3"/>
    <x v="1000"/>
    <d v="2024-02-29T00:00:00"/>
    <n v="4"/>
    <n v="72"/>
    <n v="120"/>
    <x v="0"/>
  </r>
  <r>
    <n v="1777"/>
    <s v="Samuel Williams"/>
    <x v="1772"/>
    <x v="3"/>
    <d v="2022-04-25T00:00:00"/>
    <x v="0"/>
    <x v="0"/>
    <x v="1"/>
    <x v="3"/>
    <x v="3"/>
    <x v="128"/>
    <d v="2022-11-17T00:00:00"/>
    <n v="5"/>
    <n v="192"/>
    <n v="168"/>
    <x v="1"/>
  </r>
  <r>
    <n v="1778"/>
    <s v="Matthew Watson"/>
    <x v="1773"/>
    <x v="13"/>
    <d v="2020-09-27T00:00:00"/>
    <x v="0"/>
    <x v="9"/>
    <x v="1"/>
    <x v="1"/>
    <x v="0"/>
    <x v="218"/>
    <d v="2021-08-07T00:00:00"/>
    <m/>
    <n v="0"/>
    <n v="24"/>
    <x v="0"/>
  </r>
  <r>
    <n v="1779"/>
    <s v="Jacqueline Lucero"/>
    <x v="1774"/>
    <x v="8"/>
    <d v="2021-07-13T00:00:00"/>
    <x v="1"/>
    <x v="9"/>
    <x v="0"/>
    <x v="0"/>
    <x v="2"/>
    <x v="489"/>
    <d v="2022-07-03T00:00:00"/>
    <m/>
    <n v="24"/>
    <n v="48"/>
    <x v="0"/>
  </r>
  <r>
    <n v="1780"/>
    <s v="Angelica King"/>
    <x v="1775"/>
    <x v="18"/>
    <d v="2021-12-01T00:00:00"/>
    <x v="0"/>
    <x v="5"/>
    <x v="1"/>
    <x v="3"/>
    <x v="2"/>
    <x v="197"/>
    <d v="2022-09-26T00:00:00"/>
    <m/>
    <n v="96"/>
    <n v="168"/>
    <x v="0"/>
  </r>
  <r>
    <n v="1781"/>
    <s v="Shannon Martin"/>
    <x v="1776"/>
    <x v="9"/>
    <d v="2020-08-13T00:00:00"/>
    <x v="1"/>
    <x v="13"/>
    <x v="0"/>
    <x v="2"/>
    <x v="3"/>
    <x v="737"/>
    <d v="2021-04-09T00:00:00"/>
    <m/>
    <n v="72"/>
    <n v="120"/>
    <x v="0"/>
  </r>
  <r>
    <n v="1782"/>
    <s v="Kimberly Collier"/>
    <x v="1777"/>
    <x v="9"/>
    <d v="2022-12-12T00:00:00"/>
    <x v="0"/>
    <x v="12"/>
    <x v="1"/>
    <x v="2"/>
    <x v="3"/>
    <x v="628"/>
    <d v="2023-11-23T00:00:00"/>
    <n v="3"/>
    <n v="72"/>
    <n v="120"/>
    <x v="0"/>
  </r>
  <r>
    <n v="1783"/>
    <s v="Rodney Gilmore"/>
    <x v="1778"/>
    <x v="1"/>
    <d v="2022-05-05T00:00:00"/>
    <x v="1"/>
    <x v="2"/>
    <x v="0"/>
    <x v="2"/>
    <x v="2"/>
    <x v="31"/>
    <d v="2022-11-28T00:00:00"/>
    <m/>
    <n v="24"/>
    <n v="120"/>
    <x v="0"/>
  </r>
  <r>
    <n v="1784"/>
    <s v="Carmen Perez"/>
    <x v="1779"/>
    <x v="1"/>
    <d v="2021-09-05T00:00:00"/>
    <x v="1"/>
    <x v="4"/>
    <x v="1"/>
    <x v="3"/>
    <x v="0"/>
    <x v="947"/>
    <d v="2021-10-18T00:00:00"/>
    <n v="4"/>
    <n v="120"/>
    <n v="168"/>
    <x v="0"/>
  </r>
  <r>
    <n v="1785"/>
    <s v="Sabrina Robinson"/>
    <x v="1780"/>
    <x v="12"/>
    <d v="2022-09-27T00:00:00"/>
    <x v="0"/>
    <x v="12"/>
    <x v="0"/>
    <x v="2"/>
    <x v="1"/>
    <x v="852"/>
    <d v="2023-03-27T00:00:00"/>
    <m/>
    <n v="96"/>
    <n v="120"/>
    <x v="0"/>
  </r>
  <r>
    <n v="1786"/>
    <s v="Ruben Woodard"/>
    <x v="1781"/>
    <x v="8"/>
    <d v="2023-05-27T00:00:00"/>
    <x v="3"/>
    <x v="0"/>
    <x v="1"/>
    <x v="3"/>
    <x v="1"/>
    <x v="1001"/>
    <d v="2024-03-22T00:00:00"/>
    <n v="4"/>
    <n v="120"/>
    <n v="168"/>
    <x v="0"/>
  </r>
  <r>
    <n v="1787"/>
    <s v="Charles Jones"/>
    <x v="1782"/>
    <x v="14"/>
    <d v="2022-04-21T00:00:00"/>
    <x v="2"/>
    <x v="12"/>
    <x v="1"/>
    <x v="2"/>
    <x v="1"/>
    <x v="526"/>
    <d v="2023-04-18T00:00:00"/>
    <n v="4"/>
    <n v="48"/>
    <n v="120"/>
    <x v="0"/>
  </r>
  <r>
    <n v="1788"/>
    <s v="Tiffany Lee"/>
    <x v="1783"/>
    <x v="12"/>
    <d v="2023-04-20T00:00:00"/>
    <x v="0"/>
    <x v="11"/>
    <x v="0"/>
    <x v="3"/>
    <x v="1"/>
    <x v="1000"/>
    <d v="2024-03-01T00:00:00"/>
    <m/>
    <n v="96"/>
    <n v="168"/>
    <x v="0"/>
  </r>
  <r>
    <n v="1789"/>
    <s v="Andrea Chavez"/>
    <x v="1784"/>
    <x v="18"/>
    <d v="2020-01-17T00:00:00"/>
    <x v="3"/>
    <x v="1"/>
    <x v="0"/>
    <x v="2"/>
    <x v="2"/>
    <x v="1002"/>
    <d v="2020-04-23T00:00:00"/>
    <m/>
    <n v="96"/>
    <n v="120"/>
    <x v="0"/>
  </r>
  <r>
    <n v="1790"/>
    <s v="Elizabeth Hughes"/>
    <x v="1785"/>
    <x v="12"/>
    <d v="2022-09-13T00:00:00"/>
    <x v="3"/>
    <x v="0"/>
    <x v="1"/>
    <x v="1"/>
    <x v="0"/>
    <x v="852"/>
    <d v="2023-03-23T00:00:00"/>
    <n v="4"/>
    <n v="0"/>
    <n v="24"/>
    <x v="0"/>
  </r>
  <r>
    <n v="1791"/>
    <s v="Amanda Henry"/>
    <x v="1786"/>
    <x v="2"/>
    <d v="2022-12-24T00:00:00"/>
    <x v="3"/>
    <x v="5"/>
    <x v="0"/>
    <x v="3"/>
    <x v="0"/>
    <x v="491"/>
    <d v="2022-12-31T00:00:00"/>
    <m/>
    <n v="168"/>
    <n v="168"/>
    <x v="0"/>
  </r>
  <r>
    <n v="1792"/>
    <s v="Robert Mullins"/>
    <x v="1787"/>
    <x v="3"/>
    <d v="2022-11-29T00:00:00"/>
    <x v="3"/>
    <x v="14"/>
    <x v="3"/>
    <x v="3"/>
    <x v="0"/>
    <x v="738"/>
    <d v="2023-07-12T00:00:00"/>
    <m/>
    <n v="168"/>
    <n v="168"/>
    <x v="0"/>
  </r>
  <r>
    <n v="1793"/>
    <s v="Alexander Johnson MD"/>
    <x v="1788"/>
    <x v="1"/>
    <d v="2021-01-16T00:00:00"/>
    <x v="2"/>
    <x v="10"/>
    <x v="1"/>
    <x v="1"/>
    <x v="1"/>
    <x v="253"/>
    <d v="2021-03-28T00:00:00"/>
    <m/>
    <n v="48"/>
    <n v="24"/>
    <x v="1"/>
  </r>
  <r>
    <n v="1794"/>
    <s v="Michelle Nielsen"/>
    <x v="1789"/>
    <x v="9"/>
    <d v="2022-07-26T00:00:00"/>
    <x v="0"/>
    <x v="2"/>
    <x v="1"/>
    <x v="2"/>
    <x v="3"/>
    <x v="141"/>
    <d v="2023-04-14T00:00:00"/>
    <n v="3"/>
    <n v="96"/>
    <n v="120"/>
    <x v="0"/>
  </r>
  <r>
    <n v="1795"/>
    <s v="Mrs. Emily Waters"/>
    <x v="1790"/>
    <x v="1"/>
    <d v="2020-01-16T00:00:00"/>
    <x v="2"/>
    <x v="6"/>
    <x v="0"/>
    <x v="3"/>
    <x v="1"/>
    <x v="617"/>
    <d v="2020-11-01T00:00:00"/>
    <m/>
    <n v="144"/>
    <n v="168"/>
    <x v="0"/>
  </r>
  <r>
    <n v="1796"/>
    <s v="Linda Leonard"/>
    <x v="1791"/>
    <x v="0"/>
    <d v="2020-10-08T00:00:00"/>
    <x v="4"/>
    <x v="6"/>
    <x v="3"/>
    <x v="0"/>
    <x v="2"/>
    <x v="1003"/>
    <d v="2021-05-07T00:00:00"/>
    <m/>
    <n v="0"/>
    <n v="48"/>
    <x v="0"/>
  </r>
  <r>
    <n v="1797"/>
    <s v="Michael Price"/>
    <x v="1792"/>
    <x v="7"/>
    <d v="2022-02-01T00:00:00"/>
    <x v="3"/>
    <x v="12"/>
    <x v="0"/>
    <x v="3"/>
    <x v="1"/>
    <x v="605"/>
    <d v="2022-11-09T00:00:00"/>
    <m/>
    <n v="144"/>
    <n v="168"/>
    <x v="0"/>
  </r>
  <r>
    <n v="1798"/>
    <s v="Jesse Nash"/>
    <x v="1793"/>
    <x v="2"/>
    <d v="2022-12-02T00:00:00"/>
    <x v="4"/>
    <x v="4"/>
    <x v="0"/>
    <x v="2"/>
    <x v="2"/>
    <x v="750"/>
    <d v="2023-09-17T00:00:00"/>
    <m/>
    <n v="48"/>
    <n v="120"/>
    <x v="0"/>
  </r>
  <r>
    <n v="1799"/>
    <s v="Ryan Gonzalez"/>
    <x v="1794"/>
    <x v="2"/>
    <d v="2022-10-12T00:00:00"/>
    <x v="3"/>
    <x v="1"/>
    <x v="3"/>
    <x v="3"/>
    <x v="1"/>
    <x v="362"/>
    <d v="2023-06-02T00:00:00"/>
    <m/>
    <n v="216"/>
    <n v="168"/>
    <x v="1"/>
  </r>
  <r>
    <n v="1800"/>
    <s v="Patricia Williams"/>
    <x v="1795"/>
    <x v="11"/>
    <d v="2022-02-05T00:00:00"/>
    <x v="1"/>
    <x v="4"/>
    <x v="1"/>
    <x v="3"/>
    <x v="0"/>
    <x v="1004"/>
    <d v="2022-11-16T00:00:00"/>
    <n v="4"/>
    <n v="120"/>
    <n v="168"/>
    <x v="0"/>
  </r>
  <r>
    <n v="1801"/>
    <s v="Jeremy Haynes"/>
    <x v="1796"/>
    <x v="12"/>
    <d v="2022-07-29T00:00:00"/>
    <x v="1"/>
    <x v="1"/>
    <x v="1"/>
    <x v="2"/>
    <x v="2"/>
    <x v="647"/>
    <d v="2023-04-14T00:00:00"/>
    <m/>
    <n v="48"/>
    <n v="120"/>
    <x v="0"/>
  </r>
  <r>
    <n v="1802"/>
    <s v="Jessica Richardson"/>
    <x v="1797"/>
    <x v="12"/>
    <d v="2021-07-26T00:00:00"/>
    <x v="2"/>
    <x v="7"/>
    <x v="1"/>
    <x v="1"/>
    <x v="1"/>
    <x v="1005"/>
    <d v="2021-08-20T00:00:00"/>
    <n v="4"/>
    <n v="24"/>
    <n v="24"/>
    <x v="0"/>
  </r>
  <r>
    <n v="1803"/>
    <s v="Ashley Wells"/>
    <x v="1798"/>
    <x v="9"/>
    <d v="2020-05-15T00:00:00"/>
    <x v="1"/>
    <x v="4"/>
    <x v="0"/>
    <x v="0"/>
    <x v="1"/>
    <x v="926"/>
    <d v="2020-11-21T00:00:00"/>
    <m/>
    <n v="72"/>
    <n v="48"/>
    <x v="1"/>
  </r>
  <r>
    <n v="1804"/>
    <s v="Travis Howard"/>
    <x v="1799"/>
    <x v="4"/>
    <d v="2020-07-06T00:00:00"/>
    <x v="3"/>
    <x v="4"/>
    <x v="0"/>
    <x v="2"/>
    <x v="2"/>
    <x v="622"/>
    <d v="2020-09-03T00:00:00"/>
    <m/>
    <n v="120"/>
    <n v="120"/>
    <x v="0"/>
  </r>
  <r>
    <n v="1805"/>
    <s v="Brandon Lopez"/>
    <x v="1800"/>
    <x v="14"/>
    <d v="2022-05-15T00:00:00"/>
    <x v="3"/>
    <x v="12"/>
    <x v="1"/>
    <x v="3"/>
    <x v="3"/>
    <x v="634"/>
    <d v="2022-07-14T00:00:00"/>
    <n v="4"/>
    <n v="192"/>
    <n v="168"/>
    <x v="1"/>
  </r>
  <r>
    <n v="1806"/>
    <s v="Austin Tyler"/>
    <x v="1801"/>
    <x v="7"/>
    <d v="2020-12-26T00:00:00"/>
    <x v="0"/>
    <x v="5"/>
    <x v="1"/>
    <x v="3"/>
    <x v="1"/>
    <x v="714"/>
    <d v="2021-12-29T00:00:00"/>
    <m/>
    <n v="192"/>
    <n v="168"/>
    <x v="1"/>
  </r>
  <r>
    <n v="1807"/>
    <s v="Eric Francis"/>
    <x v="1802"/>
    <x v="4"/>
    <d v="2023-05-09T00:00:00"/>
    <x v="4"/>
    <x v="12"/>
    <x v="0"/>
    <x v="0"/>
    <x v="1"/>
    <x v="1006"/>
    <d v="2023-09-23T00:00:00"/>
    <m/>
    <n v="0"/>
    <n v="48"/>
    <x v="0"/>
  </r>
  <r>
    <n v="1808"/>
    <s v="Joseph Adams"/>
    <x v="1803"/>
    <x v="5"/>
    <d v="2021-01-13T00:00:00"/>
    <x v="3"/>
    <x v="0"/>
    <x v="0"/>
    <x v="3"/>
    <x v="2"/>
    <x v="801"/>
    <d v="2021-06-28T00:00:00"/>
    <m/>
    <n v="144"/>
    <n v="168"/>
    <x v="0"/>
  </r>
  <r>
    <n v="1809"/>
    <s v="Rebecca Lopez"/>
    <x v="1804"/>
    <x v="4"/>
    <d v="2020-09-24T00:00:00"/>
    <x v="0"/>
    <x v="10"/>
    <x v="1"/>
    <x v="3"/>
    <x v="0"/>
    <x v="196"/>
    <d v="2020-11-28T00:00:00"/>
    <n v="4"/>
    <n v="216"/>
    <n v="168"/>
    <x v="1"/>
  </r>
  <r>
    <n v="1810"/>
    <s v="Mark Weaver"/>
    <x v="1805"/>
    <x v="4"/>
    <d v="2020-08-13T00:00:00"/>
    <x v="4"/>
    <x v="14"/>
    <x v="0"/>
    <x v="1"/>
    <x v="1"/>
    <x v="622"/>
    <d v="2020-08-29T00:00:00"/>
    <m/>
    <n v="0"/>
    <n v="24"/>
    <x v="0"/>
  </r>
  <r>
    <n v="1811"/>
    <s v="Andrea Palmer"/>
    <x v="1806"/>
    <x v="6"/>
    <d v="2022-08-29T00:00:00"/>
    <x v="4"/>
    <x v="11"/>
    <x v="1"/>
    <x v="1"/>
    <x v="3"/>
    <x v="200"/>
    <d v="2023-04-23T00:00:00"/>
    <n v="5"/>
    <n v="0"/>
    <n v="24"/>
    <x v="0"/>
  </r>
  <r>
    <n v="1812"/>
    <s v="Darin Baker"/>
    <x v="1807"/>
    <x v="9"/>
    <d v="2023-04-27T00:00:00"/>
    <x v="3"/>
    <x v="3"/>
    <x v="2"/>
    <x v="2"/>
    <x v="0"/>
    <x v="643"/>
    <d v="2023-05-26T00:00:00"/>
    <n v="4"/>
    <n v="120"/>
    <n v="120"/>
    <x v="0"/>
  </r>
  <r>
    <n v="1813"/>
    <s v="Corey Barber"/>
    <x v="1808"/>
    <x v="1"/>
    <d v="2020-07-16T00:00:00"/>
    <x v="1"/>
    <x v="0"/>
    <x v="1"/>
    <x v="2"/>
    <x v="3"/>
    <x v="979"/>
    <d v="2020-09-19T00:00:00"/>
    <n v="4"/>
    <n v="120"/>
    <n v="120"/>
    <x v="0"/>
  </r>
  <r>
    <n v="1814"/>
    <s v="Travis Hicks"/>
    <x v="1809"/>
    <x v="7"/>
    <d v="2020-09-01T00:00:00"/>
    <x v="4"/>
    <x v="2"/>
    <x v="3"/>
    <x v="0"/>
    <x v="3"/>
    <x v="28"/>
    <d v="2021-07-18T00:00:00"/>
    <m/>
    <n v="0"/>
    <n v="48"/>
    <x v="0"/>
  </r>
  <r>
    <n v="1815"/>
    <s v="Joseph Crawford"/>
    <x v="1810"/>
    <x v="2"/>
    <d v="2022-05-22T00:00:00"/>
    <x v="3"/>
    <x v="8"/>
    <x v="1"/>
    <x v="0"/>
    <x v="1"/>
    <x v="280"/>
    <d v="2022-11-16T00:00:00"/>
    <n v="5"/>
    <n v="24"/>
    <n v="48"/>
    <x v="0"/>
  </r>
  <r>
    <n v="1816"/>
    <s v="Steven Thomas"/>
    <x v="1811"/>
    <x v="13"/>
    <d v="2022-10-06T00:00:00"/>
    <x v="3"/>
    <x v="0"/>
    <x v="3"/>
    <x v="1"/>
    <x v="0"/>
    <x v="931"/>
    <d v="2023-07-29T00:00:00"/>
    <m/>
    <n v="120"/>
    <n v="24"/>
    <x v="1"/>
  </r>
  <r>
    <n v="1817"/>
    <s v="Sylvia Turner"/>
    <x v="1812"/>
    <x v="12"/>
    <d v="2021-08-22T00:00:00"/>
    <x v="1"/>
    <x v="13"/>
    <x v="1"/>
    <x v="2"/>
    <x v="3"/>
    <x v="560"/>
    <d v="2022-03-11T00:00:00"/>
    <n v="4"/>
    <n v="72"/>
    <n v="120"/>
    <x v="0"/>
  </r>
  <r>
    <n v="1818"/>
    <s v="Sara Lawrence"/>
    <x v="1813"/>
    <x v="10"/>
    <d v="2021-06-15T00:00:00"/>
    <x v="3"/>
    <x v="8"/>
    <x v="2"/>
    <x v="3"/>
    <x v="2"/>
    <x v="174"/>
    <d v="2022-06-01T00:00:00"/>
    <n v="5"/>
    <n v="288"/>
    <n v="168"/>
    <x v="1"/>
  </r>
  <r>
    <n v="1819"/>
    <s v="Lisa Brown"/>
    <x v="1814"/>
    <x v="5"/>
    <d v="2020-12-19T00:00:00"/>
    <x v="1"/>
    <x v="14"/>
    <x v="0"/>
    <x v="3"/>
    <x v="1"/>
    <x v="599"/>
    <d v="2021-07-13T00:00:00"/>
    <m/>
    <n v="312"/>
    <n v="168"/>
    <x v="1"/>
  </r>
  <r>
    <n v="1820"/>
    <s v="Taylor Solomon"/>
    <x v="1815"/>
    <x v="8"/>
    <d v="2022-03-15T00:00:00"/>
    <x v="1"/>
    <x v="0"/>
    <x v="0"/>
    <x v="3"/>
    <x v="1"/>
    <x v="616"/>
    <d v="2022-04-27T00:00:00"/>
    <m/>
    <n v="144"/>
    <n v="168"/>
    <x v="0"/>
  </r>
  <r>
    <n v="1821"/>
    <s v="Diana Harper"/>
    <x v="1816"/>
    <x v="5"/>
    <d v="2023-05-31T00:00:00"/>
    <x v="4"/>
    <x v="6"/>
    <x v="1"/>
    <x v="2"/>
    <x v="0"/>
    <x v="650"/>
    <d v="2024-03-05T00:00:00"/>
    <n v="3"/>
    <n v="96"/>
    <n v="120"/>
    <x v="0"/>
  </r>
  <r>
    <n v="1822"/>
    <s v="Elizabeth Mcdaniel"/>
    <x v="1817"/>
    <x v="4"/>
    <d v="2023-05-24T00:00:00"/>
    <x v="2"/>
    <x v="14"/>
    <x v="0"/>
    <x v="3"/>
    <x v="2"/>
    <x v="667"/>
    <d v="2023-07-22T00:00:00"/>
    <m/>
    <n v="264"/>
    <n v="168"/>
    <x v="1"/>
  </r>
  <r>
    <n v="1823"/>
    <s v="Joseph Wilson"/>
    <x v="1818"/>
    <x v="15"/>
    <d v="2021-06-08T00:00:00"/>
    <x v="3"/>
    <x v="12"/>
    <x v="1"/>
    <x v="2"/>
    <x v="1"/>
    <x v="387"/>
    <d v="2021-12-09T00:00:00"/>
    <m/>
    <n v="48"/>
    <n v="120"/>
    <x v="0"/>
  </r>
  <r>
    <n v="1824"/>
    <s v="Matthew Crawford"/>
    <x v="1819"/>
    <x v="0"/>
    <d v="2021-12-14T00:00:00"/>
    <x v="1"/>
    <x v="4"/>
    <x v="0"/>
    <x v="2"/>
    <x v="2"/>
    <x v="92"/>
    <d v="2022-02-01T00:00:00"/>
    <m/>
    <n v="96"/>
    <n v="120"/>
    <x v="0"/>
  </r>
  <r>
    <n v="1825"/>
    <s v="Brianna Obrien"/>
    <x v="1820"/>
    <x v="5"/>
    <d v="2020-01-06T00:00:00"/>
    <x v="4"/>
    <x v="0"/>
    <x v="1"/>
    <x v="3"/>
    <x v="2"/>
    <x v="1007"/>
    <d v="2020-06-28T00:00:00"/>
    <n v="4"/>
    <n v="72"/>
    <n v="168"/>
    <x v="0"/>
  </r>
  <r>
    <n v="1826"/>
    <s v="Robert Scott"/>
    <x v="1821"/>
    <x v="1"/>
    <d v="2021-03-06T00:00:00"/>
    <x v="4"/>
    <x v="6"/>
    <x v="1"/>
    <x v="2"/>
    <x v="0"/>
    <x v="1008"/>
    <d v="2021-10-10T00:00:00"/>
    <n v="4"/>
    <n v="48"/>
    <n v="120"/>
    <x v="0"/>
  </r>
  <r>
    <n v="1827"/>
    <s v="Jennifer Baker"/>
    <x v="1822"/>
    <x v="6"/>
    <d v="2020-06-16T00:00:00"/>
    <x v="0"/>
    <x v="12"/>
    <x v="1"/>
    <x v="2"/>
    <x v="1"/>
    <x v="1009"/>
    <d v="2021-02-08T00:00:00"/>
    <n v="4"/>
    <n v="72"/>
    <n v="120"/>
    <x v="0"/>
  </r>
  <r>
    <n v="1828"/>
    <s v="James Wilson"/>
    <x v="1823"/>
    <x v="5"/>
    <d v="2020-03-04T00:00:00"/>
    <x v="2"/>
    <x v="13"/>
    <x v="1"/>
    <x v="2"/>
    <x v="1"/>
    <x v="1010"/>
    <d v="2020-05-06T00:00:00"/>
    <m/>
    <n v="120"/>
    <n v="120"/>
    <x v="0"/>
  </r>
  <r>
    <n v="1829"/>
    <s v="Destiny Dunn"/>
    <x v="1824"/>
    <x v="0"/>
    <d v="2020-03-03T00:00:00"/>
    <x v="0"/>
    <x v="7"/>
    <x v="3"/>
    <x v="3"/>
    <x v="0"/>
    <x v="873"/>
    <d v="2021-01-31T00:00:00"/>
    <m/>
    <n v="72"/>
    <n v="168"/>
    <x v="0"/>
  </r>
  <r>
    <n v="1830"/>
    <s v="Lacey Smith"/>
    <x v="1825"/>
    <x v="13"/>
    <d v="2021-01-08T00:00:00"/>
    <x v="1"/>
    <x v="5"/>
    <x v="1"/>
    <x v="2"/>
    <x v="1"/>
    <x v="1011"/>
    <d v="2021-01-14T00:00:00"/>
    <n v="5"/>
    <n v="96"/>
    <n v="120"/>
    <x v="0"/>
  </r>
  <r>
    <n v="1831"/>
    <s v="Luke Duncan"/>
    <x v="1826"/>
    <x v="9"/>
    <d v="2020-02-05T00:00:00"/>
    <x v="2"/>
    <x v="2"/>
    <x v="1"/>
    <x v="2"/>
    <x v="3"/>
    <x v="369"/>
    <d v="2020-12-05T00:00:00"/>
    <n v="3"/>
    <n v="72"/>
    <n v="120"/>
    <x v="0"/>
  </r>
  <r>
    <n v="1832"/>
    <s v="Emily Robinson"/>
    <x v="1827"/>
    <x v="15"/>
    <d v="2020-09-06T00:00:00"/>
    <x v="2"/>
    <x v="7"/>
    <x v="3"/>
    <x v="2"/>
    <x v="1"/>
    <x v="525"/>
    <d v="2021-03-01T00:00:00"/>
    <m/>
    <n v="72"/>
    <n v="120"/>
    <x v="0"/>
  </r>
  <r>
    <n v="1833"/>
    <s v="Patrick Irwin"/>
    <x v="1828"/>
    <x v="6"/>
    <d v="2021-09-23T00:00:00"/>
    <x v="3"/>
    <x v="11"/>
    <x v="1"/>
    <x v="2"/>
    <x v="2"/>
    <x v="843"/>
    <d v="2022-06-15T00:00:00"/>
    <n v="4"/>
    <n v="120"/>
    <n v="120"/>
    <x v="0"/>
  </r>
  <r>
    <n v="1834"/>
    <s v="Joe Martin"/>
    <x v="1829"/>
    <x v="18"/>
    <d v="2021-01-05T00:00:00"/>
    <x v="0"/>
    <x v="10"/>
    <x v="0"/>
    <x v="3"/>
    <x v="3"/>
    <x v="131"/>
    <d v="2021-03-21T00:00:00"/>
    <m/>
    <n v="120"/>
    <n v="168"/>
    <x v="0"/>
  </r>
  <r>
    <n v="1835"/>
    <s v="Jessica Valencia"/>
    <x v="1830"/>
    <x v="12"/>
    <d v="2020-05-07T00:00:00"/>
    <x v="1"/>
    <x v="10"/>
    <x v="1"/>
    <x v="3"/>
    <x v="1"/>
    <x v="98"/>
    <d v="2020-07-19T00:00:00"/>
    <n v="3"/>
    <n v="192"/>
    <n v="168"/>
    <x v="1"/>
  </r>
  <r>
    <n v="1836"/>
    <s v="Jeremy Hernandez"/>
    <x v="1831"/>
    <x v="11"/>
    <d v="2020-02-05T00:00:00"/>
    <x v="1"/>
    <x v="7"/>
    <x v="1"/>
    <x v="0"/>
    <x v="1"/>
    <x v="347"/>
    <d v="2021-01-07T00:00:00"/>
    <n v="4"/>
    <n v="48"/>
    <n v="48"/>
    <x v="0"/>
  </r>
  <r>
    <n v="1837"/>
    <s v="Denise Macias"/>
    <x v="1832"/>
    <x v="10"/>
    <d v="2021-05-15T00:00:00"/>
    <x v="4"/>
    <x v="8"/>
    <x v="0"/>
    <x v="0"/>
    <x v="1"/>
    <x v="26"/>
    <d v="2022-05-09T00:00:00"/>
    <m/>
    <n v="24"/>
    <n v="48"/>
    <x v="0"/>
  </r>
  <r>
    <n v="1838"/>
    <s v="Jordan Hughes"/>
    <x v="1833"/>
    <x v="11"/>
    <d v="2022-12-28T00:00:00"/>
    <x v="4"/>
    <x v="13"/>
    <x v="1"/>
    <x v="0"/>
    <x v="2"/>
    <x v="1012"/>
    <d v="2023-12-29T00:00:00"/>
    <m/>
    <n v="24"/>
    <n v="48"/>
    <x v="0"/>
  </r>
  <r>
    <n v="1839"/>
    <s v="Russell Vega"/>
    <x v="1834"/>
    <x v="14"/>
    <d v="2021-07-02T00:00:00"/>
    <x v="1"/>
    <x v="4"/>
    <x v="0"/>
    <x v="1"/>
    <x v="1"/>
    <x v="619"/>
    <d v="2022-01-08T00:00:00"/>
    <m/>
    <n v="0"/>
    <n v="24"/>
    <x v="0"/>
  </r>
  <r>
    <n v="1840"/>
    <s v="David Roberts"/>
    <x v="1835"/>
    <x v="15"/>
    <d v="2022-12-02T00:00:00"/>
    <x v="4"/>
    <x v="4"/>
    <x v="1"/>
    <x v="0"/>
    <x v="0"/>
    <x v="857"/>
    <d v="2023-06-30T00:00:00"/>
    <n v="5"/>
    <n v="48"/>
    <n v="48"/>
    <x v="0"/>
  </r>
  <r>
    <n v="1841"/>
    <s v="Dana Wolfe"/>
    <x v="1836"/>
    <x v="5"/>
    <d v="2022-06-07T00:00:00"/>
    <x v="3"/>
    <x v="11"/>
    <x v="1"/>
    <x v="3"/>
    <x v="1"/>
    <x v="32"/>
    <d v="2023-02-02T00:00:00"/>
    <n v="4"/>
    <n v="120"/>
    <n v="168"/>
    <x v="0"/>
  </r>
  <r>
    <n v="1842"/>
    <s v="James Henry"/>
    <x v="1837"/>
    <x v="9"/>
    <d v="2021-01-31T00:00:00"/>
    <x v="0"/>
    <x v="8"/>
    <x v="0"/>
    <x v="3"/>
    <x v="1"/>
    <x v="1013"/>
    <d v="2021-09-01T00:00:00"/>
    <m/>
    <n v="24"/>
    <n v="168"/>
    <x v="0"/>
  </r>
  <r>
    <n v="1843"/>
    <s v="Derrick Buck"/>
    <x v="1838"/>
    <x v="3"/>
    <d v="2022-09-28T00:00:00"/>
    <x v="0"/>
    <x v="14"/>
    <x v="1"/>
    <x v="2"/>
    <x v="0"/>
    <x v="82"/>
    <d v="2023-07-26T00:00:00"/>
    <n v="4"/>
    <n v="72"/>
    <n v="120"/>
    <x v="0"/>
  </r>
  <r>
    <n v="1844"/>
    <s v="Kiara Gonzalez"/>
    <x v="1839"/>
    <x v="17"/>
    <d v="2020-05-19T00:00:00"/>
    <x v="0"/>
    <x v="8"/>
    <x v="1"/>
    <x v="2"/>
    <x v="3"/>
    <x v="592"/>
    <d v="2020-12-07T00:00:00"/>
    <n v="3"/>
    <n v="48"/>
    <n v="120"/>
    <x v="0"/>
  </r>
  <r>
    <n v="1845"/>
    <s v="Caitlin Gilbert"/>
    <x v="1840"/>
    <x v="12"/>
    <d v="2021-12-04T00:00:00"/>
    <x v="3"/>
    <x v="1"/>
    <x v="2"/>
    <x v="2"/>
    <x v="2"/>
    <x v="740"/>
    <d v="2022-06-13T00:00:00"/>
    <n v="4"/>
    <n v="48"/>
    <n v="120"/>
    <x v="0"/>
  </r>
  <r>
    <n v="1846"/>
    <s v="Charles Graham"/>
    <x v="1841"/>
    <x v="17"/>
    <d v="2020-04-13T00:00:00"/>
    <x v="1"/>
    <x v="10"/>
    <x v="1"/>
    <x v="2"/>
    <x v="1"/>
    <x v="898"/>
    <d v="2020-07-03T00:00:00"/>
    <n v="2"/>
    <n v="72"/>
    <n v="120"/>
    <x v="0"/>
  </r>
  <r>
    <n v="1847"/>
    <s v="Brandon Williams"/>
    <x v="1842"/>
    <x v="5"/>
    <d v="2020-09-17T00:00:00"/>
    <x v="1"/>
    <x v="8"/>
    <x v="1"/>
    <x v="0"/>
    <x v="3"/>
    <x v="786"/>
    <d v="2021-04-25T00:00:00"/>
    <n v="4"/>
    <n v="0"/>
    <n v="48"/>
    <x v="0"/>
  </r>
  <r>
    <n v="1848"/>
    <s v="Robert Gonzalez"/>
    <x v="1843"/>
    <x v="17"/>
    <d v="2022-04-09T00:00:00"/>
    <x v="3"/>
    <x v="0"/>
    <x v="0"/>
    <x v="0"/>
    <x v="2"/>
    <x v="1014"/>
    <d v="2022-07-05T00:00:00"/>
    <m/>
    <n v="48"/>
    <n v="48"/>
    <x v="0"/>
  </r>
  <r>
    <n v="1849"/>
    <s v="Joel Hodges"/>
    <x v="1844"/>
    <x v="7"/>
    <d v="2023-05-07T00:00:00"/>
    <x v="0"/>
    <x v="13"/>
    <x v="1"/>
    <x v="3"/>
    <x v="2"/>
    <x v="264"/>
    <d v="2023-07-21T00:00:00"/>
    <n v="4"/>
    <n v="0"/>
    <n v="168"/>
    <x v="0"/>
  </r>
  <r>
    <n v="1850"/>
    <s v="Scott Miranda"/>
    <x v="1845"/>
    <x v="6"/>
    <d v="2020-07-28T00:00:00"/>
    <x v="0"/>
    <x v="11"/>
    <x v="1"/>
    <x v="3"/>
    <x v="3"/>
    <x v="791"/>
    <d v="2020-09-22T00:00:00"/>
    <n v="5"/>
    <n v="120"/>
    <n v="168"/>
    <x v="0"/>
  </r>
  <r>
    <n v="1851"/>
    <s v="John Bradford"/>
    <x v="1846"/>
    <x v="16"/>
    <d v="2023-05-01T00:00:00"/>
    <x v="2"/>
    <x v="10"/>
    <x v="1"/>
    <x v="3"/>
    <x v="3"/>
    <x v="552"/>
    <d v="2023-07-20T00:00:00"/>
    <n v="4"/>
    <n v="120"/>
    <n v="168"/>
    <x v="0"/>
  </r>
  <r>
    <n v="1852"/>
    <s v="David Thompson"/>
    <x v="1847"/>
    <x v="12"/>
    <d v="2023-03-18T00:00:00"/>
    <x v="4"/>
    <x v="4"/>
    <x v="1"/>
    <x v="3"/>
    <x v="3"/>
    <x v="1015"/>
    <d v="2023-09-14T00:00:00"/>
    <n v="2"/>
    <n v="168"/>
    <n v="168"/>
    <x v="0"/>
  </r>
  <r>
    <n v="1853"/>
    <s v="William Taylor"/>
    <x v="1848"/>
    <x v="15"/>
    <d v="2022-04-21T00:00:00"/>
    <x v="4"/>
    <x v="0"/>
    <x v="3"/>
    <x v="0"/>
    <x v="0"/>
    <x v="268"/>
    <d v="2022-10-26T00:00:00"/>
    <m/>
    <n v="48"/>
    <n v="48"/>
    <x v="0"/>
  </r>
  <r>
    <n v="1854"/>
    <s v="Stacy Owens"/>
    <x v="1849"/>
    <x v="9"/>
    <d v="2022-03-24T00:00:00"/>
    <x v="1"/>
    <x v="14"/>
    <x v="1"/>
    <x v="3"/>
    <x v="0"/>
    <x v="806"/>
    <d v="2023-03-27T00:00:00"/>
    <n v="4"/>
    <n v="168"/>
    <n v="168"/>
    <x v="0"/>
  </r>
  <r>
    <n v="1855"/>
    <s v="Carol Hodge"/>
    <x v="1850"/>
    <x v="17"/>
    <d v="2021-07-24T00:00:00"/>
    <x v="1"/>
    <x v="13"/>
    <x v="1"/>
    <x v="2"/>
    <x v="2"/>
    <x v="837"/>
    <d v="2022-07-22T00:00:00"/>
    <n v="2"/>
    <n v="240"/>
    <n v="120"/>
    <x v="1"/>
  </r>
  <r>
    <n v="1856"/>
    <s v="Ashley Strong"/>
    <x v="1851"/>
    <x v="4"/>
    <d v="2021-05-03T00:00:00"/>
    <x v="0"/>
    <x v="6"/>
    <x v="3"/>
    <x v="0"/>
    <x v="1"/>
    <x v="1016"/>
    <d v="2021-08-16T00:00:00"/>
    <m/>
    <n v="72"/>
    <n v="48"/>
    <x v="1"/>
  </r>
  <r>
    <n v="1857"/>
    <s v="Dr. Daniel Hampton"/>
    <x v="1852"/>
    <x v="18"/>
    <d v="2020-08-05T00:00:00"/>
    <x v="1"/>
    <x v="8"/>
    <x v="1"/>
    <x v="1"/>
    <x v="1"/>
    <x v="71"/>
    <d v="2021-02-17T00:00:00"/>
    <n v="4"/>
    <n v="0"/>
    <n v="24"/>
    <x v="0"/>
  </r>
  <r>
    <n v="1858"/>
    <s v="Elizabeth Sanchez"/>
    <x v="1853"/>
    <x v="8"/>
    <d v="2022-01-26T00:00:00"/>
    <x v="4"/>
    <x v="6"/>
    <x v="1"/>
    <x v="3"/>
    <x v="0"/>
    <x v="280"/>
    <d v="2022-11-21T00:00:00"/>
    <n v="4"/>
    <n v="144"/>
    <n v="168"/>
    <x v="0"/>
  </r>
  <r>
    <n v="1859"/>
    <s v="Micheal Watson"/>
    <x v="1854"/>
    <x v="6"/>
    <d v="2021-01-16T00:00:00"/>
    <x v="4"/>
    <x v="8"/>
    <x v="1"/>
    <x v="2"/>
    <x v="1"/>
    <x v="599"/>
    <d v="2021-07-03T00:00:00"/>
    <n v="4"/>
    <n v="72"/>
    <n v="120"/>
    <x v="0"/>
  </r>
  <r>
    <n v="1860"/>
    <s v="Stephanie Livingston"/>
    <x v="1855"/>
    <x v="11"/>
    <d v="2022-10-12T00:00:00"/>
    <x v="3"/>
    <x v="4"/>
    <x v="0"/>
    <x v="3"/>
    <x v="1"/>
    <x v="237"/>
    <d v="2022-12-22T00:00:00"/>
    <m/>
    <n v="48"/>
    <n v="168"/>
    <x v="0"/>
  </r>
  <r>
    <n v="1861"/>
    <s v="Angela Carter"/>
    <x v="1856"/>
    <x v="7"/>
    <d v="2021-07-01T00:00:00"/>
    <x v="2"/>
    <x v="14"/>
    <x v="1"/>
    <x v="3"/>
    <x v="2"/>
    <x v="1017"/>
    <d v="2021-08-07T00:00:00"/>
    <n v="4"/>
    <n v="216"/>
    <n v="168"/>
    <x v="1"/>
  </r>
  <r>
    <n v="1862"/>
    <s v="Eric Hunter"/>
    <x v="1857"/>
    <x v="4"/>
    <d v="2022-05-22T00:00:00"/>
    <x v="3"/>
    <x v="4"/>
    <x v="1"/>
    <x v="3"/>
    <x v="3"/>
    <x v="1018"/>
    <d v="2022-10-30T00:00:00"/>
    <n v="4"/>
    <n v="72"/>
    <n v="168"/>
    <x v="0"/>
  </r>
  <r>
    <n v="1863"/>
    <s v="Alexander Robinson"/>
    <x v="1858"/>
    <x v="8"/>
    <d v="2021-12-16T00:00:00"/>
    <x v="4"/>
    <x v="4"/>
    <x v="3"/>
    <x v="3"/>
    <x v="2"/>
    <x v="374"/>
    <d v="2022-01-10T00:00:00"/>
    <m/>
    <n v="240"/>
    <n v="168"/>
    <x v="1"/>
  </r>
  <r>
    <n v="1864"/>
    <s v="Gabriel Richardson"/>
    <x v="1859"/>
    <x v="0"/>
    <d v="2023-04-01T00:00:00"/>
    <x v="1"/>
    <x v="14"/>
    <x v="1"/>
    <x v="2"/>
    <x v="1"/>
    <x v="21"/>
    <d v="2023-05-14T00:00:00"/>
    <m/>
    <n v="72"/>
    <n v="120"/>
    <x v="0"/>
  </r>
  <r>
    <n v="1865"/>
    <s v="Mary Kelley"/>
    <x v="1860"/>
    <x v="11"/>
    <d v="2021-05-27T00:00:00"/>
    <x v="2"/>
    <x v="8"/>
    <x v="3"/>
    <x v="3"/>
    <x v="3"/>
    <x v="1019"/>
    <d v="2021-09-02T00:00:00"/>
    <m/>
    <n v="192"/>
    <n v="168"/>
    <x v="1"/>
  </r>
  <r>
    <n v="1866"/>
    <s v="Jessica Sharp"/>
    <x v="1861"/>
    <x v="0"/>
    <d v="2021-08-19T00:00:00"/>
    <x v="2"/>
    <x v="6"/>
    <x v="1"/>
    <x v="3"/>
    <x v="3"/>
    <x v="507"/>
    <d v="2022-05-04T00:00:00"/>
    <n v="5"/>
    <n v="96"/>
    <n v="168"/>
    <x v="0"/>
  </r>
  <r>
    <n v="1867"/>
    <s v="Daniel Williams"/>
    <x v="1862"/>
    <x v="6"/>
    <d v="2020-10-27T00:00:00"/>
    <x v="4"/>
    <x v="9"/>
    <x v="1"/>
    <x v="2"/>
    <x v="1"/>
    <x v="71"/>
    <d v="2021-02-22T00:00:00"/>
    <n v="5"/>
    <n v="120"/>
    <n v="120"/>
    <x v="0"/>
  </r>
  <r>
    <n v="1868"/>
    <s v="Roger Hernandez"/>
    <x v="1863"/>
    <x v="11"/>
    <d v="2020-09-10T00:00:00"/>
    <x v="0"/>
    <x v="0"/>
    <x v="3"/>
    <x v="1"/>
    <x v="0"/>
    <x v="118"/>
    <d v="2020-10-11T00:00:00"/>
    <m/>
    <n v="0"/>
    <n v="24"/>
    <x v="0"/>
  </r>
  <r>
    <n v="1869"/>
    <s v="Deborah Webb"/>
    <x v="1864"/>
    <x v="8"/>
    <d v="2022-11-10T00:00:00"/>
    <x v="2"/>
    <x v="14"/>
    <x v="0"/>
    <x v="2"/>
    <x v="2"/>
    <x v="277"/>
    <d v="2023-05-22T00:00:00"/>
    <m/>
    <n v="120"/>
    <n v="120"/>
    <x v="0"/>
  </r>
  <r>
    <n v="1870"/>
    <s v="Bobby Stevens PhD"/>
    <x v="1865"/>
    <x v="3"/>
    <d v="2022-05-01T00:00:00"/>
    <x v="0"/>
    <x v="10"/>
    <x v="1"/>
    <x v="0"/>
    <x v="1"/>
    <x v="11"/>
    <d v="2022-07-07T00:00:00"/>
    <n v="5"/>
    <n v="48"/>
    <n v="48"/>
    <x v="0"/>
  </r>
  <r>
    <n v="1871"/>
    <s v="Robin Rivera"/>
    <x v="1866"/>
    <x v="1"/>
    <d v="2021-03-09T00:00:00"/>
    <x v="2"/>
    <x v="12"/>
    <x v="3"/>
    <x v="3"/>
    <x v="3"/>
    <x v="85"/>
    <d v="2022-03-02T00:00:00"/>
    <m/>
    <n v="96"/>
    <n v="168"/>
    <x v="0"/>
  </r>
  <r>
    <n v="1872"/>
    <s v="Paula Sanchez"/>
    <x v="1867"/>
    <x v="15"/>
    <d v="2021-04-11T00:00:00"/>
    <x v="3"/>
    <x v="7"/>
    <x v="1"/>
    <x v="2"/>
    <x v="1"/>
    <x v="279"/>
    <d v="2021-07-26T00:00:00"/>
    <n v="4"/>
    <n v="120"/>
    <n v="120"/>
    <x v="0"/>
  </r>
  <r>
    <n v="1873"/>
    <s v="Dr. Jared Crane MD"/>
    <x v="1868"/>
    <x v="1"/>
    <d v="2023-05-02T00:00:00"/>
    <x v="4"/>
    <x v="4"/>
    <x v="2"/>
    <x v="3"/>
    <x v="1"/>
    <x v="591"/>
    <d v="2024-03-26T00:00:00"/>
    <n v="4"/>
    <n v="144"/>
    <n v="168"/>
    <x v="0"/>
  </r>
  <r>
    <n v="1874"/>
    <s v="Tyler Marshall"/>
    <x v="1869"/>
    <x v="3"/>
    <d v="2021-07-17T00:00:00"/>
    <x v="0"/>
    <x v="12"/>
    <x v="1"/>
    <x v="3"/>
    <x v="3"/>
    <x v="767"/>
    <d v="2021-10-09T00:00:00"/>
    <n v="4"/>
    <n v="168"/>
    <n v="168"/>
    <x v="0"/>
  </r>
  <r>
    <n v="1875"/>
    <s v="James Knight"/>
    <x v="1870"/>
    <x v="2"/>
    <d v="2022-10-26T00:00:00"/>
    <x v="2"/>
    <x v="1"/>
    <x v="1"/>
    <x v="3"/>
    <x v="1"/>
    <x v="820"/>
    <d v="2023-07-02T00:00:00"/>
    <n v="5"/>
    <n v="168"/>
    <n v="168"/>
    <x v="0"/>
  </r>
  <r>
    <n v="1876"/>
    <s v="Erik Small"/>
    <x v="1871"/>
    <x v="2"/>
    <d v="2021-10-05T00:00:00"/>
    <x v="0"/>
    <x v="9"/>
    <x v="0"/>
    <x v="0"/>
    <x v="1"/>
    <x v="1020"/>
    <d v="2021-10-24T00:00:00"/>
    <m/>
    <n v="48"/>
    <n v="48"/>
    <x v="0"/>
  </r>
  <r>
    <n v="1877"/>
    <s v="Andre Pace"/>
    <x v="1872"/>
    <x v="0"/>
    <d v="2021-09-07T00:00:00"/>
    <x v="3"/>
    <x v="12"/>
    <x v="0"/>
    <x v="3"/>
    <x v="1"/>
    <x v="539"/>
    <d v="2022-06-01T00:00:00"/>
    <m/>
    <n v="216"/>
    <n v="168"/>
    <x v="1"/>
  </r>
  <r>
    <n v="1878"/>
    <s v="Jennifer Atkinson"/>
    <x v="1873"/>
    <x v="17"/>
    <d v="2022-07-17T00:00:00"/>
    <x v="0"/>
    <x v="11"/>
    <x v="3"/>
    <x v="3"/>
    <x v="3"/>
    <x v="1021"/>
    <d v="2022-09-11T00:00:00"/>
    <m/>
    <n v="120"/>
    <n v="168"/>
    <x v="0"/>
  </r>
  <r>
    <n v="1879"/>
    <s v="James Miller"/>
    <x v="1874"/>
    <x v="3"/>
    <d v="2022-04-19T00:00:00"/>
    <x v="1"/>
    <x v="2"/>
    <x v="1"/>
    <x v="3"/>
    <x v="0"/>
    <x v="424"/>
    <d v="2023-04-19T00:00:00"/>
    <m/>
    <n v="96"/>
    <n v="168"/>
    <x v="0"/>
  </r>
  <r>
    <n v="1880"/>
    <s v="Steven Michael"/>
    <x v="1875"/>
    <x v="17"/>
    <d v="2020-02-20T00:00:00"/>
    <x v="4"/>
    <x v="13"/>
    <x v="0"/>
    <x v="2"/>
    <x v="2"/>
    <x v="575"/>
    <d v="2020-10-26T00:00:00"/>
    <m/>
    <n v="120"/>
    <n v="120"/>
    <x v="0"/>
  </r>
  <r>
    <n v="1881"/>
    <s v="William Richardson"/>
    <x v="1876"/>
    <x v="6"/>
    <d v="2021-04-26T00:00:00"/>
    <x v="4"/>
    <x v="5"/>
    <x v="3"/>
    <x v="3"/>
    <x v="1"/>
    <x v="1022"/>
    <d v="2021-07-17T00:00:00"/>
    <m/>
    <n v="216"/>
    <n v="168"/>
    <x v="1"/>
  </r>
  <r>
    <n v="1882"/>
    <s v="Andrew Aguilar"/>
    <x v="1877"/>
    <x v="12"/>
    <d v="2023-05-11T00:00:00"/>
    <x v="4"/>
    <x v="13"/>
    <x v="1"/>
    <x v="2"/>
    <x v="2"/>
    <x v="1023"/>
    <d v="2024-04-24T00:00:00"/>
    <m/>
    <n v="144"/>
    <n v="120"/>
    <x v="1"/>
  </r>
  <r>
    <n v="1883"/>
    <s v="James Holder"/>
    <x v="1878"/>
    <x v="17"/>
    <d v="2020-04-21T00:00:00"/>
    <x v="2"/>
    <x v="3"/>
    <x v="1"/>
    <x v="3"/>
    <x v="3"/>
    <x v="817"/>
    <d v="2020-05-25T00:00:00"/>
    <n v="4"/>
    <n v="120"/>
    <n v="168"/>
    <x v="0"/>
  </r>
  <r>
    <n v="1884"/>
    <s v="Diane Brown"/>
    <x v="1879"/>
    <x v="13"/>
    <d v="2022-07-31T00:00:00"/>
    <x v="3"/>
    <x v="14"/>
    <x v="1"/>
    <x v="2"/>
    <x v="3"/>
    <x v="100"/>
    <d v="2022-12-04T00:00:00"/>
    <n v="4"/>
    <n v="24"/>
    <n v="120"/>
    <x v="0"/>
  </r>
  <r>
    <n v="1885"/>
    <s v="Drew Long"/>
    <x v="1880"/>
    <x v="13"/>
    <d v="2022-03-01T00:00:00"/>
    <x v="3"/>
    <x v="4"/>
    <x v="1"/>
    <x v="3"/>
    <x v="1"/>
    <x v="559"/>
    <d v="2023-02-15T00:00:00"/>
    <n v="4"/>
    <n v="216"/>
    <n v="168"/>
    <x v="1"/>
  </r>
  <r>
    <n v="1886"/>
    <s v="Matthew Briggs"/>
    <x v="1881"/>
    <x v="14"/>
    <d v="2022-10-31T00:00:00"/>
    <x v="2"/>
    <x v="11"/>
    <x v="1"/>
    <x v="3"/>
    <x v="3"/>
    <x v="547"/>
    <d v="2023-05-24T00:00:00"/>
    <n v="4"/>
    <n v="192"/>
    <n v="168"/>
    <x v="1"/>
  </r>
  <r>
    <n v="1887"/>
    <s v="David Hernandez"/>
    <x v="1882"/>
    <x v="9"/>
    <d v="2020-08-17T00:00:00"/>
    <x v="3"/>
    <x v="5"/>
    <x v="1"/>
    <x v="3"/>
    <x v="0"/>
    <x v="1024"/>
    <d v="2021-01-31T00:00:00"/>
    <n v="3"/>
    <n v="168"/>
    <n v="168"/>
    <x v="0"/>
  </r>
  <r>
    <n v="1888"/>
    <s v="Jerry Hernandez"/>
    <x v="1883"/>
    <x v="11"/>
    <d v="2022-06-18T00:00:00"/>
    <x v="3"/>
    <x v="7"/>
    <x v="1"/>
    <x v="3"/>
    <x v="3"/>
    <x v="90"/>
    <d v="2022-07-31T00:00:00"/>
    <n v="2"/>
    <n v="168"/>
    <n v="168"/>
    <x v="0"/>
  </r>
  <r>
    <n v="1889"/>
    <s v="John Ortiz"/>
    <x v="1884"/>
    <x v="1"/>
    <d v="2020-02-22T00:00:00"/>
    <x v="4"/>
    <x v="8"/>
    <x v="1"/>
    <x v="2"/>
    <x v="0"/>
    <x v="810"/>
    <d v="2020-06-12T00:00:00"/>
    <n v="3"/>
    <n v="72"/>
    <n v="120"/>
    <x v="0"/>
  </r>
  <r>
    <n v="1890"/>
    <s v="James Reed"/>
    <x v="1885"/>
    <x v="16"/>
    <d v="2021-08-28T00:00:00"/>
    <x v="4"/>
    <x v="10"/>
    <x v="1"/>
    <x v="0"/>
    <x v="3"/>
    <x v="314"/>
    <d v="2021-11-19T00:00:00"/>
    <n v="5"/>
    <n v="48"/>
    <n v="48"/>
    <x v="0"/>
  </r>
  <r>
    <n v="1891"/>
    <s v="Jonathan Barrett"/>
    <x v="1886"/>
    <x v="10"/>
    <d v="2020-07-25T00:00:00"/>
    <x v="2"/>
    <x v="1"/>
    <x v="1"/>
    <x v="3"/>
    <x v="3"/>
    <x v="878"/>
    <d v="2021-05-21T00:00:00"/>
    <n v="5"/>
    <n v="192"/>
    <n v="168"/>
    <x v="1"/>
  </r>
  <r>
    <n v="1892"/>
    <s v="Nichole Zimmerman"/>
    <x v="1887"/>
    <x v="18"/>
    <d v="2023-05-01T00:00:00"/>
    <x v="4"/>
    <x v="12"/>
    <x v="1"/>
    <x v="0"/>
    <x v="3"/>
    <x v="1025"/>
    <d v="2023-12-30T00:00:00"/>
    <n v="5"/>
    <n v="24"/>
    <n v="48"/>
    <x v="0"/>
  </r>
  <r>
    <n v="1893"/>
    <s v="David Davis"/>
    <x v="1888"/>
    <x v="17"/>
    <d v="2022-07-27T00:00:00"/>
    <x v="0"/>
    <x v="1"/>
    <x v="1"/>
    <x v="2"/>
    <x v="3"/>
    <x v="95"/>
    <d v="2023-07-12T00:00:00"/>
    <n v="4"/>
    <n v="120"/>
    <n v="120"/>
    <x v="0"/>
  </r>
  <r>
    <n v="1894"/>
    <s v="Donald Harris Jr."/>
    <x v="1889"/>
    <x v="10"/>
    <d v="2021-06-16T00:00:00"/>
    <x v="2"/>
    <x v="5"/>
    <x v="1"/>
    <x v="3"/>
    <x v="1"/>
    <x v="61"/>
    <d v="2022-05-15T00:00:00"/>
    <n v="3"/>
    <n v="240"/>
    <n v="168"/>
    <x v="1"/>
  </r>
  <r>
    <n v="1895"/>
    <s v="Jacqueline Smith"/>
    <x v="1890"/>
    <x v="8"/>
    <d v="2020-11-23T00:00:00"/>
    <x v="3"/>
    <x v="7"/>
    <x v="1"/>
    <x v="3"/>
    <x v="1"/>
    <x v="238"/>
    <d v="2021-08-16T00:00:00"/>
    <n v="4"/>
    <n v="96"/>
    <n v="168"/>
    <x v="0"/>
  </r>
  <r>
    <n v="1896"/>
    <s v="Michael Hodge"/>
    <x v="1891"/>
    <x v="8"/>
    <d v="2022-08-09T00:00:00"/>
    <x v="2"/>
    <x v="8"/>
    <x v="1"/>
    <x v="2"/>
    <x v="2"/>
    <x v="825"/>
    <d v="2023-02-06T00:00:00"/>
    <n v="3"/>
    <n v="72"/>
    <n v="120"/>
    <x v="0"/>
  </r>
  <r>
    <n v="1897"/>
    <s v="Randy Simon"/>
    <x v="1892"/>
    <x v="8"/>
    <d v="2021-03-26T00:00:00"/>
    <x v="2"/>
    <x v="10"/>
    <x v="1"/>
    <x v="2"/>
    <x v="1"/>
    <x v="849"/>
    <d v="2021-06-10T00:00:00"/>
    <n v="4"/>
    <n v="120"/>
    <n v="120"/>
    <x v="0"/>
  </r>
  <r>
    <n v="1898"/>
    <s v="Nicole Williams"/>
    <x v="1893"/>
    <x v="1"/>
    <d v="2021-10-10T00:00:00"/>
    <x v="3"/>
    <x v="10"/>
    <x v="1"/>
    <x v="3"/>
    <x v="1"/>
    <x v="550"/>
    <d v="2022-06-04T00:00:00"/>
    <m/>
    <n v="168"/>
    <n v="168"/>
    <x v="0"/>
  </r>
  <r>
    <n v="1899"/>
    <s v="Suzanne Lynch"/>
    <x v="1894"/>
    <x v="15"/>
    <d v="2021-11-28T00:00:00"/>
    <x v="1"/>
    <x v="7"/>
    <x v="0"/>
    <x v="2"/>
    <x v="0"/>
    <x v="351"/>
    <d v="2021-12-12T00:00:00"/>
    <m/>
    <n v="72"/>
    <n v="120"/>
    <x v="0"/>
  </r>
  <r>
    <n v="1900"/>
    <s v="Steven Phelps"/>
    <x v="1895"/>
    <x v="16"/>
    <d v="2021-02-16T00:00:00"/>
    <x v="0"/>
    <x v="13"/>
    <x v="1"/>
    <x v="2"/>
    <x v="1"/>
    <x v="577"/>
    <d v="2021-12-29T00:00:00"/>
    <n v="4"/>
    <n v="24"/>
    <n v="120"/>
    <x v="0"/>
  </r>
  <r>
    <n v="1901"/>
    <s v="Daryl Walker"/>
    <x v="1896"/>
    <x v="4"/>
    <d v="2020-03-15T00:00:00"/>
    <x v="3"/>
    <x v="12"/>
    <x v="0"/>
    <x v="2"/>
    <x v="1"/>
    <x v="394"/>
    <d v="2020-06-28T00:00:00"/>
    <m/>
    <n v="0"/>
    <n v="120"/>
    <x v="0"/>
  </r>
  <r>
    <n v="1902"/>
    <s v="Rebekah Hill"/>
    <x v="1897"/>
    <x v="18"/>
    <d v="2023-05-09T00:00:00"/>
    <x v="1"/>
    <x v="4"/>
    <x v="1"/>
    <x v="3"/>
    <x v="1"/>
    <x v="742"/>
    <d v="2023-08-05T00:00:00"/>
    <n v="3"/>
    <n v="144"/>
    <n v="168"/>
    <x v="0"/>
  </r>
  <r>
    <n v="1903"/>
    <s v="Kyle Williams"/>
    <x v="1898"/>
    <x v="12"/>
    <d v="2020-12-30T00:00:00"/>
    <x v="1"/>
    <x v="6"/>
    <x v="1"/>
    <x v="2"/>
    <x v="1"/>
    <x v="139"/>
    <d v="2021-10-24T00:00:00"/>
    <n v="5"/>
    <n v="168"/>
    <n v="120"/>
    <x v="1"/>
  </r>
  <r>
    <n v="1904"/>
    <s v="Jasmine Swanson"/>
    <x v="1899"/>
    <x v="7"/>
    <d v="2021-10-29T00:00:00"/>
    <x v="0"/>
    <x v="7"/>
    <x v="1"/>
    <x v="2"/>
    <x v="1"/>
    <x v="1026"/>
    <d v="2022-02-23T00:00:00"/>
    <n v="5"/>
    <n v="96"/>
    <n v="120"/>
    <x v="0"/>
  </r>
  <r>
    <n v="1905"/>
    <s v="Matthew Potts"/>
    <x v="1900"/>
    <x v="14"/>
    <d v="2021-02-05T00:00:00"/>
    <x v="2"/>
    <x v="10"/>
    <x v="1"/>
    <x v="2"/>
    <x v="1"/>
    <x v="937"/>
    <d v="2022-02-03T00:00:00"/>
    <n v="4"/>
    <n v="48"/>
    <n v="120"/>
    <x v="0"/>
  </r>
  <r>
    <n v="1906"/>
    <s v="Eduardo Scott"/>
    <x v="1901"/>
    <x v="12"/>
    <d v="2021-07-15T00:00:00"/>
    <x v="4"/>
    <x v="7"/>
    <x v="1"/>
    <x v="1"/>
    <x v="3"/>
    <x v="198"/>
    <d v="2021-10-11T00:00:00"/>
    <n v="4"/>
    <n v="24"/>
    <n v="24"/>
    <x v="0"/>
  </r>
  <r>
    <n v="1907"/>
    <s v="Timothy Collins"/>
    <x v="1902"/>
    <x v="12"/>
    <d v="2020-01-06T00:00:00"/>
    <x v="3"/>
    <x v="4"/>
    <x v="1"/>
    <x v="2"/>
    <x v="1"/>
    <x v="1027"/>
    <d v="2020-12-05T00:00:00"/>
    <n v="5"/>
    <n v="144"/>
    <n v="120"/>
    <x v="1"/>
  </r>
  <r>
    <n v="1908"/>
    <s v="Andrea Townsend"/>
    <x v="1903"/>
    <x v="5"/>
    <d v="2020-07-07T00:00:00"/>
    <x v="0"/>
    <x v="5"/>
    <x v="1"/>
    <x v="0"/>
    <x v="1"/>
    <x v="1028"/>
    <d v="2020-09-13T00:00:00"/>
    <n v="3"/>
    <n v="48"/>
    <n v="48"/>
    <x v="0"/>
  </r>
  <r>
    <n v="1909"/>
    <s v="Sandy Nichols"/>
    <x v="1904"/>
    <x v="16"/>
    <d v="2021-07-07T00:00:00"/>
    <x v="1"/>
    <x v="10"/>
    <x v="0"/>
    <x v="3"/>
    <x v="1"/>
    <x v="1029"/>
    <d v="2022-01-16T00:00:00"/>
    <m/>
    <n v="96"/>
    <n v="168"/>
    <x v="0"/>
  </r>
  <r>
    <n v="1910"/>
    <s v="Heather Hughes"/>
    <x v="1905"/>
    <x v="1"/>
    <d v="2022-08-21T00:00:00"/>
    <x v="3"/>
    <x v="12"/>
    <x v="1"/>
    <x v="2"/>
    <x v="1"/>
    <x v="1030"/>
    <d v="2023-04-02T00:00:00"/>
    <m/>
    <n v="72"/>
    <n v="120"/>
    <x v="0"/>
  </r>
  <r>
    <n v="1911"/>
    <s v="Rebecca Miller"/>
    <x v="1906"/>
    <x v="2"/>
    <d v="2022-12-07T00:00:00"/>
    <x v="0"/>
    <x v="13"/>
    <x v="3"/>
    <x v="0"/>
    <x v="2"/>
    <x v="330"/>
    <d v="2023-02-01T00:00:00"/>
    <m/>
    <n v="48"/>
    <n v="48"/>
    <x v="0"/>
  </r>
  <r>
    <n v="1912"/>
    <s v="Karen Middleton"/>
    <x v="1907"/>
    <x v="17"/>
    <d v="2022-03-07T00:00:00"/>
    <x v="3"/>
    <x v="4"/>
    <x v="0"/>
    <x v="2"/>
    <x v="2"/>
    <x v="516"/>
    <d v="2022-06-14T00:00:00"/>
    <m/>
    <n v="48"/>
    <n v="120"/>
    <x v="0"/>
  </r>
  <r>
    <n v="1913"/>
    <s v="Jennifer Jackson"/>
    <x v="1908"/>
    <x v="1"/>
    <d v="2020-04-13T00:00:00"/>
    <x v="2"/>
    <x v="1"/>
    <x v="1"/>
    <x v="1"/>
    <x v="3"/>
    <x v="641"/>
    <d v="2021-02-20T00:00:00"/>
    <n v="5"/>
    <n v="24"/>
    <n v="24"/>
    <x v="0"/>
  </r>
  <r>
    <n v="1914"/>
    <s v="Natasha Davenport"/>
    <x v="1909"/>
    <x v="9"/>
    <d v="2021-05-15T00:00:00"/>
    <x v="2"/>
    <x v="12"/>
    <x v="3"/>
    <x v="2"/>
    <x v="1"/>
    <x v="109"/>
    <d v="2021-09-10T00:00:00"/>
    <m/>
    <n v="96"/>
    <n v="120"/>
    <x v="0"/>
  </r>
  <r>
    <n v="1915"/>
    <s v="Christina Williams"/>
    <x v="1910"/>
    <x v="6"/>
    <d v="2020-01-27T00:00:00"/>
    <x v="3"/>
    <x v="10"/>
    <x v="1"/>
    <x v="0"/>
    <x v="3"/>
    <x v="944"/>
    <d v="2020-02-15T00:00:00"/>
    <n v="4"/>
    <n v="48"/>
    <n v="48"/>
    <x v="0"/>
  </r>
  <r>
    <n v="1916"/>
    <s v="Taylor Wong MD"/>
    <x v="1911"/>
    <x v="5"/>
    <d v="2020-07-27T00:00:00"/>
    <x v="3"/>
    <x v="8"/>
    <x v="1"/>
    <x v="2"/>
    <x v="0"/>
    <x v="212"/>
    <d v="2021-07-29T00:00:00"/>
    <n v="4"/>
    <n v="48"/>
    <n v="120"/>
    <x v="0"/>
  </r>
  <r>
    <n v="1917"/>
    <s v="Linda Hoffman"/>
    <x v="1912"/>
    <x v="4"/>
    <d v="2022-05-06T00:00:00"/>
    <x v="3"/>
    <x v="11"/>
    <x v="1"/>
    <x v="0"/>
    <x v="1"/>
    <x v="1031"/>
    <d v="2023-05-06T00:00:00"/>
    <n v="3"/>
    <n v="48"/>
    <n v="48"/>
    <x v="0"/>
  </r>
  <r>
    <n v="1918"/>
    <s v="Gina Weber"/>
    <x v="1913"/>
    <x v="13"/>
    <d v="2021-04-29T00:00:00"/>
    <x v="3"/>
    <x v="12"/>
    <x v="1"/>
    <x v="1"/>
    <x v="0"/>
    <x v="351"/>
    <d v="2021-12-10T00:00:00"/>
    <n v="4"/>
    <n v="24"/>
    <n v="24"/>
    <x v="0"/>
  </r>
  <r>
    <n v="1919"/>
    <s v="Jessica Williams"/>
    <x v="1914"/>
    <x v="2"/>
    <d v="2022-12-17T00:00:00"/>
    <x v="1"/>
    <x v="13"/>
    <x v="1"/>
    <x v="3"/>
    <x v="1"/>
    <x v="576"/>
    <d v="2023-01-11T00:00:00"/>
    <m/>
    <n v="24"/>
    <n v="168"/>
    <x v="0"/>
  </r>
  <r>
    <n v="1920"/>
    <s v="James Hernandez"/>
    <x v="1915"/>
    <x v="3"/>
    <d v="2020-04-26T00:00:00"/>
    <x v="1"/>
    <x v="1"/>
    <x v="0"/>
    <x v="2"/>
    <x v="1"/>
    <x v="1032"/>
    <d v="2020-08-07T00:00:00"/>
    <m/>
    <n v="48"/>
    <n v="120"/>
    <x v="0"/>
  </r>
  <r>
    <n v="1921"/>
    <s v="Dr. Jason Johnson IV"/>
    <x v="1916"/>
    <x v="1"/>
    <d v="2022-07-25T00:00:00"/>
    <x v="3"/>
    <x v="13"/>
    <x v="1"/>
    <x v="3"/>
    <x v="3"/>
    <x v="658"/>
    <d v="2022-09-23T00:00:00"/>
    <n v="5"/>
    <n v="120"/>
    <n v="168"/>
    <x v="0"/>
  </r>
  <r>
    <n v="1922"/>
    <s v="Ariel Wilson"/>
    <x v="1917"/>
    <x v="16"/>
    <d v="2022-06-14T00:00:00"/>
    <x v="1"/>
    <x v="6"/>
    <x v="3"/>
    <x v="3"/>
    <x v="3"/>
    <x v="966"/>
    <d v="2023-02-10T00:00:00"/>
    <m/>
    <n v="192"/>
    <n v="168"/>
    <x v="1"/>
  </r>
  <r>
    <n v="1923"/>
    <s v="Robert Hall"/>
    <x v="1918"/>
    <x v="4"/>
    <d v="2023-01-12T00:00:00"/>
    <x v="4"/>
    <x v="4"/>
    <x v="1"/>
    <x v="1"/>
    <x v="2"/>
    <x v="470"/>
    <d v="2023-05-19T00:00:00"/>
    <n v="4"/>
    <n v="0"/>
    <n v="24"/>
    <x v="0"/>
  </r>
  <r>
    <n v="1924"/>
    <s v="Laura Vaughn"/>
    <x v="1919"/>
    <x v="1"/>
    <d v="2023-03-14T00:00:00"/>
    <x v="4"/>
    <x v="8"/>
    <x v="0"/>
    <x v="3"/>
    <x v="1"/>
    <x v="841"/>
    <d v="2023-12-25T00:00:00"/>
    <m/>
    <n v="48"/>
    <n v="168"/>
    <x v="0"/>
  </r>
  <r>
    <n v="1925"/>
    <s v="Emily Humphrey"/>
    <x v="1920"/>
    <x v="6"/>
    <d v="2020-07-31T00:00:00"/>
    <x v="3"/>
    <x v="0"/>
    <x v="1"/>
    <x v="1"/>
    <x v="2"/>
    <x v="6"/>
    <d v="2021-05-04T00:00:00"/>
    <n v="4"/>
    <n v="24"/>
    <n v="24"/>
    <x v="0"/>
  </r>
  <r>
    <n v="1926"/>
    <s v="Travis Chapman"/>
    <x v="1921"/>
    <x v="3"/>
    <d v="2021-09-22T00:00:00"/>
    <x v="2"/>
    <x v="4"/>
    <x v="1"/>
    <x v="0"/>
    <x v="2"/>
    <x v="456"/>
    <d v="2021-12-15T00:00:00"/>
    <n v="5"/>
    <n v="24"/>
    <n v="48"/>
    <x v="0"/>
  </r>
  <r>
    <n v="1927"/>
    <s v="Deborah Garza"/>
    <x v="1922"/>
    <x v="12"/>
    <d v="2022-06-02T00:00:00"/>
    <x v="1"/>
    <x v="1"/>
    <x v="1"/>
    <x v="3"/>
    <x v="3"/>
    <x v="1033"/>
    <d v="2023-01-27T00:00:00"/>
    <n v="3"/>
    <n v="72"/>
    <n v="168"/>
    <x v="0"/>
  </r>
  <r>
    <n v="1928"/>
    <s v="Ashley Burnett"/>
    <x v="1923"/>
    <x v="3"/>
    <d v="2020-09-20T00:00:00"/>
    <x v="2"/>
    <x v="11"/>
    <x v="3"/>
    <x v="2"/>
    <x v="1"/>
    <x v="234"/>
    <d v="2021-02-05T00:00:00"/>
    <m/>
    <n v="72"/>
    <n v="120"/>
    <x v="0"/>
  </r>
  <r>
    <n v="1929"/>
    <s v="Samantha Fleming"/>
    <x v="1924"/>
    <x v="6"/>
    <d v="2021-02-28T00:00:00"/>
    <x v="1"/>
    <x v="1"/>
    <x v="0"/>
    <x v="3"/>
    <x v="2"/>
    <x v="247"/>
    <d v="2021-08-29T00:00:00"/>
    <m/>
    <n v="216"/>
    <n v="168"/>
    <x v="1"/>
  </r>
  <r>
    <n v="1930"/>
    <s v="Monica Wilkinson"/>
    <x v="1925"/>
    <x v="17"/>
    <d v="2020-11-23T00:00:00"/>
    <x v="4"/>
    <x v="9"/>
    <x v="2"/>
    <x v="2"/>
    <x v="3"/>
    <x v="1034"/>
    <d v="2021-08-24T00:00:00"/>
    <n v="2"/>
    <n v="24"/>
    <n v="120"/>
    <x v="0"/>
  </r>
  <r>
    <n v="1931"/>
    <s v="Jasmine Bryan"/>
    <x v="1926"/>
    <x v="9"/>
    <d v="2022-06-17T00:00:00"/>
    <x v="0"/>
    <x v="8"/>
    <x v="0"/>
    <x v="0"/>
    <x v="3"/>
    <x v="968"/>
    <d v="2022-09-21T00:00:00"/>
    <m/>
    <n v="24"/>
    <n v="48"/>
    <x v="0"/>
  </r>
  <r>
    <n v="1932"/>
    <s v="David Chase"/>
    <x v="1927"/>
    <x v="14"/>
    <d v="2022-02-12T00:00:00"/>
    <x v="3"/>
    <x v="9"/>
    <x v="1"/>
    <x v="3"/>
    <x v="3"/>
    <x v="825"/>
    <d v="2023-02-11T00:00:00"/>
    <m/>
    <n v="192"/>
    <n v="168"/>
    <x v="1"/>
  </r>
  <r>
    <n v="1933"/>
    <s v="Brian Garza"/>
    <x v="1928"/>
    <x v="13"/>
    <d v="2022-06-20T00:00:00"/>
    <x v="0"/>
    <x v="7"/>
    <x v="1"/>
    <x v="3"/>
    <x v="3"/>
    <x v="493"/>
    <d v="2022-11-26T00:00:00"/>
    <n v="4"/>
    <n v="240"/>
    <n v="168"/>
    <x v="1"/>
  </r>
  <r>
    <n v="1934"/>
    <s v="Michael Anderson"/>
    <x v="1929"/>
    <x v="2"/>
    <d v="2023-02-09T00:00:00"/>
    <x v="4"/>
    <x v="12"/>
    <x v="0"/>
    <x v="3"/>
    <x v="1"/>
    <x v="21"/>
    <d v="2023-05-16T00:00:00"/>
    <m/>
    <n v="120"/>
    <n v="168"/>
    <x v="0"/>
  </r>
  <r>
    <n v="1935"/>
    <s v="James Sanford"/>
    <x v="1930"/>
    <x v="13"/>
    <d v="2020-11-22T00:00:00"/>
    <x v="4"/>
    <x v="12"/>
    <x v="0"/>
    <x v="0"/>
    <x v="2"/>
    <x v="1"/>
    <d v="2021-06-10T00:00:00"/>
    <m/>
    <n v="48"/>
    <n v="48"/>
    <x v="0"/>
  </r>
  <r>
    <n v="1936"/>
    <s v="Sandra Smith"/>
    <x v="1931"/>
    <x v="0"/>
    <d v="2023-01-30T00:00:00"/>
    <x v="4"/>
    <x v="4"/>
    <x v="3"/>
    <x v="3"/>
    <x v="1"/>
    <x v="660"/>
    <d v="2023-08-11T00:00:00"/>
    <m/>
    <n v="24"/>
    <n v="168"/>
    <x v="0"/>
  </r>
  <r>
    <n v="1937"/>
    <s v="Barbara Wood"/>
    <x v="1932"/>
    <x v="10"/>
    <d v="2021-03-03T00:00:00"/>
    <x v="3"/>
    <x v="10"/>
    <x v="1"/>
    <x v="3"/>
    <x v="2"/>
    <x v="460"/>
    <d v="2021-03-08T00:00:00"/>
    <n v="4"/>
    <n v="120"/>
    <n v="168"/>
    <x v="0"/>
  </r>
  <r>
    <n v="1938"/>
    <s v="Dakota Reid"/>
    <x v="1933"/>
    <x v="18"/>
    <d v="2022-10-25T00:00:00"/>
    <x v="1"/>
    <x v="7"/>
    <x v="0"/>
    <x v="2"/>
    <x v="1"/>
    <x v="95"/>
    <d v="2023-07-11T00:00:00"/>
    <m/>
    <n v="96"/>
    <n v="120"/>
    <x v="0"/>
  </r>
  <r>
    <n v="1939"/>
    <s v="John Hill"/>
    <x v="1934"/>
    <x v="17"/>
    <d v="2020-04-05T00:00:00"/>
    <x v="1"/>
    <x v="7"/>
    <x v="3"/>
    <x v="0"/>
    <x v="1"/>
    <x v="1035"/>
    <d v="2020-12-21T00:00:00"/>
    <m/>
    <n v="24"/>
    <n v="48"/>
    <x v="0"/>
  </r>
  <r>
    <n v="1940"/>
    <s v="Sandra Goodman"/>
    <x v="1935"/>
    <x v="3"/>
    <d v="2021-03-16T00:00:00"/>
    <x v="1"/>
    <x v="12"/>
    <x v="1"/>
    <x v="3"/>
    <x v="1"/>
    <x v="438"/>
    <d v="2021-10-12T00:00:00"/>
    <n v="2"/>
    <n v="168"/>
    <n v="168"/>
    <x v="0"/>
  </r>
  <r>
    <n v="1941"/>
    <s v="Jeffery Smith"/>
    <x v="1936"/>
    <x v="13"/>
    <d v="2020-12-14T00:00:00"/>
    <x v="2"/>
    <x v="5"/>
    <x v="0"/>
    <x v="0"/>
    <x v="1"/>
    <x v="1016"/>
    <d v="2021-08-14T00:00:00"/>
    <m/>
    <n v="24"/>
    <n v="48"/>
    <x v="0"/>
  </r>
  <r>
    <n v="1942"/>
    <s v="Michael Hill"/>
    <x v="1937"/>
    <x v="12"/>
    <d v="2022-01-16T00:00:00"/>
    <x v="0"/>
    <x v="10"/>
    <x v="1"/>
    <x v="2"/>
    <x v="1"/>
    <x v="349"/>
    <d v="2022-03-03T00:00:00"/>
    <n v="3"/>
    <n v="96"/>
    <n v="120"/>
    <x v="0"/>
  </r>
  <r>
    <n v="1943"/>
    <s v="Taylor Smith"/>
    <x v="1938"/>
    <x v="4"/>
    <d v="2022-03-02T00:00:00"/>
    <x v="2"/>
    <x v="3"/>
    <x v="1"/>
    <x v="0"/>
    <x v="1"/>
    <x v="181"/>
    <d v="2022-09-30T00:00:00"/>
    <n v="4"/>
    <n v="48"/>
    <n v="48"/>
    <x v="0"/>
  </r>
  <r>
    <n v="1944"/>
    <s v="Brianna Adams"/>
    <x v="1939"/>
    <x v="6"/>
    <d v="2022-03-13T00:00:00"/>
    <x v="2"/>
    <x v="0"/>
    <x v="2"/>
    <x v="3"/>
    <x v="1"/>
    <x v="559"/>
    <d v="2023-02-12T00:00:00"/>
    <n v="4"/>
    <n v="144"/>
    <n v="168"/>
    <x v="0"/>
  </r>
  <r>
    <n v="1945"/>
    <s v="Nicole Smith"/>
    <x v="1940"/>
    <x v="11"/>
    <d v="2023-03-23T00:00:00"/>
    <x v="3"/>
    <x v="3"/>
    <x v="0"/>
    <x v="2"/>
    <x v="1"/>
    <x v="875"/>
    <d v="2024-02-07T00:00:00"/>
    <m/>
    <n v="48"/>
    <n v="120"/>
    <x v="0"/>
  </r>
  <r>
    <n v="1946"/>
    <s v="Tara Foley"/>
    <x v="1941"/>
    <x v="12"/>
    <d v="2020-08-19T00:00:00"/>
    <x v="3"/>
    <x v="12"/>
    <x v="3"/>
    <x v="2"/>
    <x v="1"/>
    <x v="359"/>
    <d v="2020-09-11T00:00:00"/>
    <m/>
    <n v="72"/>
    <n v="120"/>
    <x v="0"/>
  </r>
  <r>
    <n v="1947"/>
    <s v="Erin Norris"/>
    <x v="843"/>
    <x v="6"/>
    <d v="2020-10-27T00:00:00"/>
    <x v="3"/>
    <x v="13"/>
    <x v="1"/>
    <x v="0"/>
    <x v="2"/>
    <x v="541"/>
    <d v="2020-12-16T00:00:00"/>
    <n v="4"/>
    <n v="48"/>
    <n v="48"/>
    <x v="0"/>
  </r>
  <r>
    <n v="1948"/>
    <s v="Nicholas Le"/>
    <x v="1942"/>
    <x v="6"/>
    <d v="2022-06-29T00:00:00"/>
    <x v="3"/>
    <x v="2"/>
    <x v="0"/>
    <x v="2"/>
    <x v="0"/>
    <x v="559"/>
    <d v="2023-02-09T00:00:00"/>
    <m/>
    <n v="72"/>
    <n v="120"/>
    <x v="0"/>
  </r>
  <r>
    <n v="1949"/>
    <s v="James Wilkinson"/>
    <x v="1943"/>
    <x v="4"/>
    <d v="2021-01-15T00:00:00"/>
    <x v="3"/>
    <x v="8"/>
    <x v="1"/>
    <x v="1"/>
    <x v="0"/>
    <x v="81"/>
    <d v="2021-05-30T00:00:00"/>
    <n v="5"/>
    <n v="24"/>
    <n v="24"/>
    <x v="0"/>
  </r>
  <r>
    <n v="1950"/>
    <s v="Scott Kelly"/>
    <x v="1944"/>
    <x v="3"/>
    <d v="2022-05-23T00:00:00"/>
    <x v="0"/>
    <x v="5"/>
    <x v="1"/>
    <x v="3"/>
    <x v="0"/>
    <x v="1036"/>
    <d v="2023-03-11T00:00:00"/>
    <n v="5"/>
    <n v="24"/>
    <n v="168"/>
    <x v="0"/>
  </r>
  <r>
    <n v="1951"/>
    <s v="Billy Cunningham"/>
    <x v="1945"/>
    <x v="17"/>
    <d v="2021-12-26T00:00:00"/>
    <x v="4"/>
    <x v="3"/>
    <x v="1"/>
    <x v="3"/>
    <x v="3"/>
    <x v="133"/>
    <d v="2022-11-23T00:00:00"/>
    <n v="4"/>
    <n v="144"/>
    <n v="168"/>
    <x v="0"/>
  </r>
  <r>
    <n v="1952"/>
    <s v="Zachary Jones"/>
    <x v="1946"/>
    <x v="3"/>
    <d v="2020-11-29T00:00:00"/>
    <x v="4"/>
    <x v="8"/>
    <x v="0"/>
    <x v="3"/>
    <x v="1"/>
    <x v="1037"/>
    <d v="2021-02-04T00:00:00"/>
    <m/>
    <n v="240"/>
    <n v="168"/>
    <x v="1"/>
  </r>
  <r>
    <n v="1953"/>
    <s v="Brent Scott"/>
    <x v="1947"/>
    <x v="7"/>
    <d v="2022-07-03T00:00:00"/>
    <x v="2"/>
    <x v="2"/>
    <x v="3"/>
    <x v="2"/>
    <x v="1"/>
    <x v="682"/>
    <d v="2023-06-22T00:00:00"/>
    <m/>
    <n v="24"/>
    <n v="120"/>
    <x v="0"/>
  </r>
  <r>
    <n v="1954"/>
    <s v="Stephanie Davis"/>
    <x v="1948"/>
    <x v="1"/>
    <d v="2023-05-13T00:00:00"/>
    <x v="0"/>
    <x v="7"/>
    <x v="3"/>
    <x v="0"/>
    <x v="1"/>
    <x v="1038"/>
    <d v="2024-05-06T00:00:00"/>
    <m/>
    <n v="24"/>
    <n v="48"/>
    <x v="0"/>
  </r>
  <r>
    <n v="1955"/>
    <s v="Nicole Mays"/>
    <x v="1949"/>
    <x v="11"/>
    <d v="2020-09-16T00:00:00"/>
    <x v="3"/>
    <x v="3"/>
    <x v="1"/>
    <x v="0"/>
    <x v="3"/>
    <x v="915"/>
    <d v="2021-07-08T00:00:00"/>
    <m/>
    <n v="24"/>
    <n v="48"/>
    <x v="0"/>
  </r>
  <r>
    <n v="1956"/>
    <s v="Melissa Smith"/>
    <x v="1950"/>
    <x v="16"/>
    <d v="2021-05-28T00:00:00"/>
    <x v="4"/>
    <x v="13"/>
    <x v="0"/>
    <x v="3"/>
    <x v="1"/>
    <x v="1039"/>
    <d v="2021-12-27T00:00:00"/>
    <m/>
    <n v="96"/>
    <n v="168"/>
    <x v="0"/>
  </r>
  <r>
    <n v="1957"/>
    <s v="Jonathan Perez"/>
    <x v="1951"/>
    <x v="3"/>
    <d v="2022-05-14T00:00:00"/>
    <x v="3"/>
    <x v="5"/>
    <x v="0"/>
    <x v="2"/>
    <x v="1"/>
    <x v="902"/>
    <d v="2023-02-20T00:00:00"/>
    <m/>
    <n v="144"/>
    <n v="120"/>
    <x v="1"/>
  </r>
  <r>
    <n v="1958"/>
    <s v="Alyssa Davis"/>
    <x v="1952"/>
    <x v="3"/>
    <d v="2020-12-29T00:00:00"/>
    <x v="4"/>
    <x v="4"/>
    <x v="2"/>
    <x v="2"/>
    <x v="3"/>
    <x v="127"/>
    <d v="2021-05-18T00:00:00"/>
    <n v="4"/>
    <n v="48"/>
    <n v="120"/>
    <x v="0"/>
  </r>
  <r>
    <n v="1959"/>
    <s v="Morgan Gonzalez"/>
    <x v="1953"/>
    <x v="3"/>
    <d v="2022-10-24T00:00:00"/>
    <x v="2"/>
    <x v="6"/>
    <x v="1"/>
    <x v="3"/>
    <x v="1"/>
    <x v="410"/>
    <d v="2023-10-03T00:00:00"/>
    <n v="3"/>
    <n v="168"/>
    <n v="168"/>
    <x v="0"/>
  </r>
  <r>
    <n v="1960"/>
    <s v="Luke Johnson"/>
    <x v="1954"/>
    <x v="14"/>
    <d v="2022-12-02T00:00:00"/>
    <x v="4"/>
    <x v="3"/>
    <x v="1"/>
    <x v="2"/>
    <x v="2"/>
    <x v="921"/>
    <d v="2023-03-31T00:00:00"/>
    <n v="4"/>
    <n v="72"/>
    <n v="120"/>
    <x v="0"/>
  </r>
  <r>
    <n v="1961"/>
    <s v="Michael Bass"/>
    <x v="1955"/>
    <x v="16"/>
    <d v="2020-02-24T00:00:00"/>
    <x v="2"/>
    <x v="12"/>
    <x v="3"/>
    <x v="2"/>
    <x v="0"/>
    <x v="1040"/>
    <d v="2020-04-09T00:00:00"/>
    <m/>
    <n v="72"/>
    <n v="120"/>
    <x v="0"/>
  </r>
  <r>
    <n v="1962"/>
    <s v="Melinda Orozco"/>
    <x v="1956"/>
    <x v="17"/>
    <d v="2020-08-26T00:00:00"/>
    <x v="4"/>
    <x v="11"/>
    <x v="0"/>
    <x v="2"/>
    <x v="1"/>
    <x v="1041"/>
    <d v="2021-04-18T00:00:00"/>
    <m/>
    <n v="72"/>
    <n v="120"/>
    <x v="0"/>
  </r>
  <r>
    <n v="1963"/>
    <s v="Jeffrey Lyons"/>
    <x v="1957"/>
    <x v="18"/>
    <d v="2022-11-17T00:00:00"/>
    <x v="0"/>
    <x v="13"/>
    <x v="0"/>
    <x v="0"/>
    <x v="3"/>
    <x v="64"/>
    <d v="2023-02-06T00:00:00"/>
    <m/>
    <n v="24"/>
    <n v="48"/>
    <x v="0"/>
  </r>
  <r>
    <n v="1964"/>
    <s v="Stephanie Vargas"/>
    <x v="1958"/>
    <x v="14"/>
    <d v="2022-10-23T00:00:00"/>
    <x v="3"/>
    <x v="1"/>
    <x v="1"/>
    <x v="2"/>
    <x v="1"/>
    <x v="1042"/>
    <d v="2023-04-20T00:00:00"/>
    <m/>
    <n v="24"/>
    <n v="120"/>
    <x v="0"/>
  </r>
  <r>
    <n v="1965"/>
    <s v="Tiffany Coleman"/>
    <x v="1959"/>
    <x v="13"/>
    <d v="2020-11-28T00:00:00"/>
    <x v="3"/>
    <x v="11"/>
    <x v="1"/>
    <x v="3"/>
    <x v="3"/>
    <x v="218"/>
    <d v="2021-08-14T00:00:00"/>
    <m/>
    <n v="168"/>
    <n v="168"/>
    <x v="0"/>
  </r>
  <r>
    <n v="1966"/>
    <s v="Rebecca Houston"/>
    <x v="1960"/>
    <x v="12"/>
    <d v="2021-12-23T00:00:00"/>
    <x v="2"/>
    <x v="1"/>
    <x v="1"/>
    <x v="3"/>
    <x v="3"/>
    <x v="153"/>
    <d v="2022-09-27T00:00:00"/>
    <n v="4"/>
    <n v="264"/>
    <n v="168"/>
    <x v="1"/>
  </r>
  <r>
    <n v="1967"/>
    <s v="Shelly Wilson"/>
    <x v="1961"/>
    <x v="18"/>
    <d v="2022-04-08T00:00:00"/>
    <x v="1"/>
    <x v="5"/>
    <x v="1"/>
    <x v="3"/>
    <x v="3"/>
    <x v="513"/>
    <d v="2023-04-05T00:00:00"/>
    <n v="5"/>
    <n v="168"/>
    <n v="168"/>
    <x v="0"/>
  </r>
  <r>
    <n v="1968"/>
    <s v="Ashley Mendoza"/>
    <x v="1962"/>
    <x v="3"/>
    <d v="2023-05-26T00:00:00"/>
    <x v="2"/>
    <x v="2"/>
    <x v="1"/>
    <x v="3"/>
    <x v="3"/>
    <x v="1038"/>
    <d v="2024-05-08T00:00:00"/>
    <n v="5"/>
    <n v="72"/>
    <n v="168"/>
    <x v="0"/>
  </r>
  <r>
    <n v="1969"/>
    <s v="Terry Romero"/>
    <x v="1963"/>
    <x v="3"/>
    <d v="2022-03-26T00:00:00"/>
    <x v="0"/>
    <x v="7"/>
    <x v="1"/>
    <x v="2"/>
    <x v="3"/>
    <x v="966"/>
    <d v="2023-02-06T00:00:00"/>
    <m/>
    <n v="96"/>
    <n v="120"/>
    <x v="0"/>
  </r>
  <r>
    <n v="1970"/>
    <s v="Debbie Rivera"/>
    <x v="1964"/>
    <x v="3"/>
    <d v="2020-11-14T00:00:00"/>
    <x v="1"/>
    <x v="4"/>
    <x v="0"/>
    <x v="2"/>
    <x v="1"/>
    <x v="316"/>
    <d v="2021-05-14T00:00:00"/>
    <m/>
    <n v="144"/>
    <n v="120"/>
    <x v="1"/>
  </r>
  <r>
    <n v="1971"/>
    <s v="Richard Hale"/>
    <x v="1965"/>
    <x v="6"/>
    <d v="2021-10-17T00:00:00"/>
    <x v="0"/>
    <x v="10"/>
    <x v="3"/>
    <x v="1"/>
    <x v="1"/>
    <x v="223"/>
    <d v="2022-08-09T00:00:00"/>
    <m/>
    <n v="0"/>
    <n v="24"/>
    <x v="0"/>
  </r>
  <r>
    <n v="1972"/>
    <s v="Kimberly Rojas"/>
    <x v="1966"/>
    <x v="9"/>
    <d v="2020-02-21T00:00:00"/>
    <x v="2"/>
    <x v="10"/>
    <x v="0"/>
    <x v="2"/>
    <x v="0"/>
    <x v="590"/>
    <d v="2020-10-08T00:00:00"/>
    <m/>
    <n v="144"/>
    <n v="120"/>
    <x v="1"/>
  </r>
  <r>
    <n v="1973"/>
    <s v="Penny Rowe"/>
    <x v="1967"/>
    <x v="13"/>
    <d v="2021-05-15T00:00:00"/>
    <x v="4"/>
    <x v="6"/>
    <x v="1"/>
    <x v="3"/>
    <x v="2"/>
    <x v="1043"/>
    <d v="2021-10-01T00:00:00"/>
    <n v="4"/>
    <n v="216"/>
    <n v="168"/>
    <x v="1"/>
  </r>
  <r>
    <n v="1974"/>
    <s v="Patrick Walsh"/>
    <x v="1968"/>
    <x v="18"/>
    <d v="2021-11-12T00:00:00"/>
    <x v="2"/>
    <x v="13"/>
    <x v="2"/>
    <x v="2"/>
    <x v="1"/>
    <x v="1044"/>
    <d v="2022-04-19T00:00:00"/>
    <n v="4"/>
    <n v="96"/>
    <n v="120"/>
    <x v="0"/>
  </r>
  <r>
    <n v="1975"/>
    <s v="Kimberly Watson"/>
    <x v="1969"/>
    <x v="12"/>
    <d v="2021-08-11T00:00:00"/>
    <x v="3"/>
    <x v="6"/>
    <x v="0"/>
    <x v="2"/>
    <x v="1"/>
    <x v="438"/>
    <d v="2021-10-10T00:00:00"/>
    <m/>
    <n v="120"/>
    <n v="120"/>
    <x v="0"/>
  </r>
  <r>
    <n v="1976"/>
    <s v="Rebecca Gordon"/>
    <x v="1970"/>
    <x v="3"/>
    <d v="2022-04-27T00:00:00"/>
    <x v="3"/>
    <x v="12"/>
    <x v="1"/>
    <x v="3"/>
    <x v="0"/>
    <x v="1045"/>
    <d v="2023-04-08T00:00:00"/>
    <n v="2"/>
    <n v="168"/>
    <n v="168"/>
    <x v="0"/>
  </r>
  <r>
    <n v="1977"/>
    <s v="Lindsay Ray"/>
    <x v="1971"/>
    <x v="5"/>
    <d v="2020-08-21T00:00:00"/>
    <x v="4"/>
    <x v="10"/>
    <x v="0"/>
    <x v="2"/>
    <x v="0"/>
    <x v="1046"/>
    <d v="2020-09-12T00:00:00"/>
    <m/>
    <n v="48"/>
    <n v="120"/>
    <x v="0"/>
  </r>
  <r>
    <n v="1978"/>
    <s v="Phillip Mason"/>
    <x v="1972"/>
    <x v="12"/>
    <d v="2021-11-06T00:00:00"/>
    <x v="3"/>
    <x v="5"/>
    <x v="1"/>
    <x v="0"/>
    <x v="3"/>
    <x v="303"/>
    <d v="2022-03-16T00:00:00"/>
    <n v="4"/>
    <n v="24"/>
    <n v="48"/>
    <x v="0"/>
  </r>
  <r>
    <n v="1979"/>
    <s v="Andrew Williams"/>
    <x v="1973"/>
    <x v="12"/>
    <d v="2021-06-14T00:00:00"/>
    <x v="1"/>
    <x v="1"/>
    <x v="1"/>
    <x v="2"/>
    <x v="1"/>
    <x v="1047"/>
    <d v="2022-03-26T00:00:00"/>
    <m/>
    <n v="72"/>
    <n v="120"/>
    <x v="0"/>
  </r>
  <r>
    <n v="1980"/>
    <s v="Nathaniel Hill"/>
    <x v="1974"/>
    <x v="14"/>
    <d v="2021-10-03T00:00:00"/>
    <x v="1"/>
    <x v="13"/>
    <x v="0"/>
    <x v="3"/>
    <x v="1"/>
    <x v="198"/>
    <d v="2021-10-20T00:00:00"/>
    <m/>
    <n v="240"/>
    <n v="168"/>
    <x v="1"/>
  </r>
  <r>
    <n v="1981"/>
    <s v="Derrick Perez"/>
    <x v="1975"/>
    <x v="17"/>
    <d v="2020-09-21T00:00:00"/>
    <x v="1"/>
    <x v="1"/>
    <x v="1"/>
    <x v="2"/>
    <x v="1"/>
    <x v="607"/>
    <d v="2021-09-03T00:00:00"/>
    <n v="4"/>
    <n v="0"/>
    <n v="120"/>
    <x v="0"/>
  </r>
  <r>
    <n v="1982"/>
    <s v="Jaime Williams"/>
    <x v="1976"/>
    <x v="12"/>
    <d v="2021-01-08T00:00:00"/>
    <x v="2"/>
    <x v="9"/>
    <x v="3"/>
    <x v="0"/>
    <x v="2"/>
    <x v="629"/>
    <d v="2021-05-21T00:00:00"/>
    <m/>
    <n v="0"/>
    <n v="48"/>
    <x v="0"/>
  </r>
  <r>
    <n v="1983"/>
    <s v="Scott Grant"/>
    <x v="1977"/>
    <x v="1"/>
    <d v="2022-03-27T00:00:00"/>
    <x v="2"/>
    <x v="12"/>
    <x v="0"/>
    <x v="2"/>
    <x v="1"/>
    <x v="414"/>
    <d v="2022-04-27T00:00:00"/>
    <m/>
    <n v="120"/>
    <n v="120"/>
    <x v="0"/>
  </r>
  <r>
    <n v="1984"/>
    <s v="Austin Adams"/>
    <x v="1978"/>
    <x v="16"/>
    <d v="2022-04-01T00:00:00"/>
    <x v="3"/>
    <x v="3"/>
    <x v="1"/>
    <x v="1"/>
    <x v="3"/>
    <x v="306"/>
    <d v="2023-02-24T00:00:00"/>
    <n v="4"/>
    <n v="0"/>
    <n v="24"/>
    <x v="0"/>
  </r>
  <r>
    <n v="1985"/>
    <s v="Justin Moreno"/>
    <x v="1979"/>
    <x v="7"/>
    <d v="2020-10-02T00:00:00"/>
    <x v="1"/>
    <x v="1"/>
    <x v="1"/>
    <x v="2"/>
    <x v="1"/>
    <x v="68"/>
    <d v="2021-03-08T00:00:00"/>
    <n v="5"/>
    <n v="48"/>
    <n v="120"/>
    <x v="0"/>
  </r>
  <r>
    <n v="1986"/>
    <s v="Kara Gilmore"/>
    <x v="1980"/>
    <x v="17"/>
    <d v="2022-03-31T00:00:00"/>
    <x v="1"/>
    <x v="7"/>
    <x v="1"/>
    <x v="3"/>
    <x v="1"/>
    <x v="1048"/>
    <d v="2022-10-17T00:00:00"/>
    <n v="4"/>
    <n v="216"/>
    <n v="168"/>
    <x v="1"/>
  </r>
  <r>
    <n v="1987"/>
    <s v="Jennifer Allen"/>
    <x v="1981"/>
    <x v="13"/>
    <d v="2021-04-03T00:00:00"/>
    <x v="1"/>
    <x v="3"/>
    <x v="1"/>
    <x v="2"/>
    <x v="3"/>
    <x v="433"/>
    <d v="2021-06-15T00:00:00"/>
    <n v="4"/>
    <n v="72"/>
    <n v="120"/>
    <x v="0"/>
  </r>
  <r>
    <n v="1988"/>
    <s v="Kelly Brewer"/>
    <x v="1982"/>
    <x v="7"/>
    <d v="2021-10-14T00:00:00"/>
    <x v="1"/>
    <x v="5"/>
    <x v="1"/>
    <x v="2"/>
    <x v="1"/>
    <x v="1049"/>
    <d v="2022-05-29T00:00:00"/>
    <n v="5"/>
    <n v="48"/>
    <n v="120"/>
    <x v="0"/>
  </r>
  <r>
    <n v="1989"/>
    <s v="Bianca Bowen"/>
    <x v="1983"/>
    <x v="16"/>
    <d v="2020-05-07T00:00:00"/>
    <x v="3"/>
    <x v="12"/>
    <x v="1"/>
    <x v="3"/>
    <x v="3"/>
    <x v="575"/>
    <d v="2020-11-01T00:00:00"/>
    <n v="5"/>
    <n v="264"/>
    <n v="168"/>
    <x v="1"/>
  </r>
  <r>
    <n v="1990"/>
    <s v="Andrew Price"/>
    <x v="1984"/>
    <x v="2"/>
    <d v="2023-03-22T00:00:00"/>
    <x v="4"/>
    <x v="11"/>
    <x v="0"/>
    <x v="3"/>
    <x v="1"/>
    <x v="667"/>
    <d v="2023-07-15T00:00:00"/>
    <m/>
    <n v="96"/>
    <n v="168"/>
    <x v="0"/>
  </r>
  <r>
    <n v="1991"/>
    <s v="Shane Lopez"/>
    <x v="1985"/>
    <x v="3"/>
    <d v="2022-11-27T00:00:00"/>
    <x v="2"/>
    <x v="9"/>
    <x v="3"/>
    <x v="1"/>
    <x v="3"/>
    <x v="573"/>
    <d v="2023-01-13T00:00:00"/>
    <m/>
    <n v="24"/>
    <n v="24"/>
    <x v="0"/>
  </r>
  <r>
    <n v="1992"/>
    <s v="Corey Grimes"/>
    <x v="1986"/>
    <x v="3"/>
    <d v="2021-09-30T00:00:00"/>
    <x v="1"/>
    <x v="2"/>
    <x v="1"/>
    <x v="2"/>
    <x v="1"/>
    <x v="61"/>
    <d v="2022-05-06T00:00:00"/>
    <n v="4"/>
    <n v="24"/>
    <n v="120"/>
    <x v="0"/>
  </r>
  <r>
    <n v="1993"/>
    <s v="Sharon Palmer"/>
    <x v="1987"/>
    <x v="3"/>
    <d v="2021-01-10T00:00:00"/>
    <x v="3"/>
    <x v="1"/>
    <x v="0"/>
    <x v="0"/>
    <x v="2"/>
    <x v="308"/>
    <d v="2021-11-07T00:00:00"/>
    <m/>
    <n v="48"/>
    <n v="48"/>
    <x v="0"/>
  </r>
  <r>
    <n v="1994"/>
    <s v="Kathryn White"/>
    <x v="1988"/>
    <x v="0"/>
    <d v="2022-12-19T00:00:00"/>
    <x v="3"/>
    <x v="2"/>
    <x v="0"/>
    <x v="2"/>
    <x v="1"/>
    <x v="185"/>
    <d v="2023-09-03T00:00:00"/>
    <m/>
    <n v="24"/>
    <n v="120"/>
    <x v="0"/>
  </r>
  <r>
    <n v="1995"/>
    <s v="Michael Johnson"/>
    <x v="1989"/>
    <x v="15"/>
    <d v="2020-12-01T00:00:00"/>
    <x v="4"/>
    <x v="5"/>
    <x v="1"/>
    <x v="0"/>
    <x v="0"/>
    <x v="640"/>
    <d v="2021-06-05T00:00:00"/>
    <n v="4"/>
    <n v="24"/>
    <n v="48"/>
    <x v="0"/>
  </r>
  <r>
    <n v="1996"/>
    <s v="Phillip Kelly"/>
    <x v="1990"/>
    <x v="7"/>
    <d v="2020-12-10T00:00:00"/>
    <x v="3"/>
    <x v="5"/>
    <x v="3"/>
    <x v="3"/>
    <x v="0"/>
    <x v="666"/>
    <d v="2021-07-28T00:00:00"/>
    <m/>
    <n v="144"/>
    <n v="168"/>
    <x v="0"/>
  </r>
  <r>
    <n v="1997"/>
    <s v="Renee Davis"/>
    <x v="1991"/>
    <x v="1"/>
    <d v="2022-04-25T00:00:00"/>
    <x v="3"/>
    <x v="5"/>
    <x v="3"/>
    <x v="3"/>
    <x v="3"/>
    <x v="261"/>
    <d v="2022-09-28T00:00:00"/>
    <m/>
    <n v="72"/>
    <n v="168"/>
    <x v="0"/>
  </r>
  <r>
    <n v="1998"/>
    <s v="William Allen"/>
    <x v="1992"/>
    <x v="14"/>
    <d v="2020-07-28T00:00:00"/>
    <x v="3"/>
    <x v="13"/>
    <x v="1"/>
    <x v="1"/>
    <x v="2"/>
    <x v="893"/>
    <d v="2021-04-05T00:00:00"/>
    <n v="4"/>
    <n v="24"/>
    <n v="24"/>
    <x v="0"/>
  </r>
  <r>
    <n v="1999"/>
    <s v="Frank Perez"/>
    <x v="1993"/>
    <x v="18"/>
    <d v="2020-05-10T00:00:00"/>
    <x v="0"/>
    <x v="0"/>
    <x v="1"/>
    <x v="2"/>
    <x v="1"/>
    <x v="887"/>
    <d v="2021-03-17T00:00:00"/>
    <n v="3"/>
    <n v="72"/>
    <n v="120"/>
    <x v="0"/>
  </r>
  <r>
    <n v="2000"/>
    <s v="Lisa Wagner"/>
    <x v="1994"/>
    <x v="3"/>
    <d v="2021-09-24T00:00:00"/>
    <x v="1"/>
    <x v="12"/>
    <x v="1"/>
    <x v="0"/>
    <x v="3"/>
    <x v="1049"/>
    <d v="2022-05-29T00:00:00"/>
    <n v="5"/>
    <n v="48"/>
    <n v="48"/>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C2EA39-A06B-406C-861F-8E02C15C56B2}" name="PivotTable22" cacheId="2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5">
  <location ref="K18:L21" firstHeaderRow="1" firstDataRow="1" firstDataCol="1"/>
  <pivotFields count="17">
    <pivotField showAll="0" defaultSubtotal="0"/>
    <pivotField showAll="0" defaultSubtotal="0"/>
    <pivotField showAll="0" defaultSubtotal="0"/>
    <pivotField showAll="0" defaultSubtotal="0"/>
    <pivotField numFmtId="14" showAll="0" defaultSubtotal="0"/>
    <pivotField showAll="0" defaultSubtotal="0"/>
    <pivotField showAll="0" defaultSubtotal="0"/>
    <pivotField showAll="0" defaultSubtotal="0">
      <items count="4">
        <item x="1"/>
        <item x="0"/>
        <item x="3"/>
        <item x="2"/>
      </items>
    </pivotField>
    <pivotField showAll="0" defaultSubtotal="0">
      <items count="4">
        <item x="1"/>
        <item x="0"/>
        <item x="3"/>
        <item x="2"/>
      </items>
    </pivotField>
    <pivotField showAll="0" defaultSubtotal="0">
      <items count="4">
        <item x="1"/>
        <item x="0"/>
        <item x="3"/>
        <item x="2"/>
      </items>
    </pivotField>
    <pivotField numFmtId="22" showAll="0" defaultSubtotal="0">
      <items count="1050">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s>
    </pivotField>
    <pivotField numFmtId="22" showAll="0" defaultSubtotal="0"/>
    <pivotField showAll="0" defaultSubtotal="0"/>
    <pivotField showAll="0" defaultSubtotal="0"/>
    <pivotField showAll="0" defaultSubtotal="0"/>
    <pivotField axis="axisRow" dataField="1" showAll="0" defaultSubtotal="0">
      <items count="2">
        <item x="1"/>
        <item x="0"/>
      </items>
    </pivotField>
    <pivotField showAll="0" defaultSubtotal="0">
      <items count="14">
        <item x="0"/>
        <item x="1"/>
        <item x="2"/>
        <item x="3"/>
        <item x="4"/>
        <item x="5"/>
        <item x="6"/>
        <item x="7"/>
        <item x="8"/>
        <item x="9"/>
        <item x="10"/>
        <item x="11"/>
        <item x="12"/>
        <item x="13"/>
      </items>
    </pivotField>
  </pivotFields>
  <rowFields count="1">
    <field x="15"/>
  </rowFields>
  <rowItems count="3">
    <i>
      <x/>
    </i>
    <i>
      <x v="1"/>
    </i>
    <i t="grand">
      <x/>
    </i>
  </rowItems>
  <colItems count="1">
    <i/>
  </colItems>
  <dataFields count="1">
    <dataField name="Count of SLA_Met" fld="15" subtotal="count" baseField="0" baseItem="0"/>
  </dataFields>
  <formats count="4">
    <format dxfId="153">
      <pivotArea field="16" type="button" dataOnly="0" labelOnly="1" outline="0"/>
    </format>
    <format dxfId="154">
      <pivotArea dataOnly="0" labelOnly="1" outline="0" axis="axisValues" fieldPosition="0"/>
    </format>
    <format dxfId="155">
      <pivotArea field="16" type="button" dataOnly="0" labelOnly="1" outline="0"/>
    </format>
    <format dxfId="15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5936A1-814B-4403-B9C5-EEA3ABA482D1}" name="PivotTable20"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H17:I22" firstHeaderRow="1" firstDataRow="1" firstDataCol="1"/>
  <pivotFields count="17">
    <pivotField showAll="0"/>
    <pivotField showAll="0"/>
    <pivotField showAll="0"/>
    <pivotField showAll="0"/>
    <pivotField numFmtId="14" showAll="0"/>
    <pivotField showAll="0"/>
    <pivotField showAll="0"/>
    <pivotField axis="axisRow" dataField="1" showAll="0">
      <items count="5">
        <item x="1"/>
        <item x="0"/>
        <item x="3"/>
        <item x="2"/>
        <item t="default"/>
      </items>
    </pivotField>
    <pivotField showAll="0">
      <items count="5">
        <item x="1"/>
        <item x="0"/>
        <item x="3"/>
        <item x="2"/>
        <item t="default"/>
      </items>
    </pivotField>
    <pivotField showAll="0">
      <items count="5">
        <item x="1"/>
        <item x="0"/>
        <item x="3"/>
        <item x="2"/>
        <item t="default"/>
      </items>
    </pivotField>
    <pivotField numFmtId="22" showAll="0">
      <items count="1051">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 t="default"/>
      </items>
    </pivotField>
    <pivotField numFmtId="22" showAll="0"/>
    <pivotField showAll="0"/>
    <pivotField showAll="0"/>
    <pivotField showAll="0"/>
    <pivotField showAll="0">
      <items count="3">
        <item x="1"/>
        <item x="0"/>
        <item t="default"/>
      </items>
    </pivotField>
    <pivotField showAll="0">
      <items count="15">
        <item x="0"/>
        <item x="1"/>
        <item x="2"/>
        <item x="3"/>
        <item x="4"/>
        <item x="5"/>
        <item x="6"/>
        <item x="7"/>
        <item x="8"/>
        <item x="9"/>
        <item x="10"/>
        <item x="11"/>
        <item x="12"/>
        <item x="13"/>
        <item t="default"/>
      </items>
    </pivotField>
  </pivotFields>
  <rowFields count="1">
    <field x="7"/>
  </rowFields>
  <rowItems count="5">
    <i>
      <x/>
    </i>
    <i>
      <x v="1"/>
    </i>
    <i>
      <x v="2"/>
    </i>
    <i>
      <x v="3"/>
    </i>
    <i t="grand">
      <x/>
    </i>
  </rowItems>
  <colItems count="1">
    <i/>
  </colItems>
  <dataFields count="1">
    <dataField name="Count of Ticket Status" fld="7" subtotal="count" baseField="0" baseItem="0"/>
  </dataFields>
  <formats count="4">
    <format dxfId="149">
      <pivotArea field="16" type="button" dataOnly="0" labelOnly="1" outline="0"/>
    </format>
    <format dxfId="150">
      <pivotArea dataOnly="0" labelOnly="1" outline="0" axis="axisValues" fieldPosition="0"/>
    </format>
    <format dxfId="151">
      <pivotArea field="16" type="button" dataOnly="0" labelOnly="1" outline="0"/>
    </format>
    <format dxfId="15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42783A-EDB9-45F6-8986-C818B3E7616F}" name="PivotTable18"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J14:J15" firstHeaderRow="1" firstDataRow="1" firstDataCol="0"/>
  <pivotFields count="17">
    <pivotField dataField="1" showAll="0"/>
    <pivotField showAll="0"/>
    <pivotField showAll="0"/>
    <pivotField showAll="0"/>
    <pivotField numFmtId="14" showAll="0"/>
    <pivotField showAll="0"/>
    <pivotField showAll="0"/>
    <pivotField showAll="0">
      <items count="5">
        <item x="1"/>
        <item x="0"/>
        <item x="3"/>
        <item x="2"/>
        <item t="default"/>
      </items>
    </pivotField>
    <pivotField showAll="0">
      <items count="5">
        <item x="1"/>
        <item x="0"/>
        <item x="3"/>
        <item x="2"/>
        <item t="default"/>
      </items>
    </pivotField>
    <pivotField showAll="0">
      <items count="5">
        <item x="1"/>
        <item x="0"/>
        <item x="3"/>
        <item x="2"/>
        <item t="default"/>
      </items>
    </pivotField>
    <pivotField numFmtId="22" showAll="0">
      <items count="1051">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 t="default"/>
      </items>
    </pivotField>
    <pivotField numFmtId="22" showAll="0"/>
    <pivotField showAll="0"/>
    <pivotField showAll="0"/>
    <pivotField showAll="0"/>
    <pivotField showAll="0">
      <items count="3">
        <item x="1"/>
        <item x="0"/>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Ticket ID" fld="0" subtotal="count" baseField="0" baseItem="0"/>
  </dataFields>
  <formats count="4">
    <format dxfId="145">
      <pivotArea field="16" type="button" dataOnly="0" labelOnly="1" outline="0"/>
    </format>
    <format dxfId="146">
      <pivotArea dataOnly="0" labelOnly="1" outline="0" axis="axisValues" fieldPosition="0"/>
    </format>
    <format dxfId="147">
      <pivotArea field="16" type="button" dataOnly="0" labelOnly="1" outline="0"/>
    </format>
    <format dxfId="14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5B37DF-2AB2-4277-A3BE-5C46BA2D9625}" name="PivotTable17"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H14:H15" firstHeaderRow="1" firstDataRow="1" firstDataCol="0"/>
  <pivotFields count="17">
    <pivotField showAll="0"/>
    <pivotField showAll="0"/>
    <pivotField showAll="0"/>
    <pivotField showAll="0"/>
    <pivotField numFmtId="14" showAll="0"/>
    <pivotField showAll="0"/>
    <pivotField showAll="0"/>
    <pivotField showAll="0">
      <items count="5">
        <item x="1"/>
        <item x="0"/>
        <item x="3"/>
        <item x="2"/>
        <item t="default"/>
      </items>
    </pivotField>
    <pivotField showAll="0">
      <items count="5">
        <item x="1"/>
        <item x="0"/>
        <item x="3"/>
        <item x="2"/>
        <item t="default"/>
      </items>
    </pivotField>
    <pivotField showAll="0">
      <items count="5">
        <item x="1"/>
        <item x="0"/>
        <item x="3"/>
        <item x="2"/>
        <item t="default"/>
      </items>
    </pivotField>
    <pivotField numFmtId="22" showAll="0">
      <items count="1051">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 t="default"/>
      </items>
    </pivotField>
    <pivotField numFmtId="22" showAll="0"/>
    <pivotField showAll="0"/>
    <pivotField dataField="1" showAll="0"/>
    <pivotField showAll="0"/>
    <pivotField showAll="0">
      <items count="3">
        <item x="1"/>
        <item x="0"/>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Average of Resolution Duration Hours" fld="13" subtotal="average" baseField="0" baseItem="0"/>
  </dataFields>
  <formats count="4">
    <format dxfId="141">
      <pivotArea field="16" type="button" dataOnly="0" labelOnly="1" outline="0"/>
    </format>
    <format dxfId="142">
      <pivotArea dataOnly="0" labelOnly="1" outline="0" axis="axisValues" fieldPosition="0"/>
    </format>
    <format dxfId="143">
      <pivotArea field="16" type="button" dataOnly="0" labelOnly="1" outline="0"/>
    </format>
    <format dxfId="14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01A75A-B1E5-44D2-85A1-C7E468C2A74A}" name="PivotTable12"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B38:C43" firstHeaderRow="1" firstDataRow="1" firstDataCol="1"/>
  <pivotFields count="17">
    <pivotField dataField="1" showAll="0"/>
    <pivotField showAll="0"/>
    <pivotField showAll="0"/>
    <pivotField showAll="0"/>
    <pivotField numFmtId="14" showAll="0"/>
    <pivotField showAll="0">
      <items count="6">
        <item x="4"/>
        <item x="0"/>
        <item x="1"/>
        <item x="2"/>
        <item x="3"/>
        <item t="default"/>
      </items>
    </pivotField>
    <pivotField showAll="0">
      <items count="16">
        <item x="3"/>
        <item x="9"/>
        <item x="10"/>
        <item x="14"/>
        <item x="13"/>
        <item x="11"/>
        <item x="2"/>
        <item x="12"/>
        <item x="5"/>
        <item x="0"/>
        <item x="6"/>
        <item x="8"/>
        <item x="1"/>
        <item x="7"/>
        <item x="4"/>
        <item t="default"/>
      </items>
    </pivotField>
    <pivotField axis="axisRow" showAll="0">
      <items count="5">
        <item x="1"/>
        <item x="0"/>
        <item x="3"/>
        <item x="2"/>
        <item t="default"/>
      </items>
    </pivotField>
    <pivotField showAll="0">
      <items count="5">
        <item x="1"/>
        <item h="1" x="0"/>
        <item h="1" x="3"/>
        <item h="1" x="2"/>
        <item t="default"/>
      </items>
    </pivotField>
    <pivotField showAll="0">
      <items count="5">
        <item x="1"/>
        <item x="0"/>
        <item x="3"/>
        <item x="2"/>
        <item t="default"/>
      </items>
    </pivotField>
    <pivotField numFmtId="22" showAll="0">
      <items count="1051">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 t="default"/>
      </items>
    </pivotField>
    <pivotField numFmtId="22" showAll="0"/>
    <pivotField showAll="0"/>
    <pivotField showAll="0"/>
    <pivotField showAll="0"/>
    <pivotField showAll="0">
      <items count="3">
        <item x="1"/>
        <item x="0"/>
        <item t="default"/>
      </items>
    </pivotField>
    <pivotField showAll="0" defaultSubtotal="0">
      <items count="14">
        <item x="0"/>
        <item x="1"/>
        <item x="2"/>
        <item x="3"/>
        <item x="4"/>
        <item x="5"/>
        <item x="6"/>
        <item x="7"/>
        <item x="8"/>
        <item x="9"/>
        <item x="10"/>
        <item x="11"/>
        <item x="12"/>
        <item x="13"/>
      </items>
    </pivotField>
  </pivotFields>
  <rowFields count="1">
    <field x="7"/>
  </rowFields>
  <rowItems count="5">
    <i>
      <x/>
    </i>
    <i>
      <x v="1"/>
    </i>
    <i>
      <x v="2"/>
    </i>
    <i>
      <x v="3"/>
    </i>
    <i t="grand">
      <x/>
    </i>
  </rowItems>
  <colItems count="1">
    <i/>
  </colItems>
  <dataFields count="1">
    <dataField name="Count of Ticket ID" fld="0" subtotal="count" baseField="7" baseItem="0"/>
  </dataFields>
  <chartFormats count="5">
    <chartFormat chart="16" format="6" series="1">
      <pivotArea type="data" outline="0" fieldPosition="0">
        <references count="1">
          <reference field="4294967294" count="1" selected="0">
            <x v="0"/>
          </reference>
        </references>
      </pivotArea>
    </chartFormat>
    <chartFormat chart="16" format="7">
      <pivotArea type="data" outline="0" fieldPosition="0">
        <references count="2">
          <reference field="4294967294" count="1" selected="0">
            <x v="0"/>
          </reference>
          <reference field="7" count="1" selected="0">
            <x v="0"/>
          </reference>
        </references>
      </pivotArea>
    </chartFormat>
    <chartFormat chart="16" format="8">
      <pivotArea type="data" outline="0" fieldPosition="0">
        <references count="2">
          <reference field="4294967294" count="1" selected="0">
            <x v="0"/>
          </reference>
          <reference field="7" count="1" selected="0">
            <x v="1"/>
          </reference>
        </references>
      </pivotArea>
    </chartFormat>
    <chartFormat chart="16" format="9">
      <pivotArea type="data" outline="0" fieldPosition="0">
        <references count="2">
          <reference field="4294967294" count="1" selected="0">
            <x v="0"/>
          </reference>
          <reference field="7" count="1" selected="0">
            <x v="2"/>
          </reference>
        </references>
      </pivotArea>
    </chartFormat>
    <chartFormat chart="16" format="10">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BC7B5EE-A94B-4749-ABAB-EA6414C5BD0B}" name="PivotTable10" cacheId="22"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chartFormat="21">
  <location ref="E4:F9" firstHeaderRow="1" firstDataRow="1" firstDataCol="1"/>
  <pivotFields count="17">
    <pivotField compact="0" showAll="0"/>
    <pivotField compact="0" showAll="0"/>
    <pivotField compact="0" showAll="0"/>
    <pivotField compact="0" showAll="0">
      <items count="20">
        <item x="18"/>
        <item x="5"/>
        <item x="12"/>
        <item x="6"/>
        <item x="17"/>
        <item x="9"/>
        <item x="11"/>
        <item x="14"/>
        <item x="8"/>
        <item x="16"/>
        <item x="13"/>
        <item x="15"/>
        <item x="0"/>
        <item x="3"/>
        <item x="7"/>
        <item x="10"/>
        <item x="1"/>
        <item x="2"/>
        <item x="4"/>
        <item t="default"/>
      </items>
    </pivotField>
    <pivotField compact="0" numFmtId="14" showAll="0"/>
    <pivotField compact="0" showAll="0"/>
    <pivotField compact="0" showAll="0"/>
    <pivotField compact="0" showAll="0">
      <items count="5">
        <item x="1"/>
        <item x="0"/>
        <item x="3"/>
        <item x="2"/>
        <item t="default"/>
      </items>
    </pivotField>
    <pivotField axis="axisRow" compact="0" showAll="0" sortType="ascending">
      <items count="5">
        <item x="1"/>
        <item x="0"/>
        <item x="3"/>
        <item x="2"/>
        <item t="default"/>
      </items>
    </pivotField>
    <pivotField compact="0" showAll="0">
      <items count="5">
        <item x="1"/>
        <item x="0"/>
        <item x="3"/>
        <item x="2"/>
        <item t="default"/>
      </items>
    </pivotField>
    <pivotField compact="0" numFmtId="22" showAll="0">
      <items count="1051">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 t="default"/>
      </items>
    </pivotField>
    <pivotField compact="0" numFmtId="22" showAll="0"/>
    <pivotField compact="0" showAll="0"/>
    <pivotField dataField="1" compact="0" showAll="0"/>
    <pivotField compact="0" showAll="0"/>
    <pivotField compact="0" showAll="0" sortType="descending">
      <items count="3">
        <item x="0"/>
        <item x="1"/>
        <item t="default"/>
      </items>
    </pivotField>
    <pivotField compact="0" showAll="0">
      <items count="15">
        <item x="0"/>
        <item x="1"/>
        <item x="2"/>
        <item x="3"/>
        <item x="4"/>
        <item x="5"/>
        <item x="6"/>
        <item x="7"/>
        <item x="8"/>
        <item x="9"/>
        <item x="10"/>
        <item x="11"/>
        <item x="12"/>
        <item x="13"/>
        <item t="default"/>
      </items>
    </pivotField>
  </pivotFields>
  <rowFields count="1">
    <field x="8"/>
  </rowFields>
  <rowItems count="5">
    <i>
      <x/>
    </i>
    <i>
      <x v="1"/>
    </i>
    <i>
      <x v="2"/>
    </i>
    <i>
      <x v="3"/>
    </i>
    <i t="grand">
      <x/>
    </i>
  </rowItems>
  <colItems count="1">
    <i/>
  </colItems>
  <dataFields count="1">
    <dataField name="Average of Resolution Duration Hours" fld="13" subtotal="average" baseField="8" baseItem="0" numFmtId="2"/>
  </dataFields>
  <formats count="2">
    <format dxfId="139">
      <pivotArea type="all" dataOnly="0" outline="0" fieldPosition="0"/>
    </format>
    <format dxfId="140">
      <pivotArea outline="0" fieldPosition="0">
        <references count="1">
          <reference field="4294967294" count="1">
            <x v="0"/>
          </reference>
        </references>
      </pivotArea>
    </format>
  </format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38C1005-1AEE-4305-B297-66946A4270C9}" name="PivotTable7"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E23:F35" firstHeaderRow="1" firstDataRow="1" firstDataCol="1"/>
  <pivotFields count="17">
    <pivotField dataField="1" showAll="0"/>
    <pivotField showAll="0"/>
    <pivotField showAll="0"/>
    <pivotField axis="axisRow" showAll="0" measureFilter="1" sortType="ascending">
      <items count="20">
        <item x="18"/>
        <item x="5"/>
        <item x="12"/>
        <item x="6"/>
        <item x="17"/>
        <item x="9"/>
        <item x="11"/>
        <item x="14"/>
        <item x="8"/>
        <item x="16"/>
        <item x="13"/>
        <item x="15"/>
        <item x="0"/>
        <item x="3"/>
        <item x="7"/>
        <item x="10"/>
        <item x="1"/>
        <item x="2"/>
        <item x="4"/>
        <item t="default"/>
      </items>
    </pivotField>
    <pivotField numFmtId="14" showAll="0"/>
    <pivotField showAll="0">
      <items count="6">
        <item x="4"/>
        <item x="0"/>
        <item x="1"/>
        <item x="2"/>
        <item x="3"/>
        <item t="default"/>
      </items>
    </pivotField>
    <pivotField showAll="0">
      <items count="16">
        <item x="3"/>
        <item x="9"/>
        <item x="10"/>
        <item x="14"/>
        <item x="13"/>
        <item x="11"/>
        <item x="2"/>
        <item x="12"/>
        <item x="5"/>
        <item x="0"/>
        <item x="6"/>
        <item x="8"/>
        <item x="1"/>
        <item x="7"/>
        <item x="4"/>
        <item t="default"/>
      </items>
    </pivotField>
    <pivotField showAll="0">
      <items count="5">
        <item x="1"/>
        <item x="0"/>
        <item x="3"/>
        <item x="2"/>
        <item t="default"/>
      </items>
    </pivotField>
    <pivotField showAll="0">
      <items count="5">
        <item x="1"/>
        <item x="0"/>
        <item x="3"/>
        <item x="2"/>
        <item t="default"/>
      </items>
    </pivotField>
    <pivotField showAll="0">
      <items count="5">
        <item x="1"/>
        <item x="0"/>
        <item x="3"/>
        <item x="2"/>
        <item t="default"/>
      </items>
    </pivotField>
    <pivotField numFmtId="22" showAll="0">
      <items count="1051">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 t="default"/>
      </items>
    </pivotField>
    <pivotField numFmtId="22" showAll="0"/>
    <pivotField showAll="0"/>
    <pivotField showAll="0"/>
    <pivotField showAll="0"/>
    <pivotField showAll="0">
      <items count="3">
        <item x="1"/>
        <item x="0"/>
        <item t="default"/>
      </items>
    </pivotField>
    <pivotField showAll="0" defaultSubtotal="0">
      <items count="14">
        <item x="0"/>
        <item x="1"/>
        <item x="2"/>
        <item x="3"/>
        <item x="4"/>
        <item x="5"/>
        <item x="6"/>
        <item x="7"/>
        <item x="8"/>
        <item x="9"/>
        <item x="10"/>
        <item x="11"/>
        <item x="12"/>
        <item x="13"/>
      </items>
    </pivotField>
  </pivotFields>
  <rowFields count="1">
    <field x="3"/>
  </rowFields>
  <rowItems count="12">
    <i>
      <x v="1"/>
    </i>
    <i>
      <x v="2"/>
    </i>
    <i>
      <x v="3"/>
    </i>
    <i>
      <x v="4"/>
    </i>
    <i>
      <x v="5"/>
    </i>
    <i>
      <x v="9"/>
    </i>
    <i>
      <x v="10"/>
    </i>
    <i>
      <x v="13"/>
    </i>
    <i>
      <x v="14"/>
    </i>
    <i>
      <x v="16"/>
    </i>
    <i>
      <x v="18"/>
    </i>
    <i t="grand">
      <x/>
    </i>
  </rowItems>
  <colItems count="1">
    <i/>
  </colItems>
  <dataFields count="1">
    <dataField name="Count of Ticket ID" fld="0" subtotal="count" baseField="3" baseItem="0"/>
  </dataFields>
  <formats count="6">
    <format dxfId="133">
      <pivotArea type="all" dataOnly="0" outline="0" fieldPosition="0"/>
    </format>
    <format dxfId="134">
      <pivotArea outline="0" collapsedLevelsAreSubtotals="1" fieldPosition="0"/>
    </format>
    <format dxfId="135">
      <pivotArea field="3" type="button" dataOnly="0" labelOnly="1" outline="0" axis="axisRow" fieldPosition="0"/>
    </format>
    <format dxfId="136">
      <pivotArea dataOnly="0" labelOnly="1" fieldPosition="0">
        <references count="1">
          <reference field="3" count="11">
            <x v="1"/>
            <x v="2"/>
            <x v="3"/>
            <x v="4"/>
            <x v="5"/>
            <x v="9"/>
            <x v="10"/>
            <x v="13"/>
            <x v="14"/>
            <x v="16"/>
            <x v="18"/>
          </reference>
        </references>
      </pivotArea>
    </format>
    <format dxfId="137">
      <pivotArea dataOnly="0" labelOnly="1" grandRow="1" outline="0" fieldPosition="0"/>
    </format>
    <format dxfId="138">
      <pivotArea dataOnly="0" labelOnly="1" outline="0" axis="axisValues" fieldPosition="0"/>
    </format>
  </formats>
  <chartFormats count="1">
    <chartFormat chart="1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234300D-9A05-46D0-B184-CE18B980B8CA}" name="PivotTable6" cacheId="22"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chartFormat="8">
  <location ref="I4:J9" firstHeaderRow="1" firstDataRow="1" firstDataCol="1"/>
  <pivotFields count="17">
    <pivotField dataField="1" compact="0" showAll="0"/>
    <pivotField compact="0" showAll="0"/>
    <pivotField compact="0" showAll="0"/>
    <pivotField compact="0" showAll="0">
      <items count="20">
        <item x="18"/>
        <item x="5"/>
        <item x="12"/>
        <item x="6"/>
        <item x="17"/>
        <item x="9"/>
        <item x="11"/>
        <item x="14"/>
        <item x="8"/>
        <item x="16"/>
        <item x="13"/>
        <item x="15"/>
        <item x="0"/>
        <item x="3"/>
        <item x="7"/>
        <item x="10"/>
        <item x="1"/>
        <item x="2"/>
        <item x="4"/>
        <item t="default"/>
      </items>
    </pivotField>
    <pivotField compact="0" numFmtId="14" showAll="0"/>
    <pivotField compact="0" showAll="0"/>
    <pivotField compact="0" showAll="0"/>
    <pivotField compact="0" showAll="0">
      <items count="5">
        <item x="1"/>
        <item x="0"/>
        <item x="3"/>
        <item x="2"/>
        <item t="default"/>
      </items>
    </pivotField>
    <pivotField axis="axisRow" compact="0" showAll="0" sortType="ascending">
      <items count="5">
        <item x="1"/>
        <item x="0"/>
        <item x="3"/>
        <item x="2"/>
        <item t="default"/>
      </items>
    </pivotField>
    <pivotField compact="0" showAll="0">
      <items count="5">
        <item x="1"/>
        <item x="0"/>
        <item x="3"/>
        <item x="2"/>
        <item t="default"/>
      </items>
    </pivotField>
    <pivotField compact="0" numFmtId="22" showAll="0">
      <items count="1051">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 t="default"/>
      </items>
    </pivotField>
    <pivotField compact="0" numFmtId="22" showAll="0"/>
    <pivotField compact="0" showAll="0"/>
    <pivotField compact="0" showAll="0"/>
    <pivotField compact="0" showAll="0"/>
    <pivotField compact="0" showAll="0" sortType="descending">
      <items count="3">
        <item x="0"/>
        <item x="1"/>
        <item t="default"/>
      </items>
    </pivotField>
    <pivotField compact="0" showAll="0">
      <items count="15">
        <item x="0"/>
        <item x="1"/>
        <item x="2"/>
        <item x="3"/>
        <item x="4"/>
        <item x="5"/>
        <item x="6"/>
        <item x="7"/>
        <item x="8"/>
        <item x="9"/>
        <item x="10"/>
        <item x="11"/>
        <item x="12"/>
        <item x="13"/>
        <item t="default"/>
      </items>
    </pivotField>
  </pivotFields>
  <rowFields count="1">
    <field x="8"/>
  </rowFields>
  <rowItems count="5">
    <i>
      <x/>
    </i>
    <i>
      <x v="1"/>
    </i>
    <i>
      <x v="2"/>
    </i>
    <i>
      <x v="3"/>
    </i>
    <i t="grand">
      <x/>
    </i>
  </rowItems>
  <colItems count="1">
    <i/>
  </colItems>
  <dataFields count="1">
    <dataField name="Count of Ticket ID" fld="0" subtotal="count" baseField="9" baseItem="0"/>
  </dataFields>
  <formats count="1">
    <format dxfId="132">
      <pivotArea type="all" dataOnly="0" outline="0" fieldPosition="0"/>
    </format>
  </formats>
  <chartFormats count="3">
    <chartFormat chart="0" format="1"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99B7A14-351E-4FC1-800A-F5AEE2770BDF}" name="PivotTable5"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19:B24" firstHeaderRow="1" firstDataRow="1" firstDataCol="1"/>
  <pivotFields count="17">
    <pivotField dataField="1" showAll="0"/>
    <pivotField showAll="0"/>
    <pivotField showAll="0"/>
    <pivotField showAll="0"/>
    <pivotField numFmtId="14" showAll="0"/>
    <pivotField showAll="0">
      <items count="6">
        <item x="4"/>
        <item x="0"/>
        <item x="1"/>
        <item x="2"/>
        <item x="3"/>
        <item t="default"/>
      </items>
    </pivotField>
    <pivotField showAll="0">
      <items count="16">
        <item x="3"/>
        <item x="9"/>
        <item x="10"/>
        <item x="14"/>
        <item x="13"/>
        <item x="11"/>
        <item x="2"/>
        <item x="12"/>
        <item x="5"/>
        <item x="0"/>
        <item x="6"/>
        <item x="8"/>
        <item x="1"/>
        <item x="7"/>
        <item x="4"/>
        <item t="default"/>
      </items>
    </pivotField>
    <pivotField showAll="0">
      <items count="5">
        <item x="1"/>
        <item x="0"/>
        <item x="3"/>
        <item x="2"/>
        <item t="default"/>
      </items>
    </pivotField>
    <pivotField showAll="0">
      <items count="5">
        <item x="1"/>
        <item x="0"/>
        <item x="3"/>
        <item x="2"/>
        <item t="default"/>
      </items>
    </pivotField>
    <pivotField axis="axisRow" showAll="0">
      <items count="5">
        <item x="1"/>
        <item x="0"/>
        <item x="3"/>
        <item x="2"/>
        <item t="default"/>
      </items>
    </pivotField>
    <pivotField numFmtId="22" showAll="0">
      <items count="1051">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 t="default"/>
      </items>
    </pivotField>
    <pivotField numFmtId="22" showAll="0"/>
    <pivotField showAll="0"/>
    <pivotField showAll="0"/>
    <pivotField showAll="0"/>
    <pivotField showAll="0">
      <items count="3">
        <item x="1"/>
        <item x="0"/>
        <item t="default"/>
      </items>
    </pivotField>
    <pivotField showAll="0" defaultSubtotal="0">
      <items count="14">
        <item x="0"/>
        <item x="1"/>
        <item x="2"/>
        <item x="3"/>
        <item x="4"/>
        <item x="5"/>
        <item x="6"/>
        <item x="7"/>
        <item x="8"/>
        <item x="9"/>
        <item x="10"/>
        <item x="11"/>
        <item x="12"/>
        <item x="13"/>
      </items>
    </pivotField>
  </pivotFields>
  <rowFields count="1">
    <field x="9"/>
  </rowFields>
  <rowItems count="5">
    <i>
      <x/>
    </i>
    <i>
      <x v="1"/>
    </i>
    <i>
      <x v="2"/>
    </i>
    <i>
      <x v="3"/>
    </i>
    <i t="grand">
      <x/>
    </i>
  </rowItems>
  <colItems count="1">
    <i/>
  </colItems>
  <dataFields count="1">
    <dataField name="Count of Ticket ID" fld="0" subtotal="count" baseField="9" baseItem="0"/>
  </dataFields>
  <formats count="6">
    <format dxfId="126">
      <pivotArea type="all" dataOnly="0" outline="0" fieldPosition="0"/>
    </format>
    <format dxfId="127">
      <pivotArea outline="0" collapsedLevelsAreSubtotals="1" fieldPosition="0"/>
    </format>
    <format dxfId="128">
      <pivotArea field="9" type="button" dataOnly="0" labelOnly="1" outline="0" axis="axisRow" fieldPosition="0"/>
    </format>
    <format dxfId="129">
      <pivotArea dataOnly="0" labelOnly="1" fieldPosition="0">
        <references count="1">
          <reference field="9" count="0"/>
        </references>
      </pivotArea>
    </format>
    <format dxfId="130">
      <pivotArea dataOnly="0" labelOnly="1" grandRow="1" outline="0" fieldPosition="0"/>
    </format>
    <format dxfId="131">
      <pivotArea dataOnly="0" labelOnly="1" outline="0" axis="axisValues" fieldPosition="0"/>
    </format>
  </formats>
  <chartFormats count="5">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9" count="1" selected="0">
            <x v="0"/>
          </reference>
        </references>
      </pivotArea>
    </chartFormat>
    <chartFormat chart="11" format="8">
      <pivotArea type="data" outline="0" fieldPosition="0">
        <references count="2">
          <reference field="4294967294" count="1" selected="0">
            <x v="0"/>
          </reference>
          <reference field="9" count="1" selected="0">
            <x v="1"/>
          </reference>
        </references>
      </pivotArea>
    </chartFormat>
    <chartFormat chart="11" format="9">
      <pivotArea type="data" outline="0" fieldPosition="0">
        <references count="2">
          <reference field="4294967294" count="1" selected="0">
            <x v="0"/>
          </reference>
          <reference field="9" count="1" selected="0">
            <x v="2"/>
          </reference>
        </references>
      </pivotArea>
    </chartFormat>
    <chartFormat chart="11" format="10">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8495583-8007-4A33-8B06-566C852C8F79}" name="PivotTable1"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B16" firstHeaderRow="1" firstDataRow="1" firstDataCol="1"/>
  <pivotFields count="17">
    <pivotField dataField="1" showAll="0"/>
    <pivotField showAll="0"/>
    <pivotField showAll="0"/>
    <pivotField showAll="0"/>
    <pivotField numFmtId="14" showAll="0"/>
    <pivotField showAll="0"/>
    <pivotField showAll="0"/>
    <pivotField showAll="0">
      <items count="5">
        <item x="1"/>
        <item x="0"/>
        <item x="3"/>
        <item x="2"/>
        <item t="default"/>
      </items>
    </pivotField>
    <pivotField showAll="0">
      <items count="5">
        <item x="1"/>
        <item x="0"/>
        <item x="3"/>
        <item x="2"/>
        <item t="default"/>
      </items>
    </pivotField>
    <pivotField showAll="0">
      <items count="5">
        <item x="1"/>
        <item x="0"/>
        <item x="3"/>
        <item x="2"/>
        <item t="default"/>
      </items>
    </pivotField>
    <pivotField numFmtId="22" showAll="0">
      <items count="1051">
        <item x="226"/>
        <item x="888"/>
        <item x="944"/>
        <item x="774"/>
        <item x="720"/>
        <item x="586"/>
        <item x="792"/>
        <item x="924"/>
        <item x="897"/>
        <item x="833"/>
        <item x="340"/>
        <item x="532"/>
        <item x="639"/>
        <item x="1040"/>
        <item x="900"/>
        <item x="965"/>
        <item x="1002"/>
        <item x="733"/>
        <item x="973"/>
        <item x="179"/>
        <item x="1010"/>
        <item x="110"/>
        <item x="556"/>
        <item x="475"/>
        <item x="978"/>
        <item x="817"/>
        <item x="245"/>
        <item x="99"/>
        <item x="684"/>
        <item x="885"/>
        <item x="758"/>
        <item x="417"/>
        <item x="484"/>
        <item x="939"/>
        <item x="810"/>
        <item x="388"/>
        <item x="421"/>
        <item x="368"/>
        <item x="686"/>
        <item x="271"/>
        <item x="562"/>
        <item x="63"/>
        <item x="164"/>
        <item x="988"/>
        <item x="1007"/>
        <item x="853"/>
        <item x="945"/>
        <item x="394"/>
        <item x="283"/>
        <item x="898"/>
        <item x="404"/>
        <item x="779"/>
        <item x="593"/>
        <item x="780"/>
        <item x="366"/>
        <item x="896"/>
        <item x="312"/>
        <item x="98"/>
        <item x="803"/>
        <item x="777"/>
        <item x="291"/>
        <item x="685"/>
        <item x="892"/>
        <item x="788"/>
        <item x="832"/>
        <item x="423"/>
        <item x="815"/>
        <item x="468"/>
        <item x="719"/>
        <item x="267"/>
        <item x="693"/>
        <item x="906"/>
        <item x="102"/>
        <item x="1032"/>
        <item x="84"/>
        <item x="125"/>
        <item x="624"/>
        <item x="823"/>
        <item x="180"/>
        <item x="449"/>
        <item x="858"/>
        <item x="568"/>
        <item x="844"/>
        <item x="622"/>
        <item x="201"/>
        <item x="561"/>
        <item x="769"/>
        <item x="942"/>
        <item x="474"/>
        <item x="635"/>
        <item x="359"/>
        <item x="204"/>
        <item x="1046"/>
        <item x="1028"/>
        <item x="979"/>
        <item x="319"/>
        <item x="791"/>
        <item x="377"/>
        <item x="59"/>
        <item x="140"/>
        <item x="29"/>
        <item x="399"/>
        <item x="166"/>
        <item x="775"/>
        <item x="389"/>
        <item x="673"/>
        <item x="912"/>
        <item x="994"/>
        <item x="590"/>
        <item x="364"/>
        <item x="529"/>
        <item x="949"/>
        <item x="328"/>
        <item x="747"/>
        <item x="48"/>
        <item x="118"/>
        <item x="256"/>
        <item x="442"/>
        <item x="613"/>
        <item x="252"/>
        <item x="243"/>
        <item x="338"/>
        <item x="27"/>
        <item x="575"/>
        <item x="724"/>
        <item x="653"/>
        <item x="804"/>
        <item x="617"/>
        <item x="430"/>
        <item x="348"/>
        <item x="35"/>
        <item x="584"/>
        <item x="18"/>
        <item x="998"/>
        <item x="145"/>
        <item x="842"/>
        <item x="317"/>
        <item x="177"/>
        <item x="910"/>
        <item x="160"/>
        <item x="926"/>
        <item x="196"/>
        <item x="874"/>
        <item x="309"/>
        <item x="3"/>
        <item x="917"/>
        <item x="936"/>
        <item x="964"/>
        <item x="1027"/>
        <item x="644"/>
        <item x="369"/>
        <item x="213"/>
        <item x="883"/>
        <item x="592"/>
        <item x="148"/>
        <item x="578"/>
        <item x="564"/>
        <item x="448"/>
        <item x="569"/>
        <item x="595"/>
        <item x="785"/>
        <item x="541"/>
        <item x="431"/>
        <item x="302"/>
        <item x="224"/>
        <item x="192"/>
        <item x="1035"/>
        <item x="793"/>
        <item x="511"/>
        <item x="67"/>
        <item x="612"/>
        <item x="932"/>
        <item x="692"/>
        <item x="741"/>
        <item x="689"/>
        <item x="895"/>
        <item x="611"/>
        <item x="19"/>
        <item x="46"/>
        <item x="60"/>
        <item x="347"/>
        <item x="379"/>
        <item x="627"/>
        <item x="1011"/>
        <item x="984"/>
        <item x="696"/>
        <item x="157"/>
        <item x="702"/>
        <item x="353"/>
        <item x="891"/>
        <item x="325"/>
        <item x="648"/>
        <item x="522"/>
        <item x="54"/>
        <item x="602"/>
        <item x="1024"/>
        <item x="1037"/>
        <item x="281"/>
        <item x="257"/>
        <item x="873"/>
        <item x="270"/>
        <item x="688"/>
        <item x="726"/>
        <item x="105"/>
        <item x="234"/>
        <item x="25"/>
        <item x="1009"/>
        <item x="391"/>
        <item x="165"/>
        <item x="807"/>
        <item x="363"/>
        <item x="53"/>
        <item x="711"/>
        <item x="71"/>
        <item x="91"/>
        <item x="641"/>
        <item x="355"/>
        <item x="254"/>
        <item x="45"/>
        <item x="935"/>
        <item x="525"/>
        <item x="34"/>
        <item x="677"/>
        <item x="811"/>
        <item x="460"/>
        <item x="8"/>
        <item x="500"/>
        <item x="68"/>
        <item x="352"/>
        <item x="446"/>
        <item x="736"/>
        <item x="20"/>
        <item x="65"/>
        <item x="5"/>
        <item x="887"/>
        <item x="131"/>
        <item x="840"/>
        <item x="66"/>
        <item x="501"/>
        <item x="329"/>
        <item x="386"/>
        <item x="928"/>
        <item x="459"/>
        <item x="821"/>
        <item x="253"/>
        <item x="536"/>
        <item x="323"/>
        <item x="154"/>
        <item x="453"/>
        <item x="728"/>
        <item x="893"/>
        <item x="737"/>
        <item x="845"/>
        <item x="411"/>
        <item x="473"/>
        <item x="452"/>
        <item x="195"/>
        <item x="467"/>
        <item x="208"/>
        <item x="1041"/>
        <item x="477"/>
        <item x="479"/>
        <item x="289"/>
        <item x="535"/>
        <item x="17"/>
        <item x="894"/>
        <item x="69"/>
        <item x="786"/>
        <item x="862"/>
        <item x="814"/>
        <item x="251"/>
        <item x="669"/>
        <item x="299"/>
        <item x="6"/>
        <item x="756"/>
        <item x="923"/>
        <item x="205"/>
        <item x="1003"/>
        <item x="316"/>
        <item x="485"/>
        <item x="194"/>
        <item x="465"/>
        <item x="33"/>
        <item x="878"/>
        <item x="345"/>
        <item x="594"/>
        <item x="127"/>
        <item x="52"/>
        <item x="848"/>
        <item x="629"/>
        <item x="855"/>
        <item x="985"/>
        <item x="483"/>
        <item x="870"/>
        <item x="766"/>
        <item x="81"/>
        <item x="49"/>
        <item x="506"/>
        <item x="409"/>
        <item x="828"/>
        <item x="640"/>
        <item x="849"/>
        <item x="341"/>
        <item x="239"/>
        <item x="1"/>
        <item x="83"/>
        <item x="913"/>
        <item x="433"/>
        <item x="258"/>
        <item x="830"/>
        <item x="427"/>
        <item x="437"/>
        <item x="847"/>
        <item x="290"/>
        <item x="74"/>
        <item x="801"/>
        <item x="439"/>
        <item x="987"/>
        <item x="940"/>
        <item x="365"/>
        <item x="199"/>
        <item x="674"/>
        <item x="599"/>
        <item x="106"/>
        <item x="502"/>
        <item x="117"/>
        <item x="342"/>
        <item x="23"/>
        <item x="915"/>
        <item x="1022"/>
        <item x="754"/>
        <item x="275"/>
        <item x="956"/>
        <item x="631"/>
        <item x="971"/>
        <item x="927"/>
        <item x="760"/>
        <item x="744"/>
        <item x="28"/>
        <item x="284"/>
        <item x="623"/>
        <item x="279"/>
        <item x="666"/>
        <item x="603"/>
        <item x="796"/>
        <item x="916"/>
        <item x="212"/>
        <item x="1017"/>
        <item x="509"/>
        <item x="144"/>
        <item x="478"/>
        <item x="222"/>
        <item x="381"/>
        <item x="472"/>
        <item x="447"/>
        <item x="218"/>
        <item x="7"/>
        <item x="809"/>
        <item x="244"/>
        <item x="238"/>
        <item x="1016"/>
        <item x="123"/>
        <item x="759"/>
        <item x="718"/>
        <item x="1005"/>
        <item x="247"/>
        <item x="327"/>
        <item x="397"/>
        <item x="1034"/>
        <item x="836"/>
        <item x="1019"/>
        <item x="637"/>
        <item x="540"/>
        <item x="70"/>
        <item x="903"/>
        <item x="1013"/>
        <item x="350"/>
        <item x="607"/>
        <item x="240"/>
        <item x="701"/>
        <item x="109"/>
        <item x="727"/>
        <item x="401"/>
        <item x="273"/>
        <item x="911"/>
        <item x="383"/>
        <item x="162"/>
        <item x="715"/>
        <item x="863"/>
        <item x="524"/>
        <item x="1043"/>
        <item x="495"/>
        <item x="259"/>
        <item x="461"/>
        <item x="970"/>
        <item x="221"/>
        <item x="531"/>
        <item x="545"/>
        <item x="767"/>
        <item x="108"/>
        <item x="207"/>
        <item x="438"/>
        <item x="614"/>
        <item x="515"/>
        <item x="1008"/>
        <item x="772"/>
        <item x="198"/>
        <item x="508"/>
        <item x="947"/>
        <item x="126"/>
        <item x="139"/>
        <item x="75"/>
        <item x="77"/>
        <item x="149"/>
        <item x="757"/>
        <item x="1020"/>
        <item x="87"/>
        <item x="609"/>
        <item x="517"/>
        <item x="795"/>
        <item x="43"/>
        <item x="103"/>
        <item x="292"/>
        <item x="974"/>
        <item x="730"/>
        <item x="907"/>
        <item x="308"/>
        <item x="72"/>
        <item x="589"/>
        <item x="558"/>
        <item x="872"/>
        <item x="314"/>
        <item x="333"/>
        <item x="88"/>
        <item x="242"/>
        <item x="705"/>
        <item x="266"/>
        <item x="418"/>
        <item x="764"/>
        <item x="877"/>
        <item x="778"/>
        <item x="339"/>
        <item x="839"/>
        <item x="866"/>
        <item x="376"/>
        <item x="827"/>
        <item x="585"/>
        <item x="387"/>
        <item x="854"/>
        <item x="351"/>
        <item x="708"/>
        <item x="933"/>
        <item x="402"/>
        <item x="170"/>
        <item x="456"/>
        <item x="42"/>
        <item x="137"/>
        <item x="378"/>
        <item x="527"/>
        <item x="714"/>
        <item x="373"/>
        <item x="1039"/>
        <item x="969"/>
        <item x="295"/>
        <item x="549"/>
        <item x="654"/>
        <item x="577"/>
        <item x="929"/>
        <item x="374"/>
        <item x="555"/>
        <item x="142"/>
        <item x="528"/>
        <item x="615"/>
        <item x="909"/>
        <item x="619"/>
        <item x="831"/>
        <item x="1029"/>
        <item x="412"/>
        <item x="297"/>
        <item x="860"/>
        <item x="498"/>
        <item x="440"/>
        <item x="9"/>
        <item x="995"/>
        <item x="790"/>
        <item x="794"/>
        <item x="838"/>
        <item x="262"/>
        <item x="670"/>
        <item x="92"/>
        <item x="114"/>
        <item x="393"/>
        <item x="871"/>
        <item x="937"/>
        <item x="400"/>
        <item x="321"/>
        <item x="155"/>
        <item x="415"/>
        <item x="293"/>
        <item x="130"/>
        <item x="331"/>
        <item x="171"/>
        <item x="868"/>
        <item x="680"/>
        <item x="656"/>
        <item x="209"/>
        <item x="193"/>
        <item x="1026"/>
        <item x="458"/>
        <item x="225"/>
        <item x="707"/>
        <item x="85"/>
        <item x="349"/>
        <item x="169"/>
        <item x="57"/>
        <item x="307"/>
        <item x="499"/>
        <item x="190"/>
        <item x="116"/>
        <item x="725"/>
        <item x="560"/>
        <item x="943"/>
        <item x="608"/>
        <item x="86"/>
        <item x="104"/>
        <item x="303"/>
        <item x="717"/>
        <item x="335"/>
        <item x="835"/>
        <item x="554"/>
        <item x="492"/>
        <item x="119"/>
        <item x="1047"/>
        <item x="530"/>
        <item x="729"/>
        <item x="963"/>
        <item x="859"/>
        <item x="151"/>
        <item x="951"/>
        <item x="597"/>
        <item x="941"/>
        <item x="392"/>
        <item x="770"/>
        <item x="829"/>
        <item x="655"/>
        <item x="512"/>
        <item x="455"/>
        <item x="700"/>
        <item x="600"/>
        <item x="1044"/>
        <item x="425"/>
        <item x="219"/>
        <item x="189"/>
        <item x="356"/>
        <item x="574"/>
        <item x="616"/>
        <item x="414"/>
        <item x="384"/>
        <item x="462"/>
        <item x="16"/>
        <item x="630"/>
        <item x="808"/>
        <item x="507"/>
        <item x="382"/>
        <item x="746"/>
        <item x="172"/>
        <item x="61"/>
        <item x="957"/>
        <item x="215"/>
        <item x="26"/>
        <item x="0"/>
        <item x="385"/>
        <item x="403"/>
        <item x="274"/>
        <item x="202"/>
        <item x="488"/>
        <item x="543"/>
        <item x="174"/>
        <item x="135"/>
        <item x="539"/>
        <item x="864"/>
        <item x="1049"/>
        <item x="550"/>
        <item x="163"/>
        <item x="288"/>
        <item x="638"/>
        <item x="672"/>
        <item x="4"/>
        <item x="113"/>
        <item x="416"/>
        <item x="743"/>
        <item x="665"/>
        <item x="938"/>
        <item x="265"/>
        <item x="843"/>
        <item x="740"/>
        <item x="516"/>
        <item x="398"/>
        <item x="360"/>
        <item x="232"/>
        <item x="44"/>
        <item x="694"/>
        <item x="326"/>
        <item x="567"/>
        <item x="930"/>
        <item x="332"/>
        <item x="236"/>
        <item x="953"/>
        <item x="884"/>
        <item x="489"/>
        <item x="1014"/>
        <item x="214"/>
        <item x="11"/>
        <item x="634"/>
        <item x="652"/>
        <item x="112"/>
        <item x="122"/>
        <item x="837"/>
        <item x="12"/>
        <item x="396"/>
        <item x="476"/>
        <item x="967"/>
        <item x="370"/>
        <item x="230"/>
        <item x="664"/>
        <item x="542"/>
        <item x="235"/>
        <item x="709"/>
        <item x="90"/>
        <item x="496"/>
        <item x="343"/>
        <item x="880"/>
        <item x="762"/>
        <item x="879"/>
        <item x="856"/>
        <item x="580"/>
        <item x="315"/>
        <item x="39"/>
        <item x="813"/>
        <item x="124"/>
        <item x="662"/>
        <item x="645"/>
        <item x="710"/>
        <item x="223"/>
        <item x="699"/>
        <item x="533"/>
        <item x="787"/>
        <item x="649"/>
        <item x="557"/>
        <item x="36"/>
        <item x="691"/>
        <item x="233"/>
        <item x="889"/>
        <item x="390"/>
        <item x="203"/>
        <item x="41"/>
        <item x="657"/>
        <item x="96"/>
        <item x="250"/>
        <item x="999"/>
        <item x="241"/>
        <item x="143"/>
        <item x="344"/>
        <item x="318"/>
        <item x="1021"/>
        <item x="30"/>
        <item x="510"/>
        <item x="799"/>
        <item x="596"/>
        <item x="993"/>
        <item x="454"/>
        <item x="357"/>
        <item x="153"/>
        <item x="658"/>
        <item x="188"/>
        <item x="968"/>
        <item x="111"/>
        <item x="197"/>
        <item x="546"/>
        <item x="132"/>
        <item x="261"/>
        <item x="997"/>
        <item x="181"/>
        <item x="748"/>
        <item x="38"/>
        <item x="899"/>
        <item x="37"/>
        <item x="551"/>
        <item x="187"/>
        <item x="1048"/>
        <item x="869"/>
        <item x="229"/>
        <item x="228"/>
        <item x="716"/>
        <item x="120"/>
        <item x="107"/>
        <item x="765"/>
        <item x="904"/>
        <item x="285"/>
        <item x="463"/>
        <item x="419"/>
        <item x="922"/>
        <item x="268"/>
        <item x="601"/>
        <item x="156"/>
        <item x="1018"/>
        <item x="73"/>
        <item x="651"/>
        <item x="681"/>
        <item x="571"/>
        <item x="739"/>
        <item x="97"/>
        <item x="605"/>
        <item x="497"/>
        <item x="977"/>
        <item x="690"/>
        <item x="925"/>
        <item x="260"/>
        <item x="128"/>
        <item x="1004"/>
        <item x="735"/>
        <item x="287"/>
        <item x="280"/>
        <item x="493"/>
        <item x="133"/>
        <item x="818"/>
        <item x="436"/>
        <item x="301"/>
        <item x="697"/>
        <item x="220"/>
        <item x="56"/>
        <item x="876"/>
        <item x="31"/>
        <item x="732"/>
        <item x="798"/>
        <item x="94"/>
        <item x="846"/>
        <item x="678"/>
        <item x="100"/>
        <item x="816"/>
        <item x="167"/>
        <item x="819"/>
        <item x="159"/>
        <item x="505"/>
        <item x="598"/>
        <item x="432"/>
        <item x="749"/>
        <item x="358"/>
        <item x="768"/>
        <item x="136"/>
        <item x="237"/>
        <item x="175"/>
        <item x="961"/>
        <item x="491"/>
        <item x="282"/>
        <item x="918"/>
        <item x="466"/>
        <item x="22"/>
        <item x="982"/>
        <item x="534"/>
        <item x="80"/>
        <item x="683"/>
        <item x="544"/>
        <item x="263"/>
        <item x="450"/>
        <item x="443"/>
        <item x="435"/>
        <item x="178"/>
        <item x="576"/>
        <item x="573"/>
        <item x="334"/>
        <item x="958"/>
        <item x="642"/>
        <item x="704"/>
        <item x="76"/>
        <item x="93"/>
        <item x="322"/>
        <item x="934"/>
        <item x="413"/>
        <item x="1033"/>
        <item x="604"/>
        <item x="503"/>
        <item x="32"/>
        <item x="371"/>
        <item x="330"/>
        <item x="890"/>
        <item x="952"/>
        <item x="966"/>
        <item x="825"/>
        <item x="976"/>
        <item x="64"/>
        <item x="559"/>
        <item x="824"/>
        <item x="902"/>
        <item x="514"/>
        <item x="782"/>
        <item x="422"/>
        <item x="783"/>
        <item x="583"/>
        <item x="950"/>
        <item x="121"/>
        <item x="306"/>
        <item x="687"/>
        <item x="15"/>
        <item x="405"/>
        <item x="579"/>
        <item x="150"/>
        <item x="487"/>
        <item x="216"/>
        <item x="367"/>
        <item x="1036"/>
        <item x="336"/>
        <item x="991"/>
        <item x="618"/>
        <item x="861"/>
        <item x="420"/>
        <item x="47"/>
        <item x="587"/>
        <item x="806"/>
        <item x="434"/>
        <item x="248"/>
        <item x="852"/>
        <item x="722"/>
        <item x="300"/>
        <item x="921"/>
        <item x="513"/>
        <item x="1030"/>
        <item x="548"/>
        <item x="1045"/>
        <item x="426"/>
        <item x="812"/>
        <item x="773"/>
        <item x="445"/>
        <item x="138"/>
        <item x="822"/>
        <item x="141"/>
        <item x="647"/>
        <item x="311"/>
        <item x="428"/>
        <item x="424"/>
        <item x="526"/>
        <item x="51"/>
        <item x="1042"/>
        <item x="494"/>
        <item x="563"/>
        <item x="200"/>
        <item x="636"/>
        <item x="566"/>
        <item x="784"/>
        <item x="451"/>
        <item x="272"/>
        <item x="955"/>
        <item x="408"/>
        <item x="706"/>
        <item x="1031"/>
        <item x="572"/>
        <item x="464"/>
        <item x="886"/>
        <item x="13"/>
        <item x="668"/>
        <item x="21"/>
        <item x="698"/>
        <item x="663"/>
        <item x="547"/>
        <item x="277"/>
        <item x="470"/>
        <item x="712"/>
        <item x="643"/>
        <item x="407"/>
        <item x="881"/>
        <item x="362"/>
        <item x="553"/>
        <item x="610"/>
        <item x="482"/>
        <item x="158"/>
        <item x="776"/>
        <item x="919"/>
        <item x="372"/>
        <item x="723"/>
        <item x="227"/>
        <item x="24"/>
        <item x="354"/>
        <item x="313"/>
        <item x="537"/>
        <item x="304"/>
        <item x="210"/>
        <item x="89"/>
        <item x="980"/>
        <item x="588"/>
        <item x="294"/>
        <item x="826"/>
        <item x="682"/>
        <item x="695"/>
        <item x="570"/>
        <item x="802"/>
        <item x="820"/>
        <item x="763"/>
        <item x="761"/>
        <item x="857"/>
        <item x="633"/>
        <item x="249"/>
        <item x="901"/>
        <item x="191"/>
        <item x="671"/>
        <item x="738"/>
        <item x="278"/>
        <item x="95"/>
        <item x="444"/>
        <item x="667"/>
        <item x="129"/>
        <item x="406"/>
        <item x="552"/>
        <item x="246"/>
        <item x="79"/>
        <item x="620"/>
        <item x="255"/>
        <item x="264"/>
        <item x="983"/>
        <item x="82"/>
        <item x="931"/>
        <item x="168"/>
        <item x="480"/>
        <item x="276"/>
        <item x="742"/>
        <item x="286"/>
        <item x="538"/>
        <item x="751"/>
        <item x="914"/>
        <item x="186"/>
        <item x="310"/>
        <item x="324"/>
        <item x="469"/>
        <item x="660"/>
        <item x="217"/>
        <item x="211"/>
        <item x="2"/>
        <item x="679"/>
        <item x="731"/>
        <item x="908"/>
        <item x="62"/>
        <item x="441"/>
        <item x="50"/>
        <item x="115"/>
        <item x="490"/>
        <item x="960"/>
        <item x="519"/>
        <item x="185"/>
        <item x="346"/>
        <item x="40"/>
        <item x="1015"/>
        <item x="296"/>
        <item x="152"/>
        <item x="721"/>
        <item x="471"/>
        <item x="101"/>
        <item x="750"/>
        <item x="905"/>
        <item x="990"/>
        <item x="781"/>
        <item x="962"/>
        <item x="1006"/>
        <item x="410"/>
        <item x="206"/>
        <item x="298"/>
        <item x="867"/>
        <item x="375"/>
        <item x="920"/>
        <item x="173"/>
        <item x="986"/>
        <item x="518"/>
        <item x="753"/>
        <item x="78"/>
        <item x="703"/>
        <item x="14"/>
        <item x="659"/>
        <item x="771"/>
        <item x="789"/>
        <item x="486"/>
        <item x="625"/>
        <item x="147"/>
        <item x="504"/>
        <item x="581"/>
        <item x="380"/>
        <item x="320"/>
        <item x="850"/>
        <item x="183"/>
        <item x="176"/>
        <item x="161"/>
        <item x="834"/>
        <item x="582"/>
        <item x="395"/>
        <item x="800"/>
        <item x="805"/>
        <item x="628"/>
        <item x="989"/>
        <item x="992"/>
        <item x="626"/>
        <item x="10"/>
        <item x="752"/>
        <item x="520"/>
        <item x="184"/>
        <item x="851"/>
        <item x="734"/>
        <item x="269"/>
        <item x="946"/>
        <item x="621"/>
        <item x="865"/>
        <item x="745"/>
        <item x="481"/>
        <item x="523"/>
        <item x="841"/>
        <item x="146"/>
        <item x="882"/>
        <item x="1012"/>
        <item x="1025"/>
        <item x="429"/>
        <item x="972"/>
        <item x="361"/>
        <item x="305"/>
        <item x="675"/>
        <item x="975"/>
        <item x="134"/>
        <item x="521"/>
        <item x="948"/>
        <item x="457"/>
        <item x="337"/>
        <item x="954"/>
        <item x="797"/>
        <item x="632"/>
        <item x="875"/>
        <item x="58"/>
        <item x="646"/>
        <item x="231"/>
        <item x="981"/>
        <item x="1000"/>
        <item x="182"/>
        <item x="650"/>
        <item x="606"/>
        <item x="713"/>
        <item x="1001"/>
        <item x="591"/>
        <item x="55"/>
        <item x="755"/>
        <item x="996"/>
        <item x="565"/>
        <item x="1023"/>
        <item x="1038"/>
        <item x="959"/>
        <item x="676"/>
        <item x="661"/>
        <item t="default"/>
      </items>
    </pivotField>
    <pivotField numFmtId="22" showAll="0"/>
    <pivotField showAll="0"/>
    <pivotField showAll="0"/>
    <pivotField showAll="0"/>
    <pivotField showAll="0">
      <items count="3">
        <item x="1"/>
        <item x="0"/>
        <item t="default"/>
      </items>
    </pivotField>
    <pivotField axis="axisRow" showAll="0">
      <items count="15">
        <item x="0"/>
        <item x="1"/>
        <item x="2"/>
        <item x="3"/>
        <item x="4"/>
        <item x="5"/>
        <item x="6"/>
        <item x="7"/>
        <item x="8"/>
        <item x="9"/>
        <item x="10"/>
        <item x="11"/>
        <item x="12"/>
        <item x="13"/>
        <item t="default"/>
      </items>
    </pivotField>
  </pivotFields>
  <rowFields count="1">
    <field x="16"/>
  </rowFields>
  <rowItems count="13">
    <i>
      <x v="1"/>
    </i>
    <i>
      <x v="2"/>
    </i>
    <i>
      <x v="3"/>
    </i>
    <i>
      <x v="4"/>
    </i>
    <i>
      <x v="5"/>
    </i>
    <i>
      <x v="6"/>
    </i>
    <i>
      <x v="7"/>
    </i>
    <i>
      <x v="8"/>
    </i>
    <i>
      <x v="9"/>
    </i>
    <i>
      <x v="10"/>
    </i>
    <i>
      <x v="11"/>
    </i>
    <i>
      <x v="12"/>
    </i>
    <i t="grand">
      <x/>
    </i>
  </rowItems>
  <colItems count="1">
    <i/>
  </colItems>
  <dataFields count="1">
    <dataField name="Count of Ticket ID" fld="0" subtotal="count" baseField="16" baseItem="1"/>
  </dataFields>
  <formats count="8">
    <format dxfId="118">
      <pivotArea collapsedLevelsAreSubtotals="1" fieldPosition="0">
        <references count="1">
          <reference field="16" count="12">
            <x v="1"/>
            <x v="2"/>
            <x v="3"/>
            <x v="4"/>
            <x v="5"/>
            <x v="6"/>
            <x v="7"/>
            <x v="8"/>
            <x v="9"/>
            <x v="10"/>
            <x v="11"/>
            <x v="12"/>
          </reference>
        </references>
      </pivotArea>
    </format>
    <format dxfId="119">
      <pivotArea field="16" type="button" dataOnly="0" labelOnly="1" outline="0" axis="axisRow" fieldPosition="0"/>
    </format>
    <format dxfId="120">
      <pivotArea dataOnly="0" labelOnly="1" fieldPosition="0">
        <references count="1">
          <reference field="16" count="12">
            <x v="1"/>
            <x v="2"/>
            <x v="3"/>
            <x v="4"/>
            <x v="5"/>
            <x v="6"/>
            <x v="7"/>
            <x v="8"/>
            <x v="9"/>
            <x v="10"/>
            <x v="11"/>
            <x v="12"/>
          </reference>
        </references>
      </pivotArea>
    </format>
    <format dxfId="121">
      <pivotArea dataOnly="0" labelOnly="1" outline="0" axis="axisValues" fieldPosition="0"/>
    </format>
    <format dxfId="122">
      <pivotArea collapsedLevelsAreSubtotals="1" fieldPosition="0">
        <references count="1">
          <reference field="16" count="12">
            <x v="1"/>
            <x v="2"/>
            <x v="3"/>
            <x v="4"/>
            <x v="5"/>
            <x v="6"/>
            <x v="7"/>
            <x v="8"/>
            <x v="9"/>
            <x v="10"/>
            <x v="11"/>
            <x v="12"/>
          </reference>
        </references>
      </pivotArea>
    </format>
    <format dxfId="123">
      <pivotArea field="16" type="button" dataOnly="0" labelOnly="1" outline="0" axis="axisRow" fieldPosition="0"/>
    </format>
    <format dxfId="124">
      <pivotArea dataOnly="0" labelOnly="1" fieldPosition="0">
        <references count="1">
          <reference field="16" count="12">
            <x v="1"/>
            <x v="2"/>
            <x v="3"/>
            <x v="4"/>
            <x v="5"/>
            <x v="6"/>
            <x v="7"/>
            <x v="8"/>
            <x v="9"/>
            <x v="10"/>
            <x v="11"/>
            <x v="12"/>
          </reference>
        </references>
      </pivotArea>
    </format>
    <format dxfId="125">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3769B8B-6A1D-4DB3-A553-12DBF33D1BEF}" autoFormatId="16" applyNumberFormats="0" applyBorderFormats="0" applyFontFormats="0" applyPatternFormats="0" applyAlignmentFormats="0" applyWidthHeightFormats="0">
  <queryTableRefresh nextId="19" unboundColumnsRight="2">
    <queryTableFields count="16">
      <queryTableField id="1" name="Ticket ID" tableColumnId="1"/>
      <queryTableField id="2" name="Customer Name" tableColumnId="2"/>
      <queryTableField id="3" name="Customer Email" tableColumnId="3"/>
      <queryTableField id="4" name="Product Purchased" tableColumnId="4"/>
      <queryTableField id="5" name="Date of Purchase" tableColumnId="5"/>
      <queryTableField id="6" name="Ticket Type" tableColumnId="6"/>
      <queryTableField id="7" name="Ticket Subject" tableColumnId="7"/>
      <queryTableField id="8" name="Ticket Status" tableColumnId="8"/>
      <queryTableField id="9" name="Ticket Priority" tableColumnId="9"/>
      <queryTableField id="10" name="Ticket Channel" tableColumnId="10"/>
      <queryTableField id="11" name="First Response Time" tableColumnId="11"/>
      <queryTableField id="12" name="Time to Resolution" tableColumnId="12"/>
      <queryTableField id="13" name="Customer Satisfaction Rating" tableColumnId="13"/>
      <queryTableField id="14" name="Resolution Duration Hours" tableColumnId="14"/>
      <queryTableField id="16" dataBound="0" tableColumnId="16"/>
      <queryTableField id="17" dataBound="0"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t_Status" xr10:uid="{4B52CE03-2156-4301-8B33-16DD53DA4BBD}" sourceName="Ticket Status">
  <pivotTables>
    <pivotTable tabId="4" name="PivotTable1"/>
    <pivotTable tabId="4" name="PivotTable10"/>
    <pivotTable tabId="4" name="PivotTable12"/>
    <pivotTable tabId="4" name="PivotTable17"/>
    <pivotTable tabId="4" name="PivotTable18"/>
    <pivotTable tabId="4" name="PivotTable20"/>
    <pivotTable tabId="4" name="PivotTable5"/>
    <pivotTable tabId="4" name="PivotTable6"/>
    <pivotTable tabId="4" name="PivotTable7"/>
    <pivotTable tabId="4" name="PivotTable22"/>
  </pivotTables>
  <data>
    <tabular pivotCacheId="1933839546">
      <items count="4">
        <i x="1" s="1"/>
        <i x="0"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t_Priority" xr10:uid="{1CBBE7D7-4709-4EC5-B5AC-4BF2F319306A}" sourceName="Ticket Priority">
  <pivotTables>
    <pivotTable tabId="4" name="PivotTable1"/>
    <pivotTable tabId="4" name="PivotTable10"/>
    <pivotTable tabId="4" name="PivotTable17"/>
    <pivotTable tabId="4" name="PivotTable18"/>
    <pivotTable tabId="4" name="PivotTable20"/>
    <pivotTable tabId="4" name="PivotTable5"/>
    <pivotTable tabId="4" name="PivotTable6"/>
    <pivotTable tabId="4" name="PivotTable7"/>
    <pivotTable tabId="4" name="PivotTable22"/>
  </pivotTables>
  <data>
    <tabular pivotCacheId="1933839546">
      <items count="4">
        <i x="1" s="1"/>
        <i x="0"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t_Channel" xr10:uid="{7AF9907F-59DD-4D70-84F1-44B1623381D6}" sourceName="Ticket Channel">
  <pivotTables>
    <pivotTable tabId="4" name="PivotTable1"/>
    <pivotTable tabId="4" name="PivotTable10"/>
    <pivotTable tabId="4" name="PivotTable12"/>
    <pivotTable tabId="4" name="PivotTable17"/>
    <pivotTable tabId="4" name="PivotTable18"/>
    <pivotTable tabId="4" name="PivotTable20"/>
    <pivotTable tabId="4" name="PivotTable5"/>
    <pivotTable tabId="4" name="PivotTable6"/>
    <pivotTable tabId="4" name="PivotTable7"/>
    <pivotTable tabId="4" name="PivotTable22"/>
  </pivotTables>
  <data>
    <tabular pivotCacheId="1933839546">
      <items count="4">
        <i x="1" s="1"/>
        <i x="0"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LA_Met" xr10:uid="{0384EE07-8864-45EB-8A72-75D3055793DF}" sourceName="SLA_Met">
  <pivotTables>
    <pivotTable tabId="4" name="PivotTable1"/>
    <pivotTable tabId="4" name="PivotTable10"/>
    <pivotTable tabId="4" name="PivotTable12"/>
    <pivotTable tabId="4" name="PivotTable17"/>
    <pivotTable tabId="4" name="PivotTable18"/>
    <pivotTable tabId="4" name="PivotTable20"/>
    <pivotTable tabId="4" name="PivotTable22"/>
    <pivotTable tabId="4" name="PivotTable5"/>
    <pivotTable tabId="4" name="PivotTable6"/>
    <pivotTable tabId="4" name="PivotTable7"/>
  </pivotTables>
  <data>
    <tabular pivotCacheId="1933839546">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cket Status" xr10:uid="{5FA9A75D-9F26-4671-9493-B0B8EF2CCD22}" cache="Slicer_Ticket_Status" caption="Ticket Status" style="SlicerStyleDark1" rowHeight="234950"/>
  <slicer name="Ticket Priority" xr10:uid="{FB0282AE-12D0-4189-886D-8AFEFB834CEA}" cache="Slicer_Ticket_Priority" caption="Ticket Priority" style="SlicerStyleDark1" rowHeight="234950"/>
  <slicer name="Ticket Channel" xr10:uid="{EC2AB027-0166-48B2-A891-D314BCF8D006}" cache="Slicer_Ticket_Channel" caption="Ticket Channel" style="SlicerStyleDark1" rowHeight="234950"/>
  <slicer name="SLA_Met" xr10:uid="{FC7834FA-5624-44A5-A6A7-420817011192}" cache="Slicer_SLA_Met" caption="SLA_Met" style="SlicerStyleDark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13882D-373E-4D2D-82EF-0626BB68D99E}" name="Tickets" displayName="Tickets" ref="A1:P2001" tableType="queryTable" totalsRowShown="0">
  <autoFilter ref="A1:P2001" xr:uid="{1D13882D-373E-4D2D-82EF-0626BB68D99E}">
    <filterColumn colId="15">
      <filters>
        <filter val="No"/>
      </filters>
    </filterColumn>
  </autoFilter>
  <sortState xmlns:xlrd2="http://schemas.microsoft.com/office/spreadsheetml/2017/richdata2" ref="A13:P1990">
    <sortCondition descending="1" ref="N1:N2001"/>
  </sortState>
  <tableColumns count="16">
    <tableColumn id="1" xr3:uid="{AA180E6B-47BF-4942-89C5-9583784B6057}" uniqueName="1" name="Ticket ID" queryTableFieldId="1"/>
    <tableColumn id="2" xr3:uid="{F886DE66-ED25-4D48-A55F-EE9374298DFE}" uniqueName="2" name="Customer Name" queryTableFieldId="2" dataDxfId="169"/>
    <tableColumn id="3" xr3:uid="{1D26B27A-12D5-4E53-AADB-C772B46772C4}" uniqueName="3" name="Customer Email" queryTableFieldId="3" dataDxfId="168"/>
    <tableColumn id="4" xr3:uid="{73FE2E4F-9679-4A0B-9775-C696986ABC98}" uniqueName="4" name="Product Purchased" queryTableFieldId="4" dataDxfId="167"/>
    <tableColumn id="5" xr3:uid="{6D102C68-05B9-484D-868C-5A1D336D55F8}" uniqueName="5" name="Date of Purchase" queryTableFieldId="5" dataDxfId="166"/>
    <tableColumn id="6" xr3:uid="{C87A363B-95FA-40F9-9A9B-420A751AE0AB}" uniqueName="6" name="Ticket Type" queryTableFieldId="6" dataDxfId="165"/>
    <tableColumn id="7" xr3:uid="{7D1BE42A-3292-4930-B883-3A5FFC02D3DE}" uniqueName="7" name="Ticket Subject" queryTableFieldId="7" dataDxfId="164"/>
    <tableColumn id="8" xr3:uid="{2CC19C67-37C6-4DB6-AE1C-81D08FFB75A7}" uniqueName="8" name="Ticket Status" queryTableFieldId="8" dataDxfId="163"/>
    <tableColumn id="9" xr3:uid="{94B3FAC8-565D-4D24-8419-66924A66A3CD}" uniqueName="9" name="Ticket Priority" queryTableFieldId="9" dataDxfId="162"/>
    <tableColumn id="10" xr3:uid="{F279ED59-BA20-401E-A729-D9D076AF601F}" uniqueName="10" name="Ticket Channel" queryTableFieldId="10" dataDxfId="161"/>
    <tableColumn id="11" xr3:uid="{153918CB-413A-4FCC-93AC-B766EF9EA41A}" uniqueName="11" name="First Response Time" queryTableFieldId="11" dataDxfId="160"/>
    <tableColumn id="12" xr3:uid="{1B6AC41D-1325-446D-AC9E-4DBA934FA34A}" uniqueName="12" name="Time to Resolution" queryTableFieldId="12" dataDxfId="159"/>
    <tableColumn id="13" xr3:uid="{1FC2F387-62B4-4906-B3AB-B57DAB480D7D}" uniqueName="13" name="Customer Satisfaction Rating" queryTableFieldId="13"/>
    <tableColumn id="14" xr3:uid="{E84D6FD7-0CA2-4E01-B23D-895533F377B6}" uniqueName="14" name="Resolution Duration Hours" queryTableFieldId="14"/>
    <tableColumn id="16" xr3:uid="{4416F14D-C137-40B0-A275-B4189B064A9E}" uniqueName="16" name="SLA_Target_Hours" queryTableFieldId="16" dataDxfId="158">
      <calculatedColumnFormula>IF(Tickets[[#This Row],[Ticket Priority]]="Critical",24,
IF(Tickets[[#This Row],[Ticket Priority]]="High",48,
IF(Tickets[[#This Row],[Ticket Priority]]="Medium",120,168)))</calculatedColumnFormula>
    </tableColumn>
    <tableColumn id="17" xr3:uid="{91AAE202-5F78-49A0-BDD8-602D28BB0544}" uniqueName="17" name="SLA_Met" queryTableFieldId="17" dataDxfId="157">
      <calculatedColumnFormula>IF(Tickets[[#This Row],[Resolution Duration Hours]] &lt;= Tickets[[#This Row],[SLA_Target_Hours]], "Yes", "No")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Custom 1">
      <a:dk1>
        <a:srgbClr val="1C1C1C"/>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36733-CF92-4D6F-B11B-026549191F69}">
  <dimension ref="A1:P2001"/>
  <sheetViews>
    <sheetView workbookViewId="0">
      <selection activeCell="O45" sqref="O45"/>
    </sheetView>
  </sheetViews>
  <sheetFormatPr defaultRowHeight="14.4"/>
  <cols>
    <col min="1" max="1" width="10.44140625" bestFit="1" customWidth="1"/>
    <col min="2" max="2" width="23.109375" bestFit="1" customWidth="1"/>
    <col min="3" max="3" width="30.6640625" bestFit="1" customWidth="1"/>
    <col min="4" max="4" width="19.88671875" bestFit="1" customWidth="1"/>
    <col min="5" max="5" width="17.5546875" bestFit="1" customWidth="1"/>
    <col min="6" max="6" width="17.88671875" bestFit="1" customWidth="1"/>
    <col min="7" max="7" width="22.109375" bestFit="1" customWidth="1"/>
    <col min="8" max="8" width="24.21875" bestFit="1" customWidth="1"/>
    <col min="9" max="9" width="14.77734375" bestFit="1" customWidth="1"/>
    <col min="10" max="10" width="15.6640625" bestFit="1" customWidth="1"/>
    <col min="11" max="11" width="19.88671875" bestFit="1" customWidth="1"/>
    <col min="12" max="12" width="19" bestFit="1" customWidth="1"/>
    <col min="13" max="13" width="27.77734375" bestFit="1" customWidth="1"/>
    <col min="14" max="14" width="25.5546875" bestFit="1" customWidth="1"/>
    <col min="15" max="15" width="20" bestFit="1" customWidth="1"/>
    <col min="16" max="16" width="10.77734375" bestFit="1" customWidth="1"/>
  </cols>
  <sheetData>
    <row r="1" spans="1:16">
      <c r="A1" t="s">
        <v>0</v>
      </c>
      <c r="B1" t="s">
        <v>1</v>
      </c>
      <c r="C1" t="s">
        <v>2</v>
      </c>
      <c r="D1" t="s">
        <v>3</v>
      </c>
      <c r="E1" t="s">
        <v>4</v>
      </c>
      <c r="F1" t="s">
        <v>5</v>
      </c>
      <c r="G1" t="s">
        <v>6</v>
      </c>
      <c r="H1" t="s">
        <v>7</v>
      </c>
      <c r="I1" t="s">
        <v>8</v>
      </c>
      <c r="J1" t="s">
        <v>9</v>
      </c>
      <c r="K1" t="s">
        <v>10</v>
      </c>
      <c r="L1" t="s">
        <v>11</v>
      </c>
      <c r="M1" t="s">
        <v>12</v>
      </c>
      <c r="N1" t="s">
        <v>13</v>
      </c>
      <c r="O1" s="3" t="s">
        <v>4029</v>
      </c>
      <c r="P1" t="s">
        <v>4030</v>
      </c>
    </row>
    <row r="2" spans="1:16" hidden="1">
      <c r="A2">
        <v>1</v>
      </c>
      <c r="B2" t="s">
        <v>14</v>
      </c>
      <c r="C2" t="s">
        <v>1984</v>
      </c>
      <c r="D2" t="s">
        <v>3979</v>
      </c>
      <c r="E2" s="1">
        <v>44678</v>
      </c>
      <c r="F2" t="s">
        <v>3998</v>
      </c>
      <c r="G2" t="s">
        <v>4003</v>
      </c>
      <c r="H2" t="s">
        <v>4017</v>
      </c>
      <c r="I2" t="s">
        <v>4021</v>
      </c>
      <c r="J2" t="s">
        <v>4025</v>
      </c>
      <c r="K2" s="2">
        <v>44690</v>
      </c>
      <c r="L2" s="2">
        <v>44692</v>
      </c>
      <c r="N2">
        <v>48</v>
      </c>
      <c r="O2">
        <f>IF(Tickets[[#This Row],[Ticket Priority]]="Critical",24,
IF(Tickets[[#This Row],[Ticket Priority]]="High",48,
IF(Tickets[[#This Row],[Ticket Priority]]="Medium",120,168)))</f>
        <v>48</v>
      </c>
      <c r="P2" t="str">
        <f>IF(Tickets[[#This Row],[Resolution Duration Hours]] &lt;= Tickets[[#This Row],[SLA_Target_Hours]], "Yes", "No")</f>
        <v>Yes</v>
      </c>
    </row>
    <row r="3" spans="1:16" hidden="1">
      <c r="A3">
        <v>2</v>
      </c>
      <c r="B3" t="s">
        <v>15</v>
      </c>
      <c r="C3" t="s">
        <v>1985</v>
      </c>
      <c r="D3" t="s">
        <v>3980</v>
      </c>
      <c r="E3" s="1">
        <v>44139</v>
      </c>
      <c r="F3" t="s">
        <v>3998</v>
      </c>
      <c r="G3" t="s">
        <v>4000</v>
      </c>
      <c r="H3" t="s">
        <v>4018</v>
      </c>
      <c r="I3" t="s">
        <v>4021</v>
      </c>
      <c r="J3" t="s">
        <v>4025</v>
      </c>
      <c r="K3" s="2">
        <v>44355</v>
      </c>
      <c r="L3" s="2">
        <v>44356</v>
      </c>
      <c r="M3">
        <v>5</v>
      </c>
      <c r="N3">
        <v>24</v>
      </c>
      <c r="O3">
        <f>IF(Tickets[[#This Row],[Ticket Priority]]="Critical",24,
IF(Tickets[[#This Row],[Ticket Priority]]="High",48,
IF(Tickets[[#This Row],[Ticket Priority]]="Medium",120,168)))</f>
        <v>48</v>
      </c>
      <c r="P3" t="str">
        <f>IF(Tickets[[#This Row],[Resolution Duration Hours]] &lt;= Tickets[[#This Row],[SLA_Target_Hours]], "Yes", "No")</f>
        <v>Yes</v>
      </c>
    </row>
    <row r="4" spans="1:16" hidden="1">
      <c r="A4">
        <v>3</v>
      </c>
      <c r="B4" t="s">
        <v>16</v>
      </c>
      <c r="C4" t="s">
        <v>1986</v>
      </c>
      <c r="D4" t="s">
        <v>3980</v>
      </c>
      <c r="E4" s="1">
        <v>45009</v>
      </c>
      <c r="F4" t="s">
        <v>3999</v>
      </c>
      <c r="G4" t="s">
        <v>4003</v>
      </c>
      <c r="H4" t="s">
        <v>4018</v>
      </c>
      <c r="I4" t="s">
        <v>4022</v>
      </c>
      <c r="J4" t="s">
        <v>4026</v>
      </c>
      <c r="K4" s="2">
        <v>45151</v>
      </c>
      <c r="L4" s="2">
        <v>45152</v>
      </c>
      <c r="M4">
        <v>4</v>
      </c>
      <c r="N4">
        <v>24</v>
      </c>
      <c r="O4">
        <f>IF(Tickets[[#This Row],[Ticket Priority]]="Critical",24,
IF(Tickets[[#This Row],[Ticket Priority]]="High",48,
IF(Tickets[[#This Row],[Ticket Priority]]="Medium",120,168)))</f>
        <v>24</v>
      </c>
      <c r="P4" t="str">
        <f>IF(Tickets[[#This Row],[Resolution Duration Hours]] &lt;= Tickets[[#This Row],[SLA_Target_Hours]], "Yes", "No")</f>
        <v>Yes</v>
      </c>
    </row>
    <row r="5" spans="1:16" hidden="1">
      <c r="A5">
        <v>4</v>
      </c>
      <c r="B5" t="s">
        <v>17</v>
      </c>
      <c r="C5" t="s">
        <v>1987</v>
      </c>
      <c r="D5" t="s">
        <v>3979</v>
      </c>
      <c r="E5" s="1">
        <v>43975</v>
      </c>
      <c r="F5" t="s">
        <v>4000</v>
      </c>
      <c r="G5" t="s">
        <v>4003</v>
      </c>
      <c r="H5" t="s">
        <v>4018</v>
      </c>
      <c r="I5" t="s">
        <v>4023</v>
      </c>
      <c r="J5" t="s">
        <v>4027</v>
      </c>
      <c r="K5" s="2">
        <v>44158</v>
      </c>
      <c r="L5" s="2">
        <v>44161</v>
      </c>
      <c r="M5">
        <v>5</v>
      </c>
      <c r="N5">
        <v>72</v>
      </c>
      <c r="O5">
        <f>IF(Tickets[[#This Row],[Ticket Priority]]="Critical",24,
IF(Tickets[[#This Row],[Ticket Priority]]="High",48,
IF(Tickets[[#This Row],[Ticket Priority]]="Medium",120,168)))</f>
        <v>120</v>
      </c>
      <c r="P5" t="str">
        <f>IF(Tickets[[#This Row],[Resolution Duration Hours]] &lt;= Tickets[[#This Row],[SLA_Target_Hours]], "Yes", "No")</f>
        <v>Yes</v>
      </c>
    </row>
    <row r="6" spans="1:16" hidden="1">
      <c r="A6">
        <v>5</v>
      </c>
      <c r="B6" t="s">
        <v>18</v>
      </c>
      <c r="C6" t="s">
        <v>1988</v>
      </c>
      <c r="D6" t="s">
        <v>3981</v>
      </c>
      <c r="E6" s="1">
        <v>44419</v>
      </c>
      <c r="F6" t="s">
        <v>4001</v>
      </c>
      <c r="G6" t="s">
        <v>4000</v>
      </c>
      <c r="H6" t="s">
        <v>4019</v>
      </c>
      <c r="I6" t="s">
        <v>4022</v>
      </c>
      <c r="J6" t="s">
        <v>4027</v>
      </c>
      <c r="K6" s="2">
        <v>44714</v>
      </c>
      <c r="L6" s="2">
        <v>44715</v>
      </c>
      <c r="M6">
        <v>4</v>
      </c>
      <c r="N6">
        <v>24</v>
      </c>
      <c r="O6">
        <f>IF(Tickets[[#This Row],[Ticket Priority]]="Critical",24,
IF(Tickets[[#This Row],[Ticket Priority]]="High",48,
IF(Tickets[[#This Row],[Ticket Priority]]="Medium",120,168)))</f>
        <v>24</v>
      </c>
      <c r="P6" t="str">
        <f>IF(Tickets[[#This Row],[Resolution Duration Hours]] &lt;= Tickets[[#This Row],[SLA_Target_Hours]], "Yes", "No")</f>
        <v>Yes</v>
      </c>
    </row>
    <row r="7" spans="1:16" hidden="1">
      <c r="A7">
        <v>6</v>
      </c>
      <c r="B7" t="s">
        <v>19</v>
      </c>
      <c r="C7" t="s">
        <v>1989</v>
      </c>
      <c r="D7" t="s">
        <v>3981</v>
      </c>
      <c r="E7" s="1">
        <v>44185</v>
      </c>
      <c r="F7" t="s">
        <v>4002</v>
      </c>
      <c r="G7" t="s">
        <v>4004</v>
      </c>
      <c r="H7" t="s">
        <v>4018</v>
      </c>
      <c r="I7" t="s">
        <v>4021</v>
      </c>
      <c r="J7" t="s">
        <v>4028</v>
      </c>
      <c r="K7" s="2">
        <v>44268</v>
      </c>
      <c r="L7" s="2">
        <v>44270</v>
      </c>
      <c r="M7">
        <v>4</v>
      </c>
      <c r="N7">
        <v>48</v>
      </c>
      <c r="O7">
        <f>IF(Tickets[[#This Row],[Ticket Priority]]="Critical",24,
IF(Tickets[[#This Row],[Ticket Priority]]="High",48,
IF(Tickets[[#This Row],[Ticket Priority]]="Medium",120,168)))</f>
        <v>48</v>
      </c>
      <c r="P7" t="str">
        <f>IF(Tickets[[#This Row],[Resolution Duration Hours]] &lt;= Tickets[[#This Row],[SLA_Target_Hours]], "Yes", "No")</f>
        <v>Yes</v>
      </c>
    </row>
    <row r="8" spans="1:16" hidden="1">
      <c r="A8">
        <v>7</v>
      </c>
      <c r="B8" t="s">
        <v>20</v>
      </c>
      <c r="C8" t="s">
        <v>1990</v>
      </c>
      <c r="D8" t="s">
        <v>3982</v>
      </c>
      <c r="E8" s="1">
        <v>44083</v>
      </c>
      <c r="F8" t="s">
        <v>4001</v>
      </c>
      <c r="G8" t="s">
        <v>4005</v>
      </c>
      <c r="H8" t="s">
        <v>4018</v>
      </c>
      <c r="I8" t="s">
        <v>4024</v>
      </c>
      <c r="J8" t="s">
        <v>4025</v>
      </c>
      <c r="K8" s="2">
        <v>44319</v>
      </c>
      <c r="L8" s="2">
        <v>44324</v>
      </c>
      <c r="M8">
        <v>4</v>
      </c>
      <c r="N8">
        <v>120</v>
      </c>
      <c r="O8">
        <f>IF(Tickets[[#This Row],[Ticket Priority]]="Critical",24,
IF(Tickets[[#This Row],[Ticket Priority]]="High",48,
IF(Tickets[[#This Row],[Ticket Priority]]="Medium",120,168)))</f>
        <v>168</v>
      </c>
      <c r="P8" t="str">
        <f>IF(Tickets[[#This Row],[Resolution Duration Hours]] &lt;= Tickets[[#This Row],[SLA_Target_Hours]], "Yes", "No")</f>
        <v>Yes</v>
      </c>
    </row>
    <row r="9" spans="1:16" hidden="1">
      <c r="A9">
        <v>8</v>
      </c>
      <c r="B9" t="s">
        <v>21</v>
      </c>
      <c r="C9" t="s">
        <v>1991</v>
      </c>
      <c r="D9" t="s">
        <v>3983</v>
      </c>
      <c r="E9" s="1">
        <v>44211</v>
      </c>
      <c r="F9" t="s">
        <v>4000</v>
      </c>
      <c r="G9" t="s">
        <v>4006</v>
      </c>
      <c r="H9" t="s">
        <v>4018</v>
      </c>
      <c r="I9" t="s">
        <v>4021</v>
      </c>
      <c r="J9" t="s">
        <v>4028</v>
      </c>
      <c r="K9" s="2">
        <v>44416</v>
      </c>
      <c r="L9" s="2">
        <v>44416</v>
      </c>
      <c r="N9">
        <v>0</v>
      </c>
      <c r="O9">
        <f>IF(Tickets[[#This Row],[Ticket Priority]]="Critical",24,
IF(Tickets[[#This Row],[Ticket Priority]]="High",48,
IF(Tickets[[#This Row],[Ticket Priority]]="Medium",120,168)))</f>
        <v>48</v>
      </c>
      <c r="P9" t="str">
        <f>IF(Tickets[[#This Row],[Resolution Duration Hours]] &lt;= Tickets[[#This Row],[SLA_Target_Hours]], "Yes", "No")</f>
        <v>Yes</v>
      </c>
    </row>
    <row r="10" spans="1:16" hidden="1">
      <c r="A10">
        <v>9</v>
      </c>
      <c r="B10" t="s">
        <v>22</v>
      </c>
      <c r="C10" t="s">
        <v>1992</v>
      </c>
      <c r="D10" t="s">
        <v>3984</v>
      </c>
      <c r="E10" s="1">
        <v>44186</v>
      </c>
      <c r="F10" t="s">
        <v>4000</v>
      </c>
      <c r="G10" t="s">
        <v>4007</v>
      </c>
      <c r="H10" t="s">
        <v>4018</v>
      </c>
      <c r="I10" t="s">
        <v>4021</v>
      </c>
      <c r="J10" t="s">
        <v>4027</v>
      </c>
      <c r="K10" s="2">
        <v>44259</v>
      </c>
      <c r="L10" s="2">
        <v>44259</v>
      </c>
      <c r="M10">
        <v>4</v>
      </c>
      <c r="N10">
        <v>0</v>
      </c>
      <c r="O10">
        <f>IF(Tickets[[#This Row],[Ticket Priority]]="Critical",24,
IF(Tickets[[#This Row],[Ticket Priority]]="High",48,
IF(Tickets[[#This Row],[Ticket Priority]]="Medium",120,168)))</f>
        <v>48</v>
      </c>
      <c r="P10" t="str">
        <f>IF(Tickets[[#This Row],[Resolution Duration Hours]] &lt;= Tickets[[#This Row],[SLA_Target_Hours]], "Yes", "No")</f>
        <v>Yes</v>
      </c>
    </row>
    <row r="11" spans="1:16" hidden="1">
      <c r="A11">
        <v>10</v>
      </c>
      <c r="B11" t="s">
        <v>23</v>
      </c>
      <c r="C11" t="s">
        <v>1993</v>
      </c>
      <c r="D11" t="s">
        <v>3985</v>
      </c>
      <c r="E11" s="1">
        <v>44319</v>
      </c>
      <c r="F11" t="s">
        <v>3998</v>
      </c>
      <c r="G11" t="s">
        <v>4003</v>
      </c>
      <c r="H11" t="s">
        <v>4018</v>
      </c>
      <c r="I11" t="s">
        <v>4024</v>
      </c>
      <c r="J11" t="s">
        <v>4028</v>
      </c>
      <c r="K11" s="2">
        <v>44579</v>
      </c>
      <c r="L11" s="2">
        <v>44583</v>
      </c>
      <c r="M11">
        <v>4</v>
      </c>
      <c r="N11">
        <v>96</v>
      </c>
      <c r="O11">
        <f>IF(Tickets[[#This Row],[Ticket Priority]]="Critical",24,
IF(Tickets[[#This Row],[Ticket Priority]]="High",48,
IF(Tickets[[#This Row],[Ticket Priority]]="Medium",120,168)))</f>
        <v>168</v>
      </c>
      <c r="P11" t="str">
        <f>IF(Tickets[[#This Row],[Resolution Duration Hours]] &lt;= Tickets[[#This Row],[SLA_Target_Hours]], "Yes", "No")</f>
        <v>Yes</v>
      </c>
    </row>
    <row r="12" spans="1:16" hidden="1">
      <c r="A12">
        <v>11</v>
      </c>
      <c r="B12" t="s">
        <v>24</v>
      </c>
      <c r="C12" t="s">
        <v>1994</v>
      </c>
      <c r="D12" t="s">
        <v>3984</v>
      </c>
      <c r="E12" s="1">
        <v>44988</v>
      </c>
      <c r="F12" t="s">
        <v>3999</v>
      </c>
      <c r="G12" t="s">
        <v>4008</v>
      </c>
      <c r="H12" t="s">
        <v>4018</v>
      </c>
      <c r="I12" t="s">
        <v>4023</v>
      </c>
      <c r="J12" t="s">
        <v>4027</v>
      </c>
      <c r="K12" s="2">
        <v>45258</v>
      </c>
      <c r="L12" s="2">
        <v>45260</v>
      </c>
      <c r="M12">
        <v>3</v>
      </c>
      <c r="N12">
        <v>48</v>
      </c>
      <c r="O12">
        <f>IF(Tickets[[#This Row],[Ticket Priority]]="Critical",24,
IF(Tickets[[#This Row],[Ticket Priority]]="High",48,
IF(Tickets[[#This Row],[Ticket Priority]]="Medium",120,168)))</f>
        <v>120</v>
      </c>
      <c r="P12" t="str">
        <f>IF(Tickets[[#This Row],[Resolution Duration Hours]] &lt;= Tickets[[#This Row],[SLA_Target_Hours]], "Yes", "No")</f>
        <v>Yes</v>
      </c>
    </row>
    <row r="13" spans="1:16">
      <c r="A13">
        <v>749</v>
      </c>
      <c r="B13" t="s">
        <v>758</v>
      </c>
      <c r="C13" t="s">
        <v>2731</v>
      </c>
      <c r="D13" t="s">
        <v>3986</v>
      </c>
      <c r="E13" s="1">
        <v>44358</v>
      </c>
      <c r="F13" t="s">
        <v>3998</v>
      </c>
      <c r="G13" t="s">
        <v>4012</v>
      </c>
      <c r="H13" t="s">
        <v>4020</v>
      </c>
      <c r="I13" t="s">
        <v>4024</v>
      </c>
      <c r="J13" t="s">
        <v>4026</v>
      </c>
      <c r="K13" s="2">
        <v>44468</v>
      </c>
      <c r="L13" s="2">
        <v>44525</v>
      </c>
      <c r="N13">
        <v>1368</v>
      </c>
      <c r="O13">
        <f>IF(Tickets[[#This Row],[Ticket Priority]]="Critical",24,
IF(Tickets[[#This Row],[Ticket Priority]]="High",48,
IF(Tickets[[#This Row],[Ticket Priority]]="Medium",120,168)))</f>
        <v>168</v>
      </c>
      <c r="P13" t="str">
        <f>IF(Tickets[[#This Row],[Resolution Duration Hours]] &lt;= Tickets[[#This Row],[SLA_Target_Hours]], "Yes", "No")</f>
        <v>No</v>
      </c>
    </row>
    <row r="14" spans="1:16" hidden="1">
      <c r="A14">
        <v>13</v>
      </c>
      <c r="B14" t="s">
        <v>26</v>
      </c>
      <c r="C14" t="s">
        <v>1996</v>
      </c>
      <c r="D14" t="s">
        <v>3986</v>
      </c>
      <c r="E14" s="1">
        <v>44428</v>
      </c>
      <c r="F14" t="s">
        <v>4001</v>
      </c>
      <c r="G14" t="s">
        <v>4009</v>
      </c>
      <c r="H14" t="s">
        <v>4019</v>
      </c>
      <c r="I14" t="s">
        <v>4021</v>
      </c>
      <c r="J14" t="s">
        <v>4027</v>
      </c>
      <c r="K14" s="2">
        <v>44755</v>
      </c>
      <c r="L14" s="2">
        <v>44756</v>
      </c>
      <c r="M14">
        <v>4</v>
      </c>
      <c r="N14">
        <v>24</v>
      </c>
      <c r="O14">
        <f>IF(Tickets[[#This Row],[Ticket Priority]]="Critical",24,
IF(Tickets[[#This Row],[Ticket Priority]]="High",48,
IF(Tickets[[#This Row],[Ticket Priority]]="Medium",120,168)))</f>
        <v>48</v>
      </c>
      <c r="P14" t="str">
        <f>IF(Tickets[[#This Row],[Resolution Duration Hours]] &lt;= Tickets[[#This Row],[SLA_Target_Hours]], "Yes", "No")</f>
        <v>Yes</v>
      </c>
    </row>
    <row r="15" spans="1:16" hidden="1">
      <c r="A15">
        <v>14</v>
      </c>
      <c r="B15" t="s">
        <v>27</v>
      </c>
      <c r="C15" t="s">
        <v>1997</v>
      </c>
      <c r="D15" t="s">
        <v>3987</v>
      </c>
      <c r="E15" s="1">
        <v>44997</v>
      </c>
      <c r="F15" t="s">
        <v>4001</v>
      </c>
      <c r="G15" t="s">
        <v>4003</v>
      </c>
      <c r="H15" t="s">
        <v>4018</v>
      </c>
      <c r="I15" t="s">
        <v>4024</v>
      </c>
      <c r="J15" t="s">
        <v>4027</v>
      </c>
      <c r="K15" s="2">
        <v>45054</v>
      </c>
      <c r="L15" s="2">
        <v>45057</v>
      </c>
      <c r="M15">
        <v>4</v>
      </c>
      <c r="N15">
        <v>72</v>
      </c>
      <c r="O15">
        <f>IF(Tickets[[#This Row],[Ticket Priority]]="Critical",24,
IF(Tickets[[#This Row],[Ticket Priority]]="High",48,
IF(Tickets[[#This Row],[Ticket Priority]]="Medium",120,168)))</f>
        <v>168</v>
      </c>
      <c r="P15" t="str">
        <f>IF(Tickets[[#This Row],[Resolution Duration Hours]] &lt;= Tickets[[#This Row],[SLA_Target_Hours]], "Yes", "No")</f>
        <v>Yes</v>
      </c>
    </row>
    <row r="16" spans="1:16" hidden="1">
      <c r="A16">
        <v>15</v>
      </c>
      <c r="B16" t="s">
        <v>28</v>
      </c>
      <c r="C16" t="s">
        <v>1998</v>
      </c>
      <c r="D16" t="s">
        <v>3988</v>
      </c>
      <c r="E16" s="1">
        <v>44948</v>
      </c>
      <c r="F16" t="s">
        <v>4000</v>
      </c>
      <c r="G16" t="s">
        <v>4005</v>
      </c>
      <c r="H16" t="s">
        <v>4018</v>
      </c>
      <c r="I16" t="s">
        <v>4021</v>
      </c>
      <c r="J16" t="s">
        <v>4027</v>
      </c>
      <c r="K16" s="2">
        <v>45220</v>
      </c>
      <c r="L16" s="2">
        <v>45222</v>
      </c>
      <c r="N16">
        <v>48</v>
      </c>
      <c r="O16">
        <f>IF(Tickets[[#This Row],[Ticket Priority]]="Critical",24,
IF(Tickets[[#This Row],[Ticket Priority]]="High",48,
IF(Tickets[[#This Row],[Ticket Priority]]="Medium",120,168)))</f>
        <v>48</v>
      </c>
      <c r="P16" t="str">
        <f>IF(Tickets[[#This Row],[Resolution Duration Hours]] &lt;= Tickets[[#This Row],[SLA_Target_Hours]], "Yes", "No")</f>
        <v>Yes</v>
      </c>
    </row>
    <row r="17" spans="1:16" hidden="1">
      <c r="A17">
        <v>16</v>
      </c>
      <c r="B17" t="s">
        <v>29</v>
      </c>
      <c r="C17" t="s">
        <v>1999</v>
      </c>
      <c r="D17" t="s">
        <v>3989</v>
      </c>
      <c r="E17" s="1">
        <v>44619</v>
      </c>
      <c r="F17" t="s">
        <v>4002</v>
      </c>
      <c r="G17" t="s">
        <v>4003</v>
      </c>
      <c r="H17" t="s">
        <v>4018</v>
      </c>
      <c r="I17" t="s">
        <v>4024</v>
      </c>
      <c r="J17" t="s">
        <v>4026</v>
      </c>
      <c r="K17" s="2">
        <v>44984</v>
      </c>
      <c r="L17" s="2">
        <v>44987</v>
      </c>
      <c r="M17">
        <v>4</v>
      </c>
      <c r="N17">
        <v>72</v>
      </c>
      <c r="O17">
        <f>IF(Tickets[[#This Row],[Ticket Priority]]="Critical",24,
IF(Tickets[[#This Row],[Ticket Priority]]="High",48,
IF(Tickets[[#This Row],[Ticket Priority]]="Medium",120,168)))</f>
        <v>168</v>
      </c>
      <c r="P17" t="str">
        <f>IF(Tickets[[#This Row],[Resolution Duration Hours]] &lt;= Tickets[[#This Row],[SLA_Target_Hours]], "Yes", "No")</f>
        <v>Yes</v>
      </c>
    </row>
    <row r="18" spans="1:16" hidden="1">
      <c r="A18">
        <v>17</v>
      </c>
      <c r="B18" t="s">
        <v>30</v>
      </c>
      <c r="C18" t="s">
        <v>2000</v>
      </c>
      <c r="D18" t="s">
        <v>3980</v>
      </c>
      <c r="E18" s="1">
        <v>44394</v>
      </c>
      <c r="F18" t="s">
        <v>3999</v>
      </c>
      <c r="G18" t="s">
        <v>4003</v>
      </c>
      <c r="H18" t="s">
        <v>4018</v>
      </c>
      <c r="I18" t="s">
        <v>4021</v>
      </c>
      <c r="J18" t="s">
        <v>4027</v>
      </c>
      <c r="K18" s="2">
        <v>44677</v>
      </c>
      <c r="L18" s="2">
        <v>44678</v>
      </c>
      <c r="M18">
        <v>4</v>
      </c>
      <c r="N18">
        <v>24</v>
      </c>
      <c r="O18">
        <f>IF(Tickets[[#This Row],[Ticket Priority]]="Critical",24,
IF(Tickets[[#This Row],[Ticket Priority]]="High",48,
IF(Tickets[[#This Row],[Ticket Priority]]="Medium",120,168)))</f>
        <v>48</v>
      </c>
      <c r="P18" t="str">
        <f>IF(Tickets[[#This Row],[Resolution Duration Hours]] &lt;= Tickets[[#This Row],[SLA_Target_Hours]], "Yes", "No")</f>
        <v>Yes</v>
      </c>
    </row>
    <row r="19" spans="1:16" hidden="1">
      <c r="A19">
        <v>18</v>
      </c>
      <c r="B19" t="s">
        <v>31</v>
      </c>
      <c r="C19" t="s">
        <v>2001</v>
      </c>
      <c r="D19" t="s">
        <v>3990</v>
      </c>
      <c r="E19" s="1">
        <v>43964</v>
      </c>
      <c r="F19" t="s">
        <v>4000</v>
      </c>
      <c r="G19" t="s">
        <v>4008</v>
      </c>
      <c r="H19" t="s">
        <v>4018</v>
      </c>
      <c r="I19" t="s">
        <v>4023</v>
      </c>
      <c r="J19" t="s">
        <v>4026</v>
      </c>
      <c r="K19" s="2">
        <v>44306</v>
      </c>
      <c r="L19" s="2">
        <v>44309</v>
      </c>
      <c r="M19">
        <v>5</v>
      </c>
      <c r="N19">
        <v>72</v>
      </c>
      <c r="O19">
        <f>IF(Tickets[[#This Row],[Ticket Priority]]="Critical",24,
IF(Tickets[[#This Row],[Ticket Priority]]="High",48,
IF(Tickets[[#This Row],[Ticket Priority]]="Medium",120,168)))</f>
        <v>120</v>
      </c>
      <c r="P19" t="str">
        <f>IF(Tickets[[#This Row],[Resolution Duration Hours]] &lt;= Tickets[[#This Row],[SLA_Target_Hours]], "Yes", "No")</f>
        <v>Yes</v>
      </c>
    </row>
    <row r="20" spans="1:16" hidden="1">
      <c r="A20">
        <v>19</v>
      </c>
      <c r="B20" t="s">
        <v>32</v>
      </c>
      <c r="C20" t="s">
        <v>2002</v>
      </c>
      <c r="D20" t="s">
        <v>3979</v>
      </c>
      <c r="E20" s="1">
        <v>44087</v>
      </c>
      <c r="F20" t="s">
        <v>4001</v>
      </c>
      <c r="G20" t="s">
        <v>4010</v>
      </c>
      <c r="H20" t="s">
        <v>4018</v>
      </c>
      <c r="I20" t="s">
        <v>4023</v>
      </c>
      <c r="J20" t="s">
        <v>4028</v>
      </c>
      <c r="K20" s="2">
        <v>44136</v>
      </c>
      <c r="L20" s="2">
        <v>44139</v>
      </c>
      <c r="M20">
        <v>3</v>
      </c>
      <c r="N20">
        <v>72</v>
      </c>
      <c r="O20">
        <f>IF(Tickets[[#This Row],[Ticket Priority]]="Critical",24,
IF(Tickets[[#This Row],[Ticket Priority]]="High",48,
IF(Tickets[[#This Row],[Ticket Priority]]="Medium",120,168)))</f>
        <v>120</v>
      </c>
      <c r="P20" t="str">
        <f>IF(Tickets[[#This Row],[Resolution Duration Hours]] &lt;= Tickets[[#This Row],[SLA_Target_Hours]], "Yes", "No")</f>
        <v>Yes</v>
      </c>
    </row>
    <row r="21" spans="1:16" hidden="1">
      <c r="A21">
        <v>20</v>
      </c>
      <c r="B21" t="s">
        <v>33</v>
      </c>
      <c r="C21" t="s">
        <v>2003</v>
      </c>
      <c r="D21" t="s">
        <v>3983</v>
      </c>
      <c r="E21" s="1">
        <v>44143</v>
      </c>
      <c r="F21" t="s">
        <v>4001</v>
      </c>
      <c r="G21" t="s">
        <v>4011</v>
      </c>
      <c r="H21" t="s">
        <v>4018</v>
      </c>
      <c r="I21" t="s">
        <v>4021</v>
      </c>
      <c r="J21" t="s">
        <v>4026</v>
      </c>
      <c r="K21" s="2">
        <v>44198</v>
      </c>
      <c r="L21" s="2">
        <v>44200</v>
      </c>
      <c r="M21">
        <v>3</v>
      </c>
      <c r="N21">
        <v>48</v>
      </c>
      <c r="O21">
        <f>IF(Tickets[[#This Row],[Ticket Priority]]="Critical",24,
IF(Tickets[[#This Row],[Ticket Priority]]="High",48,
IF(Tickets[[#This Row],[Ticket Priority]]="Medium",120,168)))</f>
        <v>48</v>
      </c>
      <c r="P21" t="str">
        <f>IF(Tickets[[#This Row],[Resolution Duration Hours]] &lt;= Tickets[[#This Row],[SLA_Target_Hours]], "Yes", "No")</f>
        <v>Yes</v>
      </c>
    </row>
    <row r="22" spans="1:16" hidden="1">
      <c r="A22">
        <v>21</v>
      </c>
      <c r="B22" t="s">
        <v>34</v>
      </c>
      <c r="C22" t="s">
        <v>2004</v>
      </c>
      <c r="D22" t="s">
        <v>3991</v>
      </c>
      <c r="E22" s="1">
        <v>44216</v>
      </c>
      <c r="F22" t="s">
        <v>4002</v>
      </c>
      <c r="G22" t="s">
        <v>4000</v>
      </c>
      <c r="H22" t="s">
        <v>4020</v>
      </c>
      <c r="I22" t="s">
        <v>4024</v>
      </c>
      <c r="J22" t="s">
        <v>4025</v>
      </c>
      <c r="K22" s="2">
        <v>44266</v>
      </c>
      <c r="L22" s="2">
        <v>44273</v>
      </c>
      <c r="N22">
        <v>168</v>
      </c>
      <c r="O22">
        <f>IF(Tickets[[#This Row],[Ticket Priority]]="Critical",24,
IF(Tickets[[#This Row],[Ticket Priority]]="High",48,
IF(Tickets[[#This Row],[Ticket Priority]]="Medium",120,168)))</f>
        <v>168</v>
      </c>
      <c r="P22" t="str">
        <f>IF(Tickets[[#This Row],[Resolution Duration Hours]] &lt;= Tickets[[#This Row],[SLA_Target_Hours]], "Yes", "No")</f>
        <v>Yes</v>
      </c>
    </row>
    <row r="23" spans="1:16" hidden="1">
      <c r="A23">
        <v>22</v>
      </c>
      <c r="B23" t="s">
        <v>35</v>
      </c>
      <c r="C23" t="s">
        <v>2005</v>
      </c>
      <c r="D23" t="s">
        <v>3992</v>
      </c>
      <c r="E23" s="1">
        <v>44811</v>
      </c>
      <c r="F23" t="s">
        <v>4000</v>
      </c>
      <c r="G23" t="s">
        <v>4012</v>
      </c>
      <c r="H23" t="s">
        <v>4019</v>
      </c>
      <c r="I23" t="s">
        <v>4023</v>
      </c>
      <c r="J23" t="s">
        <v>4026</v>
      </c>
      <c r="K23" s="2">
        <v>45057</v>
      </c>
      <c r="L23" s="2">
        <v>45057</v>
      </c>
      <c r="M23">
        <v>3</v>
      </c>
      <c r="N23">
        <v>0</v>
      </c>
      <c r="O23">
        <f>IF(Tickets[[#This Row],[Ticket Priority]]="Critical",24,
IF(Tickets[[#This Row],[Ticket Priority]]="High",48,
IF(Tickets[[#This Row],[Ticket Priority]]="Medium",120,168)))</f>
        <v>120</v>
      </c>
      <c r="P23" t="str">
        <f>IF(Tickets[[#This Row],[Resolution Duration Hours]] &lt;= Tickets[[#This Row],[SLA_Target_Hours]], "Yes", "No")</f>
        <v>Yes</v>
      </c>
    </row>
    <row r="24" spans="1:16" hidden="1">
      <c r="A24">
        <v>23</v>
      </c>
      <c r="B24" t="s">
        <v>36</v>
      </c>
      <c r="C24" t="s">
        <v>2006</v>
      </c>
      <c r="D24" t="s">
        <v>3991</v>
      </c>
      <c r="E24" s="1">
        <v>44585</v>
      </c>
      <c r="F24" t="s">
        <v>3999</v>
      </c>
      <c r="G24" t="s">
        <v>4010</v>
      </c>
      <c r="H24" t="s">
        <v>4018</v>
      </c>
      <c r="I24" t="s">
        <v>4021</v>
      </c>
      <c r="J24" t="s">
        <v>4028</v>
      </c>
      <c r="K24" s="2">
        <v>44923</v>
      </c>
      <c r="L24" s="2">
        <v>44925</v>
      </c>
      <c r="M24">
        <v>5</v>
      </c>
      <c r="N24">
        <v>48</v>
      </c>
      <c r="O24">
        <f>IF(Tickets[[#This Row],[Ticket Priority]]="Critical",24,
IF(Tickets[[#This Row],[Ticket Priority]]="High",48,
IF(Tickets[[#This Row],[Ticket Priority]]="Medium",120,168)))</f>
        <v>48</v>
      </c>
      <c r="P24" t="str">
        <f>IF(Tickets[[#This Row],[Resolution Duration Hours]] &lt;= Tickets[[#This Row],[SLA_Target_Hours]], "Yes", "No")</f>
        <v>Yes</v>
      </c>
    </row>
    <row r="25" spans="1:16" hidden="1">
      <c r="A25">
        <v>24</v>
      </c>
      <c r="B25" t="s">
        <v>37</v>
      </c>
      <c r="C25" t="s">
        <v>2007</v>
      </c>
      <c r="D25" t="s">
        <v>3992</v>
      </c>
      <c r="E25" s="1">
        <v>44126</v>
      </c>
      <c r="F25" t="s">
        <v>4001</v>
      </c>
      <c r="G25" t="s">
        <v>4013</v>
      </c>
      <c r="H25" t="s">
        <v>4020</v>
      </c>
      <c r="I25" t="s">
        <v>4023</v>
      </c>
      <c r="J25" t="s">
        <v>4026</v>
      </c>
      <c r="K25" s="2">
        <v>44383</v>
      </c>
      <c r="L25" s="2">
        <v>44387</v>
      </c>
      <c r="N25">
        <v>96</v>
      </c>
      <c r="O25">
        <f>IF(Tickets[[#This Row],[Ticket Priority]]="Critical",24,
IF(Tickets[[#This Row],[Ticket Priority]]="High",48,
IF(Tickets[[#This Row],[Ticket Priority]]="Medium",120,168)))</f>
        <v>120</v>
      </c>
      <c r="P25" t="str">
        <f>IF(Tickets[[#This Row],[Resolution Duration Hours]] &lt;= Tickets[[#This Row],[SLA_Target_Hours]], "Yes", "No")</f>
        <v>Yes</v>
      </c>
    </row>
    <row r="26" spans="1:16" hidden="1">
      <c r="A26">
        <v>25</v>
      </c>
      <c r="B26" t="s">
        <v>38</v>
      </c>
      <c r="C26" t="s">
        <v>2008</v>
      </c>
      <c r="D26" t="s">
        <v>3993</v>
      </c>
      <c r="E26" s="1">
        <v>44877</v>
      </c>
      <c r="F26" t="s">
        <v>3998</v>
      </c>
      <c r="G26" t="s">
        <v>4009</v>
      </c>
      <c r="H26" t="s">
        <v>4018</v>
      </c>
      <c r="I26" t="s">
        <v>4024</v>
      </c>
      <c r="J26" t="s">
        <v>4026</v>
      </c>
      <c r="K26" s="2">
        <v>45083</v>
      </c>
      <c r="L26" s="2">
        <v>45089</v>
      </c>
      <c r="M26">
        <v>4</v>
      </c>
      <c r="N26">
        <v>144</v>
      </c>
      <c r="O26">
        <f>IF(Tickets[[#This Row],[Ticket Priority]]="Critical",24,
IF(Tickets[[#This Row],[Ticket Priority]]="High",48,
IF(Tickets[[#This Row],[Ticket Priority]]="Medium",120,168)))</f>
        <v>168</v>
      </c>
      <c r="P26" t="str">
        <f>IF(Tickets[[#This Row],[Resolution Duration Hours]] &lt;= Tickets[[#This Row],[SLA_Target_Hours]], "Yes", "No")</f>
        <v>Yes</v>
      </c>
    </row>
    <row r="27" spans="1:16" hidden="1">
      <c r="A27">
        <v>26</v>
      </c>
      <c r="B27" t="s">
        <v>39</v>
      </c>
      <c r="C27" t="s">
        <v>2009</v>
      </c>
      <c r="D27" t="s">
        <v>3990</v>
      </c>
      <c r="E27" s="1">
        <v>44126</v>
      </c>
      <c r="F27" t="s">
        <v>4000</v>
      </c>
      <c r="G27" t="s">
        <v>4007</v>
      </c>
      <c r="H27" t="s">
        <v>4017</v>
      </c>
      <c r="I27" t="s">
        <v>4023</v>
      </c>
      <c r="J27" t="s">
        <v>4028</v>
      </c>
      <c r="K27" s="2">
        <v>44230</v>
      </c>
      <c r="L27" s="2">
        <v>44231</v>
      </c>
      <c r="N27">
        <v>24</v>
      </c>
      <c r="O27">
        <f>IF(Tickets[[#This Row],[Ticket Priority]]="Critical",24,
IF(Tickets[[#This Row],[Ticket Priority]]="High",48,
IF(Tickets[[#This Row],[Ticket Priority]]="Medium",120,168)))</f>
        <v>120</v>
      </c>
      <c r="P27" t="str">
        <f>IF(Tickets[[#This Row],[Resolution Duration Hours]] &lt;= Tickets[[#This Row],[SLA_Target_Hours]], "Yes", "No")</f>
        <v>Yes</v>
      </c>
    </row>
    <row r="28" spans="1:16" hidden="1">
      <c r="A28">
        <v>27</v>
      </c>
      <c r="B28" t="s">
        <v>40</v>
      </c>
      <c r="C28" t="s">
        <v>2010</v>
      </c>
      <c r="D28" t="s">
        <v>3988</v>
      </c>
      <c r="E28" s="1">
        <v>44685</v>
      </c>
      <c r="F28" t="s">
        <v>3999</v>
      </c>
      <c r="G28" t="s">
        <v>4014</v>
      </c>
      <c r="H28" t="s">
        <v>4017</v>
      </c>
      <c r="I28" t="s">
        <v>4024</v>
      </c>
      <c r="J28" t="s">
        <v>4026</v>
      </c>
      <c r="K28" s="2">
        <v>44689</v>
      </c>
      <c r="L28" s="2">
        <v>44693</v>
      </c>
      <c r="N28">
        <v>96</v>
      </c>
      <c r="O28">
        <f>IF(Tickets[[#This Row],[Ticket Priority]]="Critical",24,
IF(Tickets[[#This Row],[Ticket Priority]]="High",48,
IF(Tickets[[#This Row],[Ticket Priority]]="Medium",120,168)))</f>
        <v>168</v>
      </c>
      <c r="P28" t="str">
        <f>IF(Tickets[[#This Row],[Resolution Duration Hours]] &lt;= Tickets[[#This Row],[SLA_Target_Hours]], "Yes", "No")</f>
        <v>Yes</v>
      </c>
    </row>
    <row r="29" spans="1:16" hidden="1">
      <c r="A29">
        <v>28</v>
      </c>
      <c r="B29" t="s">
        <v>41</v>
      </c>
      <c r="C29" t="s">
        <v>2011</v>
      </c>
      <c r="D29" t="s">
        <v>3981</v>
      </c>
      <c r="E29" s="1">
        <v>44089</v>
      </c>
      <c r="F29" t="s">
        <v>3998</v>
      </c>
      <c r="G29" t="s">
        <v>4010</v>
      </c>
      <c r="H29" t="s">
        <v>4018</v>
      </c>
      <c r="I29" t="s">
        <v>4023</v>
      </c>
      <c r="J29" t="s">
        <v>4028</v>
      </c>
      <c r="K29" s="2">
        <v>44124</v>
      </c>
      <c r="L29" s="2">
        <v>44127</v>
      </c>
      <c r="M29">
        <v>5</v>
      </c>
      <c r="N29">
        <v>72</v>
      </c>
      <c r="O29">
        <f>IF(Tickets[[#This Row],[Ticket Priority]]="Critical",24,
IF(Tickets[[#This Row],[Ticket Priority]]="High",48,
IF(Tickets[[#This Row],[Ticket Priority]]="Medium",120,168)))</f>
        <v>120</v>
      </c>
      <c r="P29" t="str">
        <f>IF(Tickets[[#This Row],[Resolution Duration Hours]] &lt;= Tickets[[#This Row],[SLA_Target_Hours]], "Yes", "No")</f>
        <v>Yes</v>
      </c>
    </row>
    <row r="30" spans="1:16" hidden="1">
      <c r="A30">
        <v>29</v>
      </c>
      <c r="B30" t="s">
        <v>42</v>
      </c>
      <c r="C30" t="s">
        <v>2012</v>
      </c>
      <c r="D30" t="s">
        <v>3991</v>
      </c>
      <c r="E30" s="1">
        <v>44242</v>
      </c>
      <c r="F30" t="s">
        <v>4002</v>
      </c>
      <c r="G30" t="s">
        <v>4012</v>
      </c>
      <c r="H30" t="s">
        <v>4020</v>
      </c>
      <c r="I30" t="s">
        <v>4021</v>
      </c>
      <c r="J30" t="s">
        <v>4025</v>
      </c>
      <c r="K30" s="2">
        <v>44395</v>
      </c>
      <c r="L30" s="2">
        <v>44397</v>
      </c>
      <c r="N30">
        <v>48</v>
      </c>
      <c r="O30">
        <f>IF(Tickets[[#This Row],[Ticket Priority]]="Critical",24,
IF(Tickets[[#This Row],[Ticket Priority]]="High",48,
IF(Tickets[[#This Row],[Ticket Priority]]="Medium",120,168)))</f>
        <v>48</v>
      </c>
      <c r="P30" t="str">
        <f>IF(Tickets[[#This Row],[Resolution Duration Hours]] &lt;= Tickets[[#This Row],[SLA_Target_Hours]], "Yes", "No")</f>
        <v>Yes</v>
      </c>
    </row>
    <row r="31" spans="1:16" hidden="1">
      <c r="A31">
        <v>30</v>
      </c>
      <c r="B31" t="s">
        <v>43</v>
      </c>
      <c r="C31" t="s">
        <v>2013</v>
      </c>
      <c r="D31" t="s">
        <v>3986</v>
      </c>
      <c r="E31" s="1">
        <v>43921</v>
      </c>
      <c r="F31" t="s">
        <v>4001</v>
      </c>
      <c r="G31" t="s">
        <v>4003</v>
      </c>
      <c r="H31" t="s">
        <v>4018</v>
      </c>
      <c r="I31" t="s">
        <v>4023</v>
      </c>
      <c r="J31" t="s">
        <v>4026</v>
      </c>
      <c r="K31" s="2">
        <v>44230</v>
      </c>
      <c r="L31" s="2">
        <v>44231</v>
      </c>
      <c r="M31">
        <v>4</v>
      </c>
      <c r="N31">
        <v>24</v>
      </c>
      <c r="O31">
        <f>IF(Tickets[[#This Row],[Ticket Priority]]="Critical",24,
IF(Tickets[[#This Row],[Ticket Priority]]="High",48,
IF(Tickets[[#This Row],[Ticket Priority]]="Medium",120,168)))</f>
        <v>120</v>
      </c>
      <c r="P31" t="str">
        <f>IF(Tickets[[#This Row],[Resolution Duration Hours]] &lt;= Tickets[[#This Row],[SLA_Target_Hours]], "Yes", "No")</f>
        <v>Yes</v>
      </c>
    </row>
    <row r="32" spans="1:16" hidden="1">
      <c r="A32">
        <v>31</v>
      </c>
      <c r="B32" t="s">
        <v>44</v>
      </c>
      <c r="C32" t="s">
        <v>2014</v>
      </c>
      <c r="D32" t="s">
        <v>3990</v>
      </c>
      <c r="E32" s="1">
        <v>44075</v>
      </c>
      <c r="F32" t="s">
        <v>4000</v>
      </c>
      <c r="G32" t="s">
        <v>4004</v>
      </c>
      <c r="H32" t="s">
        <v>4018</v>
      </c>
      <c r="I32" t="s">
        <v>4024</v>
      </c>
      <c r="J32" t="s">
        <v>4028</v>
      </c>
      <c r="K32" s="2">
        <v>44097</v>
      </c>
      <c r="L32" s="2">
        <v>44102</v>
      </c>
      <c r="M32">
        <v>3</v>
      </c>
      <c r="N32">
        <v>120</v>
      </c>
      <c r="O32">
        <f>IF(Tickets[[#This Row],[Ticket Priority]]="Critical",24,
IF(Tickets[[#This Row],[Ticket Priority]]="High",48,
IF(Tickets[[#This Row],[Ticket Priority]]="Medium",120,168)))</f>
        <v>168</v>
      </c>
      <c r="P32" t="str">
        <f>IF(Tickets[[#This Row],[Resolution Duration Hours]] &lt;= Tickets[[#This Row],[SLA_Target_Hours]], "Yes", "No")</f>
        <v>Yes</v>
      </c>
    </row>
    <row r="33" spans="1:16" hidden="1">
      <c r="A33">
        <v>32</v>
      </c>
      <c r="B33" t="s">
        <v>45</v>
      </c>
      <c r="C33" t="s">
        <v>2015</v>
      </c>
      <c r="D33" t="s">
        <v>3988</v>
      </c>
      <c r="E33" s="1">
        <v>44458</v>
      </c>
      <c r="F33" t="s">
        <v>3999</v>
      </c>
      <c r="G33" t="s">
        <v>4007</v>
      </c>
      <c r="H33" t="s">
        <v>4018</v>
      </c>
      <c r="I33" t="s">
        <v>4023</v>
      </c>
      <c r="J33" t="s">
        <v>4026</v>
      </c>
      <c r="K33" s="2">
        <v>44811</v>
      </c>
      <c r="L33" s="2">
        <v>44815</v>
      </c>
      <c r="N33">
        <v>96</v>
      </c>
      <c r="O33">
        <f>IF(Tickets[[#This Row],[Ticket Priority]]="Critical",24,
IF(Tickets[[#This Row],[Ticket Priority]]="High",48,
IF(Tickets[[#This Row],[Ticket Priority]]="Medium",120,168)))</f>
        <v>120</v>
      </c>
      <c r="P33" t="str">
        <f>IF(Tickets[[#This Row],[Resolution Duration Hours]] &lt;= Tickets[[#This Row],[SLA_Target_Hours]], "Yes", "No")</f>
        <v>Yes</v>
      </c>
    </row>
    <row r="34" spans="1:16" hidden="1">
      <c r="A34">
        <v>33</v>
      </c>
      <c r="B34" t="s">
        <v>46</v>
      </c>
      <c r="C34" t="s">
        <v>2016</v>
      </c>
      <c r="D34" t="s">
        <v>3994</v>
      </c>
      <c r="E34" s="1">
        <v>44709</v>
      </c>
      <c r="F34" t="s">
        <v>3998</v>
      </c>
      <c r="G34" t="s">
        <v>4015</v>
      </c>
      <c r="H34" t="s">
        <v>4020</v>
      </c>
      <c r="I34" t="s">
        <v>4021</v>
      </c>
      <c r="J34" t="s">
        <v>4026</v>
      </c>
      <c r="K34" s="2">
        <v>44892</v>
      </c>
      <c r="L34" s="2">
        <v>44894</v>
      </c>
      <c r="N34">
        <v>48</v>
      </c>
      <c r="O34">
        <f>IF(Tickets[[#This Row],[Ticket Priority]]="Critical",24,
IF(Tickets[[#This Row],[Ticket Priority]]="High",48,
IF(Tickets[[#This Row],[Ticket Priority]]="Medium",120,168)))</f>
        <v>48</v>
      </c>
      <c r="P34" t="str">
        <f>IF(Tickets[[#This Row],[Resolution Duration Hours]] &lt;= Tickets[[#This Row],[SLA_Target_Hours]], "Yes", "No")</f>
        <v>Yes</v>
      </c>
    </row>
    <row r="35" spans="1:16">
      <c r="A35">
        <v>880</v>
      </c>
      <c r="B35" t="s">
        <v>888</v>
      </c>
      <c r="C35" t="s">
        <v>2862</v>
      </c>
      <c r="D35" t="s">
        <v>3979</v>
      </c>
      <c r="E35" s="1">
        <v>44465</v>
      </c>
      <c r="F35" t="s">
        <v>4002</v>
      </c>
      <c r="G35" t="s">
        <v>4013</v>
      </c>
      <c r="H35" t="s">
        <v>4018</v>
      </c>
      <c r="I35" t="s">
        <v>4024</v>
      </c>
      <c r="J35" t="s">
        <v>4026</v>
      </c>
      <c r="K35" s="2">
        <v>44557</v>
      </c>
      <c r="L35" s="2">
        <v>44610</v>
      </c>
      <c r="M35">
        <v>5</v>
      </c>
      <c r="N35">
        <v>1272</v>
      </c>
      <c r="O35">
        <f>IF(Tickets[[#This Row],[Ticket Priority]]="Critical",24,
IF(Tickets[[#This Row],[Ticket Priority]]="High",48,
IF(Tickets[[#This Row],[Ticket Priority]]="Medium",120,168)))</f>
        <v>168</v>
      </c>
      <c r="P35" t="str">
        <f>IF(Tickets[[#This Row],[Resolution Duration Hours]] &lt;= Tickets[[#This Row],[SLA_Target_Hours]], "Yes", "No")</f>
        <v>No</v>
      </c>
    </row>
    <row r="36" spans="1:16" hidden="1">
      <c r="A36">
        <v>35</v>
      </c>
      <c r="B36" t="s">
        <v>48</v>
      </c>
      <c r="C36" t="s">
        <v>2018</v>
      </c>
      <c r="D36" t="s">
        <v>3995</v>
      </c>
      <c r="E36" s="1">
        <v>43986</v>
      </c>
      <c r="F36" t="s">
        <v>4000</v>
      </c>
      <c r="G36" t="s">
        <v>4005</v>
      </c>
      <c r="H36" t="s">
        <v>4018</v>
      </c>
      <c r="I36" t="s">
        <v>4024</v>
      </c>
      <c r="J36" t="s">
        <v>4027</v>
      </c>
      <c r="K36" s="2">
        <v>44328</v>
      </c>
      <c r="L36" s="2">
        <v>44332</v>
      </c>
      <c r="M36">
        <v>4</v>
      </c>
      <c r="N36">
        <v>96</v>
      </c>
      <c r="O36">
        <f>IF(Tickets[[#This Row],[Ticket Priority]]="Critical",24,
IF(Tickets[[#This Row],[Ticket Priority]]="High",48,
IF(Tickets[[#This Row],[Ticket Priority]]="Medium",120,168)))</f>
        <v>168</v>
      </c>
      <c r="P36" t="str">
        <f>IF(Tickets[[#This Row],[Resolution Duration Hours]] &lt;= Tickets[[#This Row],[SLA_Target_Hours]], "Yes", "No")</f>
        <v>Yes</v>
      </c>
    </row>
    <row r="37" spans="1:16" hidden="1">
      <c r="A37">
        <v>36</v>
      </c>
      <c r="B37" t="s">
        <v>49</v>
      </c>
      <c r="C37" t="s">
        <v>2019</v>
      </c>
      <c r="D37" t="s">
        <v>3984</v>
      </c>
      <c r="E37" s="1">
        <v>44076</v>
      </c>
      <c r="F37" t="s">
        <v>3999</v>
      </c>
      <c r="G37" t="s">
        <v>4012</v>
      </c>
      <c r="H37" t="s">
        <v>4017</v>
      </c>
      <c r="I37" t="s">
        <v>4024</v>
      </c>
      <c r="J37" t="s">
        <v>4026</v>
      </c>
      <c r="K37" s="2">
        <v>44255</v>
      </c>
      <c r="L37" s="2">
        <v>44262</v>
      </c>
      <c r="N37">
        <v>168</v>
      </c>
      <c r="O37">
        <f>IF(Tickets[[#This Row],[Ticket Priority]]="Critical",24,
IF(Tickets[[#This Row],[Ticket Priority]]="High",48,
IF(Tickets[[#This Row],[Ticket Priority]]="Medium",120,168)))</f>
        <v>168</v>
      </c>
      <c r="P37" t="str">
        <f>IF(Tickets[[#This Row],[Resolution Duration Hours]] &lt;= Tickets[[#This Row],[SLA_Target_Hours]], "Yes", "No")</f>
        <v>Yes</v>
      </c>
    </row>
    <row r="38" spans="1:16" hidden="1">
      <c r="A38">
        <v>37</v>
      </c>
      <c r="B38" t="s">
        <v>50</v>
      </c>
      <c r="C38" t="s">
        <v>2020</v>
      </c>
      <c r="D38" t="s">
        <v>3988</v>
      </c>
      <c r="E38" s="1">
        <v>43991</v>
      </c>
      <c r="F38" t="s">
        <v>3999</v>
      </c>
      <c r="G38" t="s">
        <v>4014</v>
      </c>
      <c r="H38" t="s">
        <v>4018</v>
      </c>
      <c r="I38" t="s">
        <v>4023</v>
      </c>
      <c r="J38" t="s">
        <v>4026</v>
      </c>
      <c r="K38" s="2">
        <v>44133</v>
      </c>
      <c r="L38" s="2">
        <v>44138</v>
      </c>
      <c r="M38">
        <v>4</v>
      </c>
      <c r="N38">
        <v>120</v>
      </c>
      <c r="O38">
        <f>IF(Tickets[[#This Row],[Ticket Priority]]="Critical",24,
IF(Tickets[[#This Row],[Ticket Priority]]="High",48,
IF(Tickets[[#This Row],[Ticket Priority]]="Medium",120,168)))</f>
        <v>120</v>
      </c>
      <c r="P38" t="str">
        <f>IF(Tickets[[#This Row],[Resolution Duration Hours]] &lt;= Tickets[[#This Row],[SLA_Target_Hours]], "Yes", "No")</f>
        <v>Yes</v>
      </c>
    </row>
    <row r="39" spans="1:16" hidden="1">
      <c r="A39">
        <v>38</v>
      </c>
      <c r="B39" t="s">
        <v>51</v>
      </c>
      <c r="C39" t="s">
        <v>2021</v>
      </c>
      <c r="D39" t="s">
        <v>3990</v>
      </c>
      <c r="E39" s="1">
        <v>44770</v>
      </c>
      <c r="F39" t="s">
        <v>4000</v>
      </c>
      <c r="G39" t="s">
        <v>4006</v>
      </c>
      <c r="H39" t="s">
        <v>4018</v>
      </c>
      <c r="I39" t="s">
        <v>4023</v>
      </c>
      <c r="J39" t="s">
        <v>4028</v>
      </c>
      <c r="K39" s="2">
        <v>44789</v>
      </c>
      <c r="L39" s="2">
        <v>44792</v>
      </c>
      <c r="M39">
        <v>3</v>
      </c>
      <c r="N39">
        <v>72</v>
      </c>
      <c r="O39">
        <f>IF(Tickets[[#This Row],[Ticket Priority]]="Critical",24,
IF(Tickets[[#This Row],[Ticket Priority]]="High",48,
IF(Tickets[[#This Row],[Ticket Priority]]="Medium",120,168)))</f>
        <v>120</v>
      </c>
      <c r="P39" t="str">
        <f>IF(Tickets[[#This Row],[Resolution Duration Hours]] &lt;= Tickets[[#This Row],[SLA_Target_Hours]], "Yes", "No")</f>
        <v>Yes</v>
      </c>
    </row>
    <row r="40" spans="1:16" hidden="1">
      <c r="A40">
        <v>39</v>
      </c>
      <c r="B40" t="s">
        <v>52</v>
      </c>
      <c r="C40" t="s">
        <v>2022</v>
      </c>
      <c r="D40" t="s">
        <v>3990</v>
      </c>
      <c r="E40" s="1">
        <v>44816</v>
      </c>
      <c r="F40" t="s">
        <v>4002</v>
      </c>
      <c r="G40" t="s">
        <v>4007</v>
      </c>
      <c r="H40" t="s">
        <v>4018</v>
      </c>
      <c r="I40" t="s">
        <v>4022</v>
      </c>
      <c r="J40" t="s">
        <v>4025</v>
      </c>
      <c r="K40" s="2">
        <v>44838</v>
      </c>
      <c r="L40" s="2">
        <v>44838</v>
      </c>
      <c r="M40">
        <v>5</v>
      </c>
      <c r="N40">
        <v>0</v>
      </c>
      <c r="O40">
        <f>IF(Tickets[[#This Row],[Ticket Priority]]="Critical",24,
IF(Tickets[[#This Row],[Ticket Priority]]="High",48,
IF(Tickets[[#This Row],[Ticket Priority]]="Medium",120,168)))</f>
        <v>24</v>
      </c>
      <c r="P40" t="str">
        <f>IF(Tickets[[#This Row],[Resolution Duration Hours]] &lt;= Tickets[[#This Row],[SLA_Target_Hours]], "Yes", "No")</f>
        <v>Yes</v>
      </c>
    </row>
    <row r="41" spans="1:16">
      <c r="A41">
        <v>895</v>
      </c>
      <c r="B41" t="s">
        <v>903</v>
      </c>
      <c r="C41" t="s">
        <v>2877</v>
      </c>
      <c r="D41" t="s">
        <v>3986</v>
      </c>
      <c r="E41" s="1">
        <v>44853</v>
      </c>
      <c r="F41" t="s">
        <v>4000</v>
      </c>
      <c r="G41" t="s">
        <v>4004</v>
      </c>
      <c r="H41" t="s">
        <v>4019</v>
      </c>
      <c r="I41" t="s">
        <v>4024</v>
      </c>
      <c r="J41" t="s">
        <v>4026</v>
      </c>
      <c r="K41" s="2">
        <v>45136</v>
      </c>
      <c r="L41" s="2">
        <v>45178</v>
      </c>
      <c r="M41">
        <v>4</v>
      </c>
      <c r="N41">
        <v>1008</v>
      </c>
      <c r="O41">
        <f>IF(Tickets[[#This Row],[Ticket Priority]]="Critical",24,
IF(Tickets[[#This Row],[Ticket Priority]]="High",48,
IF(Tickets[[#This Row],[Ticket Priority]]="Medium",120,168)))</f>
        <v>168</v>
      </c>
      <c r="P41" t="str">
        <f>IF(Tickets[[#This Row],[Resolution Duration Hours]] &lt;= Tickets[[#This Row],[SLA_Target_Hours]], "Yes", "No")</f>
        <v>No</v>
      </c>
    </row>
    <row r="42" spans="1:16">
      <c r="A42">
        <v>904</v>
      </c>
      <c r="B42" t="s">
        <v>912</v>
      </c>
      <c r="C42" t="s">
        <v>2886</v>
      </c>
      <c r="D42" t="s">
        <v>3984</v>
      </c>
      <c r="E42" s="1">
        <v>44686</v>
      </c>
      <c r="F42" t="s">
        <v>4002</v>
      </c>
      <c r="G42" t="s">
        <v>4000</v>
      </c>
      <c r="H42" t="s">
        <v>4017</v>
      </c>
      <c r="I42" t="s">
        <v>4024</v>
      </c>
      <c r="J42" t="s">
        <v>4026</v>
      </c>
      <c r="K42" s="2">
        <v>44768</v>
      </c>
      <c r="L42" s="2">
        <v>44806</v>
      </c>
      <c r="N42">
        <v>912</v>
      </c>
      <c r="O42">
        <f>IF(Tickets[[#This Row],[Ticket Priority]]="Critical",24,
IF(Tickets[[#This Row],[Ticket Priority]]="High",48,
IF(Tickets[[#This Row],[Ticket Priority]]="Medium",120,168)))</f>
        <v>168</v>
      </c>
      <c r="P42" t="str">
        <f>IF(Tickets[[#This Row],[Resolution Duration Hours]] &lt;= Tickets[[#This Row],[SLA_Target_Hours]], "Yes", "No")</f>
        <v>No</v>
      </c>
    </row>
    <row r="43" spans="1:16" hidden="1">
      <c r="A43">
        <v>42</v>
      </c>
      <c r="B43" t="s">
        <v>55</v>
      </c>
      <c r="C43" t="s">
        <v>2025</v>
      </c>
      <c r="D43" t="s">
        <v>3986</v>
      </c>
      <c r="E43" s="1">
        <v>45067</v>
      </c>
      <c r="F43" t="s">
        <v>4000</v>
      </c>
      <c r="G43" t="s">
        <v>4008</v>
      </c>
      <c r="H43" t="s">
        <v>4018</v>
      </c>
      <c r="I43" t="s">
        <v>4023</v>
      </c>
      <c r="J43" t="s">
        <v>4026</v>
      </c>
      <c r="K43" s="2">
        <v>45174</v>
      </c>
      <c r="L43" s="2">
        <v>45176</v>
      </c>
      <c r="N43">
        <v>48</v>
      </c>
      <c r="O43">
        <f>IF(Tickets[[#This Row],[Ticket Priority]]="Critical",24,
IF(Tickets[[#This Row],[Ticket Priority]]="High",48,
IF(Tickets[[#This Row],[Ticket Priority]]="Medium",120,168)))</f>
        <v>120</v>
      </c>
      <c r="P43" t="str">
        <f>IF(Tickets[[#This Row],[Resolution Duration Hours]] &lt;= Tickets[[#This Row],[SLA_Target_Hours]], "Yes", "No")</f>
        <v>Yes</v>
      </c>
    </row>
    <row r="44" spans="1:16" hidden="1">
      <c r="A44">
        <v>43</v>
      </c>
      <c r="B44" t="s">
        <v>56</v>
      </c>
      <c r="C44" t="s">
        <v>2026</v>
      </c>
      <c r="D44" t="s">
        <v>3982</v>
      </c>
      <c r="E44" s="1">
        <v>44462</v>
      </c>
      <c r="F44" t="s">
        <v>3999</v>
      </c>
      <c r="G44" t="s">
        <v>4005</v>
      </c>
      <c r="H44" t="s">
        <v>4020</v>
      </c>
      <c r="I44" t="s">
        <v>4023</v>
      </c>
      <c r="J44" t="s">
        <v>4025</v>
      </c>
      <c r="K44" s="2">
        <v>44799</v>
      </c>
      <c r="L44" s="2">
        <v>44803</v>
      </c>
      <c r="N44">
        <v>96</v>
      </c>
      <c r="O44">
        <f>IF(Tickets[[#This Row],[Ticket Priority]]="Critical",24,
IF(Tickets[[#This Row],[Ticket Priority]]="High",48,
IF(Tickets[[#This Row],[Ticket Priority]]="Medium",120,168)))</f>
        <v>120</v>
      </c>
      <c r="P44" t="str">
        <f>IF(Tickets[[#This Row],[Resolution Duration Hours]] &lt;= Tickets[[#This Row],[SLA_Target_Hours]], "Yes", "No")</f>
        <v>Yes</v>
      </c>
    </row>
    <row r="45" spans="1:16">
      <c r="A45">
        <v>198</v>
      </c>
      <c r="B45" t="s">
        <v>211</v>
      </c>
      <c r="C45" t="s">
        <v>2181</v>
      </c>
      <c r="D45" t="s">
        <v>3990</v>
      </c>
      <c r="E45" s="1">
        <v>45072</v>
      </c>
      <c r="F45" t="s">
        <v>3999</v>
      </c>
      <c r="G45" t="s">
        <v>4014</v>
      </c>
      <c r="H45" t="s">
        <v>4018</v>
      </c>
      <c r="I45" t="s">
        <v>4024</v>
      </c>
      <c r="J45" t="s">
        <v>4026</v>
      </c>
      <c r="K45" s="2">
        <v>45240</v>
      </c>
      <c r="L45" s="2">
        <v>45276</v>
      </c>
      <c r="M45">
        <v>4</v>
      </c>
      <c r="N45">
        <v>864</v>
      </c>
      <c r="O45">
        <f>IF(Tickets[[#This Row],[Ticket Priority]]="Critical",24,
IF(Tickets[[#This Row],[Ticket Priority]]="High",48,
IF(Tickets[[#This Row],[Ticket Priority]]="Medium",120,168)))</f>
        <v>168</v>
      </c>
      <c r="P45" t="str">
        <f>IF(Tickets[[#This Row],[Resolution Duration Hours]] &lt;= Tickets[[#This Row],[SLA_Target_Hours]], "Yes", "No")</f>
        <v>No</v>
      </c>
    </row>
    <row r="46" spans="1:16">
      <c r="A46">
        <v>582</v>
      </c>
      <c r="B46" t="s">
        <v>592</v>
      </c>
      <c r="C46" t="s">
        <v>2565</v>
      </c>
      <c r="D46" t="s">
        <v>3985</v>
      </c>
      <c r="E46" s="1">
        <v>44238</v>
      </c>
      <c r="F46" t="s">
        <v>4001</v>
      </c>
      <c r="G46" t="s">
        <v>4004</v>
      </c>
      <c r="H46" t="s">
        <v>4018</v>
      </c>
      <c r="I46" t="s">
        <v>4023</v>
      </c>
      <c r="J46" t="s">
        <v>4025</v>
      </c>
      <c r="K46" s="2">
        <v>44596</v>
      </c>
      <c r="L46" s="2">
        <v>44625</v>
      </c>
      <c r="M46">
        <v>3</v>
      </c>
      <c r="N46">
        <v>696</v>
      </c>
      <c r="O46">
        <f>IF(Tickets[[#This Row],[Ticket Priority]]="Critical",24,
IF(Tickets[[#This Row],[Ticket Priority]]="High",48,
IF(Tickets[[#This Row],[Ticket Priority]]="Medium",120,168)))</f>
        <v>120</v>
      </c>
      <c r="P46" t="str">
        <f>IF(Tickets[[#This Row],[Resolution Duration Hours]] &lt;= Tickets[[#This Row],[SLA_Target_Hours]], "Yes", "No")</f>
        <v>No</v>
      </c>
    </row>
    <row r="47" spans="1:16" hidden="1">
      <c r="A47">
        <v>46</v>
      </c>
      <c r="B47" t="s">
        <v>59</v>
      </c>
      <c r="C47" t="s">
        <v>2029</v>
      </c>
      <c r="D47" t="s">
        <v>3982</v>
      </c>
      <c r="E47" s="1">
        <v>44374</v>
      </c>
      <c r="F47" t="s">
        <v>3998</v>
      </c>
      <c r="G47" t="s">
        <v>4004</v>
      </c>
      <c r="H47" t="s">
        <v>4018</v>
      </c>
      <c r="I47" t="s">
        <v>4022</v>
      </c>
      <c r="J47" t="s">
        <v>4025</v>
      </c>
      <c r="K47" s="2">
        <v>44730</v>
      </c>
      <c r="L47" s="2">
        <v>44730</v>
      </c>
      <c r="M47">
        <v>5</v>
      </c>
      <c r="N47">
        <v>0</v>
      </c>
      <c r="O47">
        <f>IF(Tickets[[#This Row],[Ticket Priority]]="Critical",24,
IF(Tickets[[#This Row],[Ticket Priority]]="High",48,
IF(Tickets[[#This Row],[Ticket Priority]]="Medium",120,168)))</f>
        <v>24</v>
      </c>
      <c r="P47" t="str">
        <f>IF(Tickets[[#This Row],[Resolution Duration Hours]] &lt;= Tickets[[#This Row],[SLA_Target_Hours]], "Yes", "No")</f>
        <v>Yes</v>
      </c>
    </row>
    <row r="48" spans="1:16" hidden="1">
      <c r="A48">
        <v>47</v>
      </c>
      <c r="B48" t="s">
        <v>60</v>
      </c>
      <c r="C48" t="s">
        <v>2030</v>
      </c>
      <c r="D48" t="s">
        <v>3984</v>
      </c>
      <c r="E48" s="1">
        <v>43938</v>
      </c>
      <c r="F48" t="s">
        <v>4000</v>
      </c>
      <c r="G48" t="s">
        <v>4011</v>
      </c>
      <c r="H48" t="s">
        <v>4018</v>
      </c>
      <c r="I48" t="s">
        <v>4024</v>
      </c>
      <c r="J48" t="s">
        <v>4026</v>
      </c>
      <c r="K48" s="2">
        <v>44251</v>
      </c>
      <c r="L48" s="2">
        <v>44258</v>
      </c>
      <c r="M48">
        <v>4</v>
      </c>
      <c r="N48">
        <v>168</v>
      </c>
      <c r="O48">
        <f>IF(Tickets[[#This Row],[Ticket Priority]]="Critical",24,
IF(Tickets[[#This Row],[Ticket Priority]]="High",48,
IF(Tickets[[#This Row],[Ticket Priority]]="Medium",120,168)))</f>
        <v>168</v>
      </c>
      <c r="P48" t="str">
        <f>IF(Tickets[[#This Row],[Resolution Duration Hours]] &lt;= Tickets[[#This Row],[SLA_Target_Hours]], "Yes", "No")</f>
        <v>Yes</v>
      </c>
    </row>
    <row r="49" spans="1:16" hidden="1">
      <c r="A49">
        <v>48</v>
      </c>
      <c r="B49" t="s">
        <v>61</v>
      </c>
      <c r="C49" t="s">
        <v>2031</v>
      </c>
      <c r="D49" t="s">
        <v>3993</v>
      </c>
      <c r="E49" s="1">
        <v>43873</v>
      </c>
      <c r="F49" t="s">
        <v>4002</v>
      </c>
      <c r="G49" t="s">
        <v>4012</v>
      </c>
      <c r="H49" t="s">
        <v>4018</v>
      </c>
      <c r="I49" t="s">
        <v>4024</v>
      </c>
      <c r="J49" t="s">
        <v>4025</v>
      </c>
      <c r="K49" s="2">
        <v>44199</v>
      </c>
      <c r="L49" s="2">
        <v>44206</v>
      </c>
      <c r="M49">
        <v>2</v>
      </c>
      <c r="N49">
        <v>168</v>
      </c>
      <c r="O49">
        <f>IF(Tickets[[#This Row],[Ticket Priority]]="Critical",24,
IF(Tickets[[#This Row],[Ticket Priority]]="High",48,
IF(Tickets[[#This Row],[Ticket Priority]]="Medium",120,168)))</f>
        <v>168</v>
      </c>
      <c r="P49" t="str">
        <f>IF(Tickets[[#This Row],[Resolution Duration Hours]] &lt;= Tickets[[#This Row],[SLA_Target_Hours]], "Yes", "No")</f>
        <v>Yes</v>
      </c>
    </row>
    <row r="50" spans="1:16" hidden="1">
      <c r="A50">
        <v>49</v>
      </c>
      <c r="B50" t="s">
        <v>62</v>
      </c>
      <c r="C50" t="s">
        <v>2032</v>
      </c>
      <c r="D50" t="s">
        <v>3991</v>
      </c>
      <c r="E50" s="1">
        <v>44962</v>
      </c>
      <c r="F50" t="s">
        <v>3998</v>
      </c>
      <c r="G50" t="s">
        <v>4011</v>
      </c>
      <c r="H50" t="s">
        <v>4018</v>
      </c>
      <c r="I50" t="s">
        <v>4021</v>
      </c>
      <c r="J50" t="s">
        <v>4026</v>
      </c>
      <c r="K50" s="2">
        <v>45003</v>
      </c>
      <c r="L50" s="2">
        <v>45004</v>
      </c>
      <c r="M50">
        <v>4</v>
      </c>
      <c r="N50">
        <v>24</v>
      </c>
      <c r="O50">
        <f>IF(Tickets[[#This Row],[Ticket Priority]]="Critical",24,
IF(Tickets[[#This Row],[Ticket Priority]]="High",48,
IF(Tickets[[#This Row],[Ticket Priority]]="Medium",120,168)))</f>
        <v>48</v>
      </c>
      <c r="P50" t="str">
        <f>IF(Tickets[[#This Row],[Resolution Duration Hours]] &lt;= Tickets[[#This Row],[SLA_Target_Hours]], "Yes", "No")</f>
        <v>Yes</v>
      </c>
    </row>
    <row r="51" spans="1:16">
      <c r="A51">
        <v>1124</v>
      </c>
      <c r="B51" t="s">
        <v>1129</v>
      </c>
      <c r="C51" t="s">
        <v>3104</v>
      </c>
      <c r="D51" t="s">
        <v>3997</v>
      </c>
      <c r="E51" s="1">
        <v>43984</v>
      </c>
      <c r="F51" t="s">
        <v>4000</v>
      </c>
      <c r="G51" t="s">
        <v>4005</v>
      </c>
      <c r="H51" t="s">
        <v>4018</v>
      </c>
      <c r="I51" t="s">
        <v>4023</v>
      </c>
      <c r="J51" t="s">
        <v>4025</v>
      </c>
      <c r="K51" s="2">
        <v>44344</v>
      </c>
      <c r="L51" s="2">
        <v>44366</v>
      </c>
      <c r="M51">
        <v>5</v>
      </c>
      <c r="N51">
        <v>528</v>
      </c>
      <c r="O51">
        <f>IF(Tickets[[#This Row],[Ticket Priority]]="Critical",24,
IF(Tickets[[#This Row],[Ticket Priority]]="High",48,
IF(Tickets[[#This Row],[Ticket Priority]]="Medium",120,168)))</f>
        <v>120</v>
      </c>
      <c r="P51" t="str">
        <f>IF(Tickets[[#This Row],[Resolution Duration Hours]] &lt;= Tickets[[#This Row],[SLA_Target_Hours]], "Yes", "No")</f>
        <v>No</v>
      </c>
    </row>
    <row r="52" spans="1:16" hidden="1">
      <c r="A52">
        <v>51</v>
      </c>
      <c r="B52" t="s">
        <v>64</v>
      </c>
      <c r="C52" t="s">
        <v>2034</v>
      </c>
      <c r="D52" t="s">
        <v>3992</v>
      </c>
      <c r="E52" s="1">
        <v>44343</v>
      </c>
      <c r="F52" t="s">
        <v>3998</v>
      </c>
      <c r="G52" t="s">
        <v>4008</v>
      </c>
      <c r="H52" t="s">
        <v>4020</v>
      </c>
      <c r="I52" t="s">
        <v>4023</v>
      </c>
      <c r="J52" t="s">
        <v>4028</v>
      </c>
      <c r="K52" s="2">
        <v>44346</v>
      </c>
      <c r="L52" s="2">
        <v>44349</v>
      </c>
      <c r="N52">
        <v>72</v>
      </c>
      <c r="O52">
        <f>IF(Tickets[[#This Row],[Ticket Priority]]="Critical",24,
IF(Tickets[[#This Row],[Ticket Priority]]="High",48,
IF(Tickets[[#This Row],[Ticket Priority]]="Medium",120,168)))</f>
        <v>120</v>
      </c>
      <c r="P52" t="str">
        <f>IF(Tickets[[#This Row],[Resolution Duration Hours]] &lt;= Tickets[[#This Row],[SLA_Target_Hours]], "Yes", "No")</f>
        <v>Yes</v>
      </c>
    </row>
    <row r="53" spans="1:16" hidden="1">
      <c r="A53">
        <v>52</v>
      </c>
      <c r="B53" t="s">
        <v>65</v>
      </c>
      <c r="C53" t="s">
        <v>2035</v>
      </c>
      <c r="D53" t="s">
        <v>3993</v>
      </c>
      <c r="E53" s="1">
        <v>44914</v>
      </c>
      <c r="F53" t="s">
        <v>4002</v>
      </c>
      <c r="G53" t="s">
        <v>4016</v>
      </c>
      <c r="H53" t="s">
        <v>4018</v>
      </c>
      <c r="I53" t="s">
        <v>4023</v>
      </c>
      <c r="J53" t="s">
        <v>4026</v>
      </c>
      <c r="K53" s="2">
        <v>45163</v>
      </c>
      <c r="L53" s="2">
        <v>45165</v>
      </c>
      <c r="M53">
        <v>4</v>
      </c>
      <c r="N53">
        <v>48</v>
      </c>
      <c r="O53">
        <f>IF(Tickets[[#This Row],[Ticket Priority]]="Critical",24,
IF(Tickets[[#This Row],[Ticket Priority]]="High",48,
IF(Tickets[[#This Row],[Ticket Priority]]="Medium",120,168)))</f>
        <v>120</v>
      </c>
      <c r="P53" t="str">
        <f>IF(Tickets[[#This Row],[Resolution Duration Hours]] &lt;= Tickets[[#This Row],[SLA_Target_Hours]], "Yes", "No")</f>
        <v>Yes</v>
      </c>
    </row>
    <row r="54" spans="1:16">
      <c r="A54">
        <v>1499</v>
      </c>
      <c r="B54" t="s">
        <v>1498</v>
      </c>
      <c r="C54" t="s">
        <v>3479</v>
      </c>
      <c r="D54" t="s">
        <v>3991</v>
      </c>
      <c r="E54" s="1">
        <v>44246</v>
      </c>
      <c r="F54" t="s">
        <v>4000</v>
      </c>
      <c r="G54" t="s">
        <v>4010</v>
      </c>
      <c r="H54" t="s">
        <v>4017</v>
      </c>
      <c r="I54" t="s">
        <v>4024</v>
      </c>
      <c r="J54" t="s">
        <v>4028</v>
      </c>
      <c r="K54" s="2">
        <v>44414</v>
      </c>
      <c r="L54" s="2">
        <v>44436</v>
      </c>
      <c r="N54">
        <v>528</v>
      </c>
      <c r="O54">
        <f>IF(Tickets[[#This Row],[Ticket Priority]]="Critical",24,
IF(Tickets[[#This Row],[Ticket Priority]]="High",48,
IF(Tickets[[#This Row],[Ticket Priority]]="Medium",120,168)))</f>
        <v>168</v>
      </c>
      <c r="P54" t="str">
        <f>IF(Tickets[[#This Row],[Resolution Duration Hours]] &lt;= Tickets[[#This Row],[SLA_Target_Hours]], "Yes", "No")</f>
        <v>No</v>
      </c>
    </row>
    <row r="55" spans="1:16" hidden="1">
      <c r="A55">
        <v>54</v>
      </c>
      <c r="B55" t="s">
        <v>67</v>
      </c>
      <c r="C55" t="s">
        <v>2037</v>
      </c>
      <c r="D55" t="s">
        <v>3996</v>
      </c>
      <c r="E55" s="1">
        <v>44331</v>
      </c>
      <c r="F55" t="s">
        <v>3999</v>
      </c>
      <c r="G55" t="s">
        <v>4016</v>
      </c>
      <c r="H55" t="s">
        <v>4020</v>
      </c>
      <c r="I55" t="s">
        <v>4023</v>
      </c>
      <c r="J55" t="s">
        <v>4025</v>
      </c>
      <c r="K55" s="2">
        <v>44498</v>
      </c>
      <c r="L55" s="2">
        <v>44501</v>
      </c>
      <c r="N55">
        <v>72</v>
      </c>
      <c r="O55">
        <f>IF(Tickets[[#This Row],[Ticket Priority]]="Critical",24,
IF(Tickets[[#This Row],[Ticket Priority]]="High",48,
IF(Tickets[[#This Row],[Ticket Priority]]="Medium",120,168)))</f>
        <v>120</v>
      </c>
      <c r="P55" t="str">
        <f>IF(Tickets[[#This Row],[Resolution Duration Hours]] &lt;= Tickets[[#This Row],[SLA_Target_Hours]], "Yes", "No")</f>
        <v>Yes</v>
      </c>
    </row>
    <row r="56" spans="1:16" hidden="1">
      <c r="A56">
        <v>55</v>
      </c>
      <c r="B56" t="s">
        <v>68</v>
      </c>
      <c r="C56" t="s">
        <v>2038</v>
      </c>
      <c r="D56" t="s">
        <v>3988</v>
      </c>
      <c r="E56" s="1">
        <v>44094</v>
      </c>
      <c r="F56" t="s">
        <v>4001</v>
      </c>
      <c r="G56" t="s">
        <v>4008</v>
      </c>
      <c r="H56" t="s">
        <v>4018</v>
      </c>
      <c r="I56" t="s">
        <v>4023</v>
      </c>
      <c r="J56" t="s">
        <v>4025</v>
      </c>
      <c r="K56" s="2">
        <v>44334</v>
      </c>
      <c r="L56" s="2">
        <v>44338</v>
      </c>
      <c r="M56">
        <v>4</v>
      </c>
      <c r="N56">
        <v>96</v>
      </c>
      <c r="O56">
        <f>IF(Tickets[[#This Row],[Ticket Priority]]="Critical",24,
IF(Tickets[[#This Row],[Ticket Priority]]="High",48,
IF(Tickets[[#This Row],[Ticket Priority]]="Medium",120,168)))</f>
        <v>120</v>
      </c>
      <c r="P56" t="str">
        <f>IF(Tickets[[#This Row],[Resolution Duration Hours]] &lt;= Tickets[[#This Row],[SLA_Target_Hours]], "Yes", "No")</f>
        <v>Yes</v>
      </c>
    </row>
    <row r="57" spans="1:16" hidden="1">
      <c r="A57">
        <v>56</v>
      </c>
      <c r="B57" t="s">
        <v>69</v>
      </c>
      <c r="C57" t="s">
        <v>2039</v>
      </c>
      <c r="D57" t="s">
        <v>3993</v>
      </c>
      <c r="E57" s="1">
        <v>44140</v>
      </c>
      <c r="F57" t="s">
        <v>4000</v>
      </c>
      <c r="G57" t="s">
        <v>4015</v>
      </c>
      <c r="H57" t="s">
        <v>4018</v>
      </c>
      <c r="I57" t="s">
        <v>4023</v>
      </c>
      <c r="J57" t="s">
        <v>4027</v>
      </c>
      <c r="K57" s="2">
        <v>44242</v>
      </c>
      <c r="L57" s="2">
        <v>44247</v>
      </c>
      <c r="M57">
        <v>3</v>
      </c>
      <c r="N57">
        <v>120</v>
      </c>
      <c r="O57">
        <f>IF(Tickets[[#This Row],[Ticket Priority]]="Critical",24,
IF(Tickets[[#This Row],[Ticket Priority]]="High",48,
IF(Tickets[[#This Row],[Ticket Priority]]="Medium",120,168)))</f>
        <v>120</v>
      </c>
      <c r="P57" t="str">
        <f>IF(Tickets[[#This Row],[Resolution Duration Hours]] &lt;= Tickets[[#This Row],[SLA_Target_Hours]], "Yes", "No")</f>
        <v>Yes</v>
      </c>
    </row>
    <row r="58" spans="1:16" hidden="1">
      <c r="A58">
        <v>57</v>
      </c>
      <c r="B58" t="s">
        <v>70</v>
      </c>
      <c r="C58" t="s">
        <v>2040</v>
      </c>
      <c r="D58" t="s">
        <v>3981</v>
      </c>
      <c r="E58" s="1">
        <v>44133</v>
      </c>
      <c r="F58" t="s">
        <v>3998</v>
      </c>
      <c r="G58" t="s">
        <v>4010</v>
      </c>
      <c r="H58" t="s">
        <v>4018</v>
      </c>
      <c r="I58" t="s">
        <v>4024</v>
      </c>
      <c r="J58" t="s">
        <v>4026</v>
      </c>
      <c r="K58" s="2">
        <v>44218</v>
      </c>
      <c r="L58" s="2">
        <v>44224</v>
      </c>
      <c r="N58">
        <v>144</v>
      </c>
      <c r="O58">
        <f>IF(Tickets[[#This Row],[Ticket Priority]]="Critical",24,
IF(Tickets[[#This Row],[Ticket Priority]]="High",48,
IF(Tickets[[#This Row],[Ticket Priority]]="Medium",120,168)))</f>
        <v>168</v>
      </c>
      <c r="P58" t="str">
        <f>IF(Tickets[[#This Row],[Resolution Duration Hours]] &lt;= Tickets[[#This Row],[SLA_Target_Hours]], "Yes", "No")</f>
        <v>Yes</v>
      </c>
    </row>
    <row r="59" spans="1:16" hidden="1">
      <c r="A59">
        <v>58</v>
      </c>
      <c r="B59" t="s">
        <v>71</v>
      </c>
      <c r="C59" t="s">
        <v>2041</v>
      </c>
      <c r="D59" t="s">
        <v>3980</v>
      </c>
      <c r="E59" s="1">
        <v>45040</v>
      </c>
      <c r="F59" t="s">
        <v>4002</v>
      </c>
      <c r="G59" t="s">
        <v>4003</v>
      </c>
      <c r="H59" t="s">
        <v>4018</v>
      </c>
      <c r="I59" t="s">
        <v>4023</v>
      </c>
      <c r="J59" t="s">
        <v>4025</v>
      </c>
      <c r="K59" s="2">
        <v>45386</v>
      </c>
      <c r="L59" s="2">
        <v>45389</v>
      </c>
      <c r="M59">
        <v>3</v>
      </c>
      <c r="N59">
        <v>72</v>
      </c>
      <c r="O59">
        <f>IF(Tickets[[#This Row],[Ticket Priority]]="Critical",24,
IF(Tickets[[#This Row],[Ticket Priority]]="High",48,
IF(Tickets[[#This Row],[Ticket Priority]]="Medium",120,168)))</f>
        <v>120</v>
      </c>
      <c r="P59" t="str">
        <f>IF(Tickets[[#This Row],[Resolution Duration Hours]] &lt;= Tickets[[#This Row],[SLA_Target_Hours]], "Yes", "No")</f>
        <v>Yes</v>
      </c>
    </row>
    <row r="60" spans="1:16" hidden="1">
      <c r="A60">
        <v>59</v>
      </c>
      <c r="B60" t="s">
        <v>72</v>
      </c>
      <c r="C60" t="s">
        <v>2042</v>
      </c>
      <c r="D60" t="s">
        <v>3986</v>
      </c>
      <c r="E60" s="1">
        <v>44540</v>
      </c>
      <c r="F60" t="s">
        <v>3999</v>
      </c>
      <c r="G60" t="s">
        <v>4003</v>
      </c>
      <c r="H60" t="s">
        <v>4018</v>
      </c>
      <c r="I60" t="s">
        <v>4021</v>
      </c>
      <c r="J60" t="s">
        <v>4026</v>
      </c>
      <c r="K60" s="2">
        <v>44890</v>
      </c>
      <c r="L60" s="2">
        <v>44892</v>
      </c>
      <c r="M60">
        <v>4</v>
      </c>
      <c r="N60">
        <v>48</v>
      </c>
      <c r="O60">
        <f>IF(Tickets[[#This Row],[Ticket Priority]]="Critical",24,
IF(Tickets[[#This Row],[Ticket Priority]]="High",48,
IF(Tickets[[#This Row],[Ticket Priority]]="Medium",120,168)))</f>
        <v>48</v>
      </c>
      <c r="P60" t="str">
        <f>IF(Tickets[[#This Row],[Resolution Duration Hours]] &lt;= Tickets[[#This Row],[SLA_Target_Hours]], "Yes", "No")</f>
        <v>Yes</v>
      </c>
    </row>
    <row r="61" spans="1:16" hidden="1">
      <c r="A61">
        <v>60</v>
      </c>
      <c r="B61" t="s">
        <v>73</v>
      </c>
      <c r="C61" t="s">
        <v>2043</v>
      </c>
      <c r="D61" t="s">
        <v>3983</v>
      </c>
      <c r="E61" s="1">
        <v>44615</v>
      </c>
      <c r="F61" t="s">
        <v>4002</v>
      </c>
      <c r="G61" t="s">
        <v>4000</v>
      </c>
      <c r="H61" t="s">
        <v>4018</v>
      </c>
      <c r="I61" t="s">
        <v>4024</v>
      </c>
      <c r="J61" t="s">
        <v>4025</v>
      </c>
      <c r="K61" s="2">
        <v>44621</v>
      </c>
      <c r="L61" s="2">
        <v>44628</v>
      </c>
      <c r="M61">
        <v>4</v>
      </c>
      <c r="N61">
        <v>168</v>
      </c>
      <c r="O61">
        <f>IF(Tickets[[#This Row],[Ticket Priority]]="Critical",24,
IF(Tickets[[#This Row],[Ticket Priority]]="High",48,
IF(Tickets[[#This Row],[Ticket Priority]]="Medium",120,168)))</f>
        <v>168</v>
      </c>
      <c r="P61" t="str">
        <f>IF(Tickets[[#This Row],[Resolution Duration Hours]] &lt;= Tickets[[#This Row],[SLA_Target_Hours]], "Yes", "No")</f>
        <v>Yes</v>
      </c>
    </row>
    <row r="62" spans="1:16" hidden="1">
      <c r="A62">
        <v>61</v>
      </c>
      <c r="B62" t="s">
        <v>74</v>
      </c>
      <c r="C62" t="s">
        <v>2044</v>
      </c>
      <c r="D62" t="s">
        <v>3997</v>
      </c>
      <c r="E62" s="1">
        <v>44998</v>
      </c>
      <c r="F62" t="s">
        <v>3999</v>
      </c>
      <c r="G62" t="s">
        <v>4007</v>
      </c>
      <c r="H62" t="s">
        <v>4018</v>
      </c>
      <c r="I62" t="s">
        <v>4024</v>
      </c>
      <c r="J62" t="s">
        <v>4025</v>
      </c>
      <c r="K62" s="2">
        <v>45331</v>
      </c>
      <c r="L62" s="2">
        <v>45334</v>
      </c>
      <c r="N62">
        <v>72</v>
      </c>
      <c r="O62">
        <f>IF(Tickets[[#This Row],[Ticket Priority]]="Critical",24,
IF(Tickets[[#This Row],[Ticket Priority]]="High",48,
IF(Tickets[[#This Row],[Ticket Priority]]="Medium",120,168)))</f>
        <v>168</v>
      </c>
      <c r="P62" t="str">
        <f>IF(Tickets[[#This Row],[Resolution Duration Hours]] &lt;= Tickets[[#This Row],[SLA_Target_Hours]], "Yes", "No")</f>
        <v>Yes</v>
      </c>
    </row>
    <row r="63" spans="1:16" hidden="1">
      <c r="A63">
        <v>62</v>
      </c>
      <c r="B63" t="s">
        <v>75</v>
      </c>
      <c r="C63" t="s">
        <v>2045</v>
      </c>
      <c r="D63" t="s">
        <v>3988</v>
      </c>
      <c r="E63" s="1">
        <v>43951</v>
      </c>
      <c r="F63" t="s">
        <v>3999</v>
      </c>
      <c r="G63" t="s">
        <v>4014</v>
      </c>
      <c r="H63" t="s">
        <v>4018</v>
      </c>
      <c r="I63" t="s">
        <v>4021</v>
      </c>
      <c r="J63" t="s">
        <v>4026</v>
      </c>
      <c r="K63" s="2">
        <v>44093</v>
      </c>
      <c r="L63" s="2">
        <v>44094</v>
      </c>
      <c r="M63">
        <v>4</v>
      </c>
      <c r="N63">
        <v>24</v>
      </c>
      <c r="O63">
        <f>IF(Tickets[[#This Row],[Ticket Priority]]="Critical",24,
IF(Tickets[[#This Row],[Ticket Priority]]="High",48,
IF(Tickets[[#This Row],[Ticket Priority]]="Medium",120,168)))</f>
        <v>48</v>
      </c>
      <c r="P63" t="str">
        <f>IF(Tickets[[#This Row],[Resolution Duration Hours]] &lt;= Tickets[[#This Row],[SLA_Target_Hours]], "Yes", "No")</f>
        <v>Yes</v>
      </c>
    </row>
    <row r="64" spans="1:16" hidden="1">
      <c r="A64">
        <v>63</v>
      </c>
      <c r="B64" t="s">
        <v>76</v>
      </c>
      <c r="C64" t="s">
        <v>2046</v>
      </c>
      <c r="D64" t="s">
        <v>3981</v>
      </c>
      <c r="E64" s="1">
        <v>44068</v>
      </c>
      <c r="F64" t="s">
        <v>4001</v>
      </c>
      <c r="G64" t="s">
        <v>4005</v>
      </c>
      <c r="H64" t="s">
        <v>4017</v>
      </c>
      <c r="I64" t="s">
        <v>4024</v>
      </c>
      <c r="J64" t="s">
        <v>4027</v>
      </c>
      <c r="K64" s="2">
        <v>44200</v>
      </c>
      <c r="L64" s="2">
        <v>44204</v>
      </c>
      <c r="N64">
        <v>96</v>
      </c>
      <c r="O64">
        <f>IF(Tickets[[#This Row],[Ticket Priority]]="Critical",24,
IF(Tickets[[#This Row],[Ticket Priority]]="High",48,
IF(Tickets[[#This Row],[Ticket Priority]]="Medium",120,168)))</f>
        <v>168</v>
      </c>
      <c r="P64" t="str">
        <f>IF(Tickets[[#This Row],[Resolution Duration Hours]] &lt;= Tickets[[#This Row],[SLA_Target_Hours]], "Yes", "No")</f>
        <v>Yes</v>
      </c>
    </row>
    <row r="65" spans="1:16" hidden="1">
      <c r="A65">
        <v>64</v>
      </c>
      <c r="B65" t="s">
        <v>77</v>
      </c>
      <c r="C65" t="s">
        <v>2047</v>
      </c>
      <c r="D65" t="s">
        <v>3995</v>
      </c>
      <c r="E65" s="1">
        <v>44436</v>
      </c>
      <c r="F65" t="s">
        <v>3999</v>
      </c>
      <c r="G65" t="s">
        <v>4005</v>
      </c>
      <c r="H65" t="s">
        <v>4018</v>
      </c>
      <c r="I65" t="s">
        <v>4021</v>
      </c>
      <c r="J65" t="s">
        <v>4026</v>
      </c>
      <c r="K65" s="2">
        <v>44686</v>
      </c>
      <c r="L65" s="2">
        <v>44687</v>
      </c>
      <c r="M65">
        <v>4</v>
      </c>
      <c r="N65">
        <v>24</v>
      </c>
      <c r="O65">
        <f>IF(Tickets[[#This Row],[Ticket Priority]]="Critical",24,
IF(Tickets[[#This Row],[Ticket Priority]]="High",48,
IF(Tickets[[#This Row],[Ticket Priority]]="Medium",120,168)))</f>
        <v>48</v>
      </c>
      <c r="P65" t="str">
        <f>IF(Tickets[[#This Row],[Resolution Duration Hours]] &lt;= Tickets[[#This Row],[SLA_Target_Hours]], "Yes", "No")</f>
        <v>Yes</v>
      </c>
    </row>
    <row r="66" spans="1:16">
      <c r="A66">
        <v>1213</v>
      </c>
      <c r="B66" t="s">
        <v>1217</v>
      </c>
      <c r="C66" t="s">
        <v>3193</v>
      </c>
      <c r="D66" t="s">
        <v>3992</v>
      </c>
      <c r="E66" s="1">
        <v>44706</v>
      </c>
      <c r="F66" t="s">
        <v>4001</v>
      </c>
      <c r="G66" t="s">
        <v>4000</v>
      </c>
      <c r="H66" t="s">
        <v>4018</v>
      </c>
      <c r="I66" t="s">
        <v>4023</v>
      </c>
      <c r="J66" t="s">
        <v>4026</v>
      </c>
      <c r="K66" s="2">
        <v>44941</v>
      </c>
      <c r="L66" s="2">
        <v>44962</v>
      </c>
      <c r="M66">
        <v>5</v>
      </c>
      <c r="N66">
        <v>504</v>
      </c>
      <c r="O66">
        <f>IF(Tickets[[#This Row],[Ticket Priority]]="Critical",24,
IF(Tickets[[#This Row],[Ticket Priority]]="High",48,
IF(Tickets[[#This Row],[Ticket Priority]]="Medium",120,168)))</f>
        <v>120</v>
      </c>
      <c r="P66" t="str">
        <f>IF(Tickets[[#This Row],[Resolution Duration Hours]] &lt;= Tickets[[#This Row],[SLA_Target_Hours]], "Yes", "No")</f>
        <v>No</v>
      </c>
    </row>
    <row r="67" spans="1:16" hidden="1">
      <c r="A67">
        <v>66</v>
      </c>
      <c r="B67" t="s">
        <v>79</v>
      </c>
      <c r="C67" t="s">
        <v>2049</v>
      </c>
      <c r="D67" t="s">
        <v>3986</v>
      </c>
      <c r="E67" s="1">
        <v>43876</v>
      </c>
      <c r="F67" t="s">
        <v>4002</v>
      </c>
      <c r="G67" t="s">
        <v>4005</v>
      </c>
      <c r="H67" t="s">
        <v>4019</v>
      </c>
      <c r="I67" t="s">
        <v>4024</v>
      </c>
      <c r="J67" t="s">
        <v>4028</v>
      </c>
      <c r="K67" s="2">
        <v>44004</v>
      </c>
      <c r="L67" s="2">
        <v>44011</v>
      </c>
      <c r="M67">
        <v>4</v>
      </c>
      <c r="N67">
        <v>168</v>
      </c>
      <c r="O67">
        <f>IF(Tickets[[#This Row],[Ticket Priority]]="Critical",24,
IF(Tickets[[#This Row],[Ticket Priority]]="High",48,
IF(Tickets[[#This Row],[Ticket Priority]]="Medium",120,168)))</f>
        <v>168</v>
      </c>
      <c r="P67" t="str">
        <f>IF(Tickets[[#This Row],[Resolution Duration Hours]] &lt;= Tickets[[#This Row],[SLA_Target_Hours]], "Yes", "No")</f>
        <v>Yes</v>
      </c>
    </row>
    <row r="68" spans="1:16" hidden="1">
      <c r="A68">
        <v>67</v>
      </c>
      <c r="B68" t="s">
        <v>80</v>
      </c>
      <c r="C68" t="s">
        <v>2050</v>
      </c>
      <c r="D68" t="s">
        <v>3990</v>
      </c>
      <c r="E68" s="1">
        <v>44660</v>
      </c>
      <c r="F68" t="s">
        <v>4002</v>
      </c>
      <c r="G68" t="s">
        <v>4007</v>
      </c>
      <c r="H68" t="s">
        <v>4017</v>
      </c>
      <c r="I68" t="s">
        <v>4023</v>
      </c>
      <c r="J68" t="s">
        <v>4026</v>
      </c>
      <c r="K68" s="2">
        <v>44962</v>
      </c>
      <c r="L68" s="2">
        <v>44962</v>
      </c>
      <c r="N68">
        <v>0</v>
      </c>
      <c r="O68">
        <f>IF(Tickets[[#This Row],[Ticket Priority]]="Critical",24,
IF(Tickets[[#This Row],[Ticket Priority]]="High",48,
IF(Tickets[[#This Row],[Ticket Priority]]="Medium",120,168)))</f>
        <v>120</v>
      </c>
      <c r="P68" t="str">
        <f>IF(Tickets[[#This Row],[Resolution Duration Hours]] &lt;= Tickets[[#This Row],[SLA_Target_Hours]], "Yes", "No")</f>
        <v>Yes</v>
      </c>
    </row>
    <row r="69" spans="1:16" hidden="1">
      <c r="A69">
        <v>68</v>
      </c>
      <c r="B69" t="s">
        <v>81</v>
      </c>
      <c r="C69" t="s">
        <v>2051</v>
      </c>
      <c r="D69" t="s">
        <v>3982</v>
      </c>
      <c r="E69" s="1">
        <v>44113</v>
      </c>
      <c r="F69" t="s">
        <v>4002</v>
      </c>
      <c r="G69" t="s">
        <v>4013</v>
      </c>
      <c r="H69" t="s">
        <v>4018</v>
      </c>
      <c r="I69" t="s">
        <v>4023</v>
      </c>
      <c r="J69" t="s">
        <v>4028</v>
      </c>
      <c r="K69" s="2">
        <v>44267</v>
      </c>
      <c r="L69" s="2">
        <v>44270</v>
      </c>
      <c r="N69">
        <v>72</v>
      </c>
      <c r="O69">
        <f>IF(Tickets[[#This Row],[Ticket Priority]]="Critical",24,
IF(Tickets[[#This Row],[Ticket Priority]]="High",48,
IF(Tickets[[#This Row],[Ticket Priority]]="Medium",120,168)))</f>
        <v>120</v>
      </c>
      <c r="P69" t="str">
        <f>IF(Tickets[[#This Row],[Resolution Duration Hours]] &lt;= Tickets[[#This Row],[SLA_Target_Hours]], "Yes", "No")</f>
        <v>Yes</v>
      </c>
    </row>
    <row r="70" spans="1:16" hidden="1">
      <c r="A70">
        <v>69</v>
      </c>
      <c r="B70" t="s">
        <v>82</v>
      </c>
      <c r="C70" t="s">
        <v>2052</v>
      </c>
      <c r="D70" t="s">
        <v>3992</v>
      </c>
      <c r="E70" s="1">
        <v>44222</v>
      </c>
      <c r="F70" t="s">
        <v>4000</v>
      </c>
      <c r="G70" t="s">
        <v>4003</v>
      </c>
      <c r="H70" t="s">
        <v>4018</v>
      </c>
      <c r="I70" t="s">
        <v>4023</v>
      </c>
      <c r="J70" t="s">
        <v>4026</v>
      </c>
      <c r="K70" s="2">
        <v>44274</v>
      </c>
      <c r="L70" s="2">
        <v>44278</v>
      </c>
      <c r="M70">
        <v>5</v>
      </c>
      <c r="N70">
        <v>96</v>
      </c>
      <c r="O70">
        <f>IF(Tickets[[#This Row],[Ticket Priority]]="Critical",24,
IF(Tickets[[#This Row],[Ticket Priority]]="High",48,
IF(Tickets[[#This Row],[Ticket Priority]]="Medium",120,168)))</f>
        <v>120</v>
      </c>
      <c r="P70" t="str">
        <f>IF(Tickets[[#This Row],[Resolution Duration Hours]] &lt;= Tickets[[#This Row],[SLA_Target_Hours]], "Yes", "No")</f>
        <v>Yes</v>
      </c>
    </row>
    <row r="71" spans="1:16" hidden="1">
      <c r="A71">
        <v>70</v>
      </c>
      <c r="B71" t="s">
        <v>83</v>
      </c>
      <c r="C71" t="s">
        <v>2053</v>
      </c>
      <c r="D71" t="s">
        <v>3996</v>
      </c>
      <c r="E71" s="1">
        <v>43937</v>
      </c>
      <c r="F71" t="s">
        <v>3999</v>
      </c>
      <c r="G71" t="s">
        <v>4003</v>
      </c>
      <c r="H71" t="s">
        <v>4017</v>
      </c>
      <c r="I71" t="s">
        <v>4023</v>
      </c>
      <c r="J71" t="s">
        <v>4028</v>
      </c>
      <c r="K71" s="2">
        <v>44188</v>
      </c>
      <c r="L71" s="2">
        <v>44191</v>
      </c>
      <c r="N71">
        <v>72</v>
      </c>
      <c r="O71">
        <f>IF(Tickets[[#This Row],[Ticket Priority]]="Critical",24,
IF(Tickets[[#This Row],[Ticket Priority]]="High",48,
IF(Tickets[[#This Row],[Ticket Priority]]="Medium",120,168)))</f>
        <v>120</v>
      </c>
      <c r="P71" t="str">
        <f>IF(Tickets[[#This Row],[Resolution Duration Hours]] &lt;= Tickets[[#This Row],[SLA_Target_Hours]], "Yes", "No")</f>
        <v>Yes</v>
      </c>
    </row>
    <row r="72" spans="1:16" hidden="1">
      <c r="A72">
        <v>71</v>
      </c>
      <c r="B72" t="s">
        <v>84</v>
      </c>
      <c r="C72" t="s">
        <v>2054</v>
      </c>
      <c r="D72" t="s">
        <v>3993</v>
      </c>
      <c r="E72" s="1">
        <v>44201</v>
      </c>
      <c r="F72" t="s">
        <v>4000</v>
      </c>
      <c r="G72" t="s">
        <v>4012</v>
      </c>
      <c r="H72" t="s">
        <v>4020</v>
      </c>
      <c r="I72" t="s">
        <v>4023</v>
      </c>
      <c r="J72" t="s">
        <v>4026</v>
      </c>
      <c r="K72" s="2">
        <v>44261</v>
      </c>
      <c r="L72" s="2">
        <v>44265</v>
      </c>
      <c r="N72">
        <v>96</v>
      </c>
      <c r="O72">
        <f>IF(Tickets[[#This Row],[Ticket Priority]]="Critical",24,
IF(Tickets[[#This Row],[Ticket Priority]]="High",48,
IF(Tickets[[#This Row],[Ticket Priority]]="Medium",120,168)))</f>
        <v>120</v>
      </c>
      <c r="P72" t="str">
        <f>IF(Tickets[[#This Row],[Resolution Duration Hours]] &lt;= Tickets[[#This Row],[SLA_Target_Hours]], "Yes", "No")</f>
        <v>Yes</v>
      </c>
    </row>
    <row r="73" spans="1:16" hidden="1">
      <c r="A73">
        <v>72</v>
      </c>
      <c r="B73" t="s">
        <v>85</v>
      </c>
      <c r="C73" t="s">
        <v>2055</v>
      </c>
      <c r="D73" t="s">
        <v>3980</v>
      </c>
      <c r="E73" s="1">
        <v>44091</v>
      </c>
      <c r="F73" t="s">
        <v>4002</v>
      </c>
      <c r="G73" t="s">
        <v>4012</v>
      </c>
      <c r="H73" t="s">
        <v>4019</v>
      </c>
      <c r="I73" t="s">
        <v>4023</v>
      </c>
      <c r="J73" t="s">
        <v>4026</v>
      </c>
      <c r="K73" s="2">
        <v>44310</v>
      </c>
      <c r="L73" s="2">
        <v>44313</v>
      </c>
      <c r="M73">
        <v>3</v>
      </c>
      <c r="N73">
        <v>72</v>
      </c>
      <c r="O73">
        <f>IF(Tickets[[#This Row],[Ticket Priority]]="Critical",24,
IF(Tickets[[#This Row],[Ticket Priority]]="High",48,
IF(Tickets[[#This Row],[Ticket Priority]]="Medium",120,168)))</f>
        <v>120</v>
      </c>
      <c r="P73" t="str">
        <f>IF(Tickets[[#This Row],[Resolution Duration Hours]] &lt;= Tickets[[#This Row],[SLA_Target_Hours]], "Yes", "No")</f>
        <v>Yes</v>
      </c>
    </row>
    <row r="74" spans="1:16">
      <c r="A74">
        <v>279</v>
      </c>
      <c r="B74" t="s">
        <v>292</v>
      </c>
      <c r="C74" t="s">
        <v>2262</v>
      </c>
      <c r="D74" t="s">
        <v>3982</v>
      </c>
      <c r="E74" s="1">
        <v>44560</v>
      </c>
      <c r="F74" t="s">
        <v>4001</v>
      </c>
      <c r="G74" t="s">
        <v>4008</v>
      </c>
      <c r="H74" t="s">
        <v>4017</v>
      </c>
      <c r="I74" t="s">
        <v>4024</v>
      </c>
      <c r="J74" t="s">
        <v>4026</v>
      </c>
      <c r="K74" s="2">
        <v>44802</v>
      </c>
      <c r="L74" s="2">
        <v>44821</v>
      </c>
      <c r="N74">
        <v>456</v>
      </c>
      <c r="O74">
        <f>IF(Tickets[[#This Row],[Ticket Priority]]="Critical",24,
IF(Tickets[[#This Row],[Ticket Priority]]="High",48,
IF(Tickets[[#This Row],[Ticket Priority]]="Medium",120,168)))</f>
        <v>168</v>
      </c>
      <c r="P74" t="str">
        <f>IF(Tickets[[#This Row],[Resolution Duration Hours]] &lt;= Tickets[[#This Row],[SLA_Target_Hours]], "Yes", "No")</f>
        <v>No</v>
      </c>
    </row>
    <row r="75" spans="1:16">
      <c r="A75">
        <v>1000</v>
      </c>
      <c r="B75" t="s">
        <v>1007</v>
      </c>
      <c r="C75" t="s">
        <v>2982</v>
      </c>
      <c r="D75" t="s">
        <v>3985</v>
      </c>
      <c r="E75" s="1">
        <v>44906</v>
      </c>
      <c r="F75" t="s">
        <v>4002</v>
      </c>
      <c r="G75" t="s">
        <v>4004</v>
      </c>
      <c r="H75" t="s">
        <v>4018</v>
      </c>
      <c r="I75" t="s">
        <v>4023</v>
      </c>
      <c r="J75" t="s">
        <v>4026</v>
      </c>
      <c r="K75" s="2">
        <v>45066</v>
      </c>
      <c r="L75" s="2">
        <v>45084</v>
      </c>
      <c r="M75">
        <v>4</v>
      </c>
      <c r="N75">
        <v>432</v>
      </c>
      <c r="O75">
        <f>IF(Tickets[[#This Row],[Ticket Priority]]="Critical",24,
IF(Tickets[[#This Row],[Ticket Priority]]="High",48,
IF(Tickets[[#This Row],[Ticket Priority]]="Medium",120,168)))</f>
        <v>120</v>
      </c>
      <c r="P75" t="str">
        <f>IF(Tickets[[#This Row],[Resolution Duration Hours]] &lt;= Tickets[[#This Row],[SLA_Target_Hours]], "Yes", "No")</f>
        <v>No</v>
      </c>
    </row>
    <row r="76" spans="1:16">
      <c r="A76">
        <v>126</v>
      </c>
      <c r="B76" t="s">
        <v>139</v>
      </c>
      <c r="C76" t="s">
        <v>2109</v>
      </c>
      <c r="D76" t="s">
        <v>3987</v>
      </c>
      <c r="E76" s="1">
        <v>44476</v>
      </c>
      <c r="F76" t="s">
        <v>4001</v>
      </c>
      <c r="G76" t="s">
        <v>4005</v>
      </c>
      <c r="H76" t="s">
        <v>4018</v>
      </c>
      <c r="I76" t="s">
        <v>4024</v>
      </c>
      <c r="J76" t="s">
        <v>4026</v>
      </c>
      <c r="K76" s="2">
        <v>44642</v>
      </c>
      <c r="L76" s="2">
        <v>44659</v>
      </c>
      <c r="M76">
        <v>4</v>
      </c>
      <c r="N76">
        <v>408</v>
      </c>
      <c r="O76">
        <f>IF(Tickets[[#This Row],[Ticket Priority]]="Critical",24,
IF(Tickets[[#This Row],[Ticket Priority]]="High",48,
IF(Tickets[[#This Row],[Ticket Priority]]="Medium",120,168)))</f>
        <v>168</v>
      </c>
      <c r="P76" t="str">
        <f>IF(Tickets[[#This Row],[Resolution Duration Hours]] &lt;= Tickets[[#This Row],[SLA_Target_Hours]], "Yes", "No")</f>
        <v>No</v>
      </c>
    </row>
    <row r="77" spans="1:16" hidden="1">
      <c r="A77">
        <v>76</v>
      </c>
      <c r="B77" t="s">
        <v>89</v>
      </c>
      <c r="C77" t="s">
        <v>2059</v>
      </c>
      <c r="D77" t="s">
        <v>3986</v>
      </c>
      <c r="E77" s="1">
        <v>44504</v>
      </c>
      <c r="F77" t="s">
        <v>3999</v>
      </c>
      <c r="G77" t="s">
        <v>4009</v>
      </c>
      <c r="H77" t="s">
        <v>4018</v>
      </c>
      <c r="I77" t="s">
        <v>4023</v>
      </c>
      <c r="J77" t="s">
        <v>4027</v>
      </c>
      <c r="K77" s="2">
        <v>44862</v>
      </c>
      <c r="L77" s="2">
        <v>44866</v>
      </c>
      <c r="M77">
        <v>5</v>
      </c>
      <c r="N77">
        <v>96</v>
      </c>
      <c r="O77">
        <f>IF(Tickets[[#This Row],[Ticket Priority]]="Critical",24,
IF(Tickets[[#This Row],[Ticket Priority]]="High",48,
IF(Tickets[[#This Row],[Ticket Priority]]="Medium",120,168)))</f>
        <v>120</v>
      </c>
      <c r="P77" t="str">
        <f>IF(Tickets[[#This Row],[Resolution Duration Hours]] &lt;= Tickets[[#This Row],[SLA_Target_Hours]], "Yes", "No")</f>
        <v>Yes</v>
      </c>
    </row>
    <row r="78" spans="1:16" hidden="1">
      <c r="A78">
        <v>77</v>
      </c>
      <c r="B78" t="s">
        <v>90</v>
      </c>
      <c r="C78" t="s">
        <v>2060</v>
      </c>
      <c r="D78" t="s">
        <v>3988</v>
      </c>
      <c r="E78" s="1">
        <v>44250</v>
      </c>
      <c r="F78" t="s">
        <v>3999</v>
      </c>
      <c r="G78" t="s">
        <v>4009</v>
      </c>
      <c r="H78" t="s">
        <v>4019</v>
      </c>
      <c r="I78" t="s">
        <v>4024</v>
      </c>
      <c r="J78" t="s">
        <v>4028</v>
      </c>
      <c r="K78" s="2">
        <v>44368</v>
      </c>
      <c r="L78" s="2">
        <v>44372</v>
      </c>
      <c r="M78">
        <v>4</v>
      </c>
      <c r="N78">
        <v>96</v>
      </c>
      <c r="O78">
        <f>IF(Tickets[[#This Row],[Ticket Priority]]="Critical",24,
IF(Tickets[[#This Row],[Ticket Priority]]="High",48,
IF(Tickets[[#This Row],[Ticket Priority]]="Medium",120,168)))</f>
        <v>168</v>
      </c>
      <c r="P78" t="str">
        <f>IF(Tickets[[#This Row],[Resolution Duration Hours]] &lt;= Tickets[[#This Row],[SLA_Target_Hours]], "Yes", "No")</f>
        <v>Yes</v>
      </c>
    </row>
    <row r="79" spans="1:16" hidden="1">
      <c r="A79">
        <v>78</v>
      </c>
      <c r="B79" t="s">
        <v>91</v>
      </c>
      <c r="C79" t="s">
        <v>2061</v>
      </c>
      <c r="D79" t="s">
        <v>3982</v>
      </c>
      <c r="E79" s="1">
        <v>44247</v>
      </c>
      <c r="F79" t="s">
        <v>4001</v>
      </c>
      <c r="G79" t="s">
        <v>4011</v>
      </c>
      <c r="H79" t="s">
        <v>4018</v>
      </c>
      <c r="I79" t="s">
        <v>4023</v>
      </c>
      <c r="J79" t="s">
        <v>4025</v>
      </c>
      <c r="K79" s="2">
        <v>44487</v>
      </c>
      <c r="L79" s="2">
        <v>44491</v>
      </c>
      <c r="M79">
        <v>4</v>
      </c>
      <c r="N79">
        <v>96</v>
      </c>
      <c r="O79">
        <f>IF(Tickets[[#This Row],[Ticket Priority]]="Critical",24,
IF(Tickets[[#This Row],[Ticket Priority]]="High",48,
IF(Tickets[[#This Row],[Ticket Priority]]="Medium",120,168)))</f>
        <v>120</v>
      </c>
      <c r="P79" t="str">
        <f>IF(Tickets[[#This Row],[Resolution Duration Hours]] &lt;= Tickets[[#This Row],[SLA_Target_Hours]], "Yes", "No")</f>
        <v>Yes</v>
      </c>
    </row>
    <row r="80" spans="1:16" hidden="1">
      <c r="A80">
        <v>79</v>
      </c>
      <c r="B80" t="s">
        <v>92</v>
      </c>
      <c r="C80" t="s">
        <v>2062</v>
      </c>
      <c r="D80" t="s">
        <v>3983</v>
      </c>
      <c r="E80" s="1">
        <v>44779</v>
      </c>
      <c r="F80" t="s">
        <v>3998</v>
      </c>
      <c r="G80" t="s">
        <v>4010</v>
      </c>
      <c r="H80" t="s">
        <v>4018</v>
      </c>
      <c r="I80" t="s">
        <v>4024</v>
      </c>
      <c r="J80" t="s">
        <v>4027</v>
      </c>
      <c r="K80" s="2">
        <v>44943</v>
      </c>
      <c r="L80" s="2">
        <v>44945</v>
      </c>
      <c r="M80">
        <v>4</v>
      </c>
      <c r="N80">
        <v>48</v>
      </c>
      <c r="O80">
        <f>IF(Tickets[[#This Row],[Ticket Priority]]="Critical",24,
IF(Tickets[[#This Row],[Ticket Priority]]="High",48,
IF(Tickets[[#This Row],[Ticket Priority]]="Medium",120,168)))</f>
        <v>168</v>
      </c>
      <c r="P80" t="str">
        <f>IF(Tickets[[#This Row],[Resolution Duration Hours]] &lt;= Tickets[[#This Row],[SLA_Target_Hours]], "Yes", "No")</f>
        <v>Yes</v>
      </c>
    </row>
    <row r="81" spans="1:16" hidden="1">
      <c r="A81">
        <v>80</v>
      </c>
      <c r="B81" t="s">
        <v>93</v>
      </c>
      <c r="C81" t="s">
        <v>2063</v>
      </c>
      <c r="D81" t="s">
        <v>3983</v>
      </c>
      <c r="E81" s="1">
        <v>44359</v>
      </c>
      <c r="F81" t="s">
        <v>3998</v>
      </c>
      <c r="G81" t="s">
        <v>4011</v>
      </c>
      <c r="H81" t="s">
        <v>4019</v>
      </c>
      <c r="I81" t="s">
        <v>4024</v>
      </c>
      <c r="J81" t="s">
        <v>4028</v>
      </c>
      <c r="K81" s="2">
        <v>44488</v>
      </c>
      <c r="L81" s="2">
        <v>44492</v>
      </c>
      <c r="M81">
        <v>4</v>
      </c>
      <c r="N81">
        <v>96</v>
      </c>
      <c r="O81">
        <f>IF(Tickets[[#This Row],[Ticket Priority]]="Critical",24,
IF(Tickets[[#This Row],[Ticket Priority]]="High",48,
IF(Tickets[[#This Row],[Ticket Priority]]="Medium",120,168)))</f>
        <v>168</v>
      </c>
      <c r="P81" t="str">
        <f>IF(Tickets[[#This Row],[Resolution Duration Hours]] &lt;= Tickets[[#This Row],[SLA_Target_Hours]], "Yes", "No")</f>
        <v>Yes</v>
      </c>
    </row>
    <row r="82" spans="1:16" hidden="1">
      <c r="A82">
        <v>81</v>
      </c>
      <c r="B82" t="s">
        <v>94</v>
      </c>
      <c r="C82" t="s">
        <v>2064</v>
      </c>
      <c r="D82" t="s">
        <v>3989</v>
      </c>
      <c r="E82" s="1">
        <v>44949</v>
      </c>
      <c r="F82" t="s">
        <v>3999</v>
      </c>
      <c r="G82" t="s">
        <v>4011</v>
      </c>
      <c r="H82" t="s">
        <v>4018</v>
      </c>
      <c r="I82" t="s">
        <v>4024</v>
      </c>
      <c r="J82" t="s">
        <v>4028</v>
      </c>
      <c r="K82" s="2">
        <v>45214</v>
      </c>
      <c r="L82" s="2">
        <v>45218</v>
      </c>
      <c r="N82">
        <v>96</v>
      </c>
      <c r="O82">
        <f>IF(Tickets[[#This Row],[Ticket Priority]]="Critical",24,
IF(Tickets[[#This Row],[Ticket Priority]]="High",48,
IF(Tickets[[#This Row],[Ticket Priority]]="Medium",120,168)))</f>
        <v>168</v>
      </c>
      <c r="P82" t="str">
        <f>IF(Tickets[[#This Row],[Resolution Duration Hours]] &lt;= Tickets[[#This Row],[SLA_Target_Hours]], "Yes", "No")</f>
        <v>Yes</v>
      </c>
    </row>
    <row r="83" spans="1:16">
      <c r="A83">
        <v>209</v>
      </c>
      <c r="B83" t="s">
        <v>222</v>
      </c>
      <c r="C83" t="s">
        <v>2192</v>
      </c>
      <c r="D83" t="s">
        <v>3995</v>
      </c>
      <c r="E83" s="1">
        <v>44296</v>
      </c>
      <c r="F83" t="s">
        <v>4000</v>
      </c>
      <c r="G83" t="s">
        <v>4009</v>
      </c>
      <c r="H83" t="s">
        <v>4017</v>
      </c>
      <c r="I83" t="s">
        <v>4024</v>
      </c>
      <c r="J83" t="s">
        <v>4028</v>
      </c>
      <c r="K83" s="2">
        <v>44610</v>
      </c>
      <c r="L83" s="2">
        <v>44627</v>
      </c>
      <c r="N83">
        <v>408</v>
      </c>
      <c r="O83">
        <f>IF(Tickets[[#This Row],[Ticket Priority]]="Critical",24,
IF(Tickets[[#This Row],[Ticket Priority]]="High",48,
IF(Tickets[[#This Row],[Ticket Priority]]="Medium",120,168)))</f>
        <v>168</v>
      </c>
      <c r="P83" t="str">
        <f>IF(Tickets[[#This Row],[Resolution Duration Hours]] &lt;= Tickets[[#This Row],[SLA_Target_Hours]], "Yes", "No")</f>
        <v>No</v>
      </c>
    </row>
    <row r="84" spans="1:16" hidden="1">
      <c r="A84">
        <v>83</v>
      </c>
      <c r="B84" t="s">
        <v>96</v>
      </c>
      <c r="C84" t="s">
        <v>2066</v>
      </c>
      <c r="D84" t="s">
        <v>3979</v>
      </c>
      <c r="E84" s="1">
        <v>44690</v>
      </c>
      <c r="F84" t="s">
        <v>4000</v>
      </c>
      <c r="G84" t="s">
        <v>4016</v>
      </c>
      <c r="H84" t="s">
        <v>4018</v>
      </c>
      <c r="I84" t="s">
        <v>4023</v>
      </c>
      <c r="J84" t="s">
        <v>4025</v>
      </c>
      <c r="K84" s="2">
        <v>44926</v>
      </c>
      <c r="L84" s="2">
        <v>44929</v>
      </c>
      <c r="M84">
        <v>5</v>
      </c>
      <c r="N84">
        <v>72</v>
      </c>
      <c r="O84">
        <f>IF(Tickets[[#This Row],[Ticket Priority]]="Critical",24,
IF(Tickets[[#This Row],[Ticket Priority]]="High",48,
IF(Tickets[[#This Row],[Ticket Priority]]="Medium",120,168)))</f>
        <v>120</v>
      </c>
      <c r="P84" t="str">
        <f>IF(Tickets[[#This Row],[Resolution Duration Hours]] &lt;= Tickets[[#This Row],[SLA_Target_Hours]], "Yes", "No")</f>
        <v>Yes</v>
      </c>
    </row>
    <row r="85" spans="1:16" hidden="1">
      <c r="A85">
        <v>84</v>
      </c>
      <c r="B85" t="s">
        <v>97</v>
      </c>
      <c r="C85" t="s">
        <v>2067</v>
      </c>
      <c r="D85" t="s">
        <v>3992</v>
      </c>
      <c r="E85" s="1">
        <v>44221</v>
      </c>
      <c r="F85" t="s">
        <v>4001</v>
      </c>
      <c r="G85" t="s">
        <v>4012</v>
      </c>
      <c r="H85" t="s">
        <v>4018</v>
      </c>
      <c r="I85" t="s">
        <v>4021</v>
      </c>
      <c r="J85" t="s">
        <v>4026</v>
      </c>
      <c r="K85" s="2">
        <v>44345</v>
      </c>
      <c r="L85" s="2">
        <v>44346</v>
      </c>
      <c r="M85">
        <v>4</v>
      </c>
      <c r="N85">
        <v>24</v>
      </c>
      <c r="O85">
        <f>IF(Tickets[[#This Row],[Ticket Priority]]="Critical",24,
IF(Tickets[[#This Row],[Ticket Priority]]="High",48,
IF(Tickets[[#This Row],[Ticket Priority]]="Medium",120,168)))</f>
        <v>48</v>
      </c>
      <c r="P85" t="str">
        <f>IF(Tickets[[#This Row],[Resolution Duration Hours]] &lt;= Tickets[[#This Row],[SLA_Target_Hours]], "Yes", "No")</f>
        <v>Yes</v>
      </c>
    </row>
    <row r="86" spans="1:16">
      <c r="A86">
        <v>410</v>
      </c>
      <c r="B86" t="s">
        <v>423</v>
      </c>
      <c r="C86" t="s">
        <v>2393</v>
      </c>
      <c r="D86" t="s">
        <v>3990</v>
      </c>
      <c r="E86" s="1">
        <v>44719</v>
      </c>
      <c r="F86" t="s">
        <v>3998</v>
      </c>
      <c r="G86" t="s">
        <v>4005</v>
      </c>
      <c r="H86" t="s">
        <v>4020</v>
      </c>
      <c r="I86" t="s">
        <v>4021</v>
      </c>
      <c r="J86" t="s">
        <v>4028</v>
      </c>
      <c r="K86" s="2">
        <v>45039</v>
      </c>
      <c r="L86" s="2">
        <v>45056</v>
      </c>
      <c r="N86">
        <v>408</v>
      </c>
      <c r="O86">
        <f>IF(Tickets[[#This Row],[Ticket Priority]]="Critical",24,
IF(Tickets[[#This Row],[Ticket Priority]]="High",48,
IF(Tickets[[#This Row],[Ticket Priority]]="Medium",120,168)))</f>
        <v>48</v>
      </c>
      <c r="P86" t="str">
        <f>IF(Tickets[[#This Row],[Resolution Duration Hours]] &lt;= Tickets[[#This Row],[SLA_Target_Hours]], "Yes", "No")</f>
        <v>No</v>
      </c>
    </row>
    <row r="87" spans="1:16" hidden="1">
      <c r="A87">
        <v>86</v>
      </c>
      <c r="B87" t="s">
        <v>99</v>
      </c>
      <c r="C87" t="s">
        <v>2069</v>
      </c>
      <c r="D87" t="s">
        <v>3991</v>
      </c>
      <c r="E87" s="1">
        <v>44109</v>
      </c>
      <c r="F87" t="s">
        <v>4002</v>
      </c>
      <c r="G87" t="s">
        <v>4009</v>
      </c>
      <c r="H87" t="s">
        <v>4018</v>
      </c>
      <c r="I87" t="s">
        <v>4023</v>
      </c>
      <c r="J87" t="s">
        <v>4026</v>
      </c>
      <c r="K87" s="2">
        <v>44356</v>
      </c>
      <c r="L87" s="2">
        <v>44360</v>
      </c>
      <c r="M87">
        <v>4</v>
      </c>
      <c r="N87">
        <v>96</v>
      </c>
      <c r="O87">
        <f>IF(Tickets[[#This Row],[Ticket Priority]]="Critical",24,
IF(Tickets[[#This Row],[Ticket Priority]]="High",48,
IF(Tickets[[#This Row],[Ticket Priority]]="Medium",120,168)))</f>
        <v>120</v>
      </c>
      <c r="P87" t="str">
        <f>IF(Tickets[[#This Row],[Resolution Duration Hours]] &lt;= Tickets[[#This Row],[SLA_Target_Hours]], "Yes", "No")</f>
        <v>Yes</v>
      </c>
    </row>
    <row r="88" spans="1:16" hidden="1">
      <c r="A88">
        <v>87</v>
      </c>
      <c r="B88" t="s">
        <v>100</v>
      </c>
      <c r="C88" t="s">
        <v>2070</v>
      </c>
      <c r="D88" t="s">
        <v>3995</v>
      </c>
      <c r="E88" s="1">
        <v>44027</v>
      </c>
      <c r="F88" t="s">
        <v>4002</v>
      </c>
      <c r="G88" t="s">
        <v>4011</v>
      </c>
      <c r="H88" t="s">
        <v>4019</v>
      </c>
      <c r="I88" t="s">
        <v>4023</v>
      </c>
      <c r="J88" t="s">
        <v>4025</v>
      </c>
      <c r="K88" s="2">
        <v>44049</v>
      </c>
      <c r="L88" s="2">
        <v>44054</v>
      </c>
      <c r="N88">
        <v>120</v>
      </c>
      <c r="O88">
        <f>IF(Tickets[[#This Row],[Ticket Priority]]="Critical",24,
IF(Tickets[[#This Row],[Ticket Priority]]="High",48,
IF(Tickets[[#This Row],[Ticket Priority]]="Medium",120,168)))</f>
        <v>120</v>
      </c>
      <c r="P88" t="str">
        <f>IF(Tickets[[#This Row],[Resolution Duration Hours]] &lt;= Tickets[[#This Row],[SLA_Target_Hours]], "Yes", "No")</f>
        <v>Yes</v>
      </c>
    </row>
    <row r="89" spans="1:16" hidden="1">
      <c r="A89">
        <v>88</v>
      </c>
      <c r="B89" t="s">
        <v>101</v>
      </c>
      <c r="C89" t="s">
        <v>2071</v>
      </c>
      <c r="D89" t="s">
        <v>3985</v>
      </c>
      <c r="E89" s="1">
        <v>44360</v>
      </c>
      <c r="F89" t="s">
        <v>4001</v>
      </c>
      <c r="G89" t="s">
        <v>4015</v>
      </c>
      <c r="H89" t="s">
        <v>4018</v>
      </c>
      <c r="I89" t="s">
        <v>4023</v>
      </c>
      <c r="J89" t="s">
        <v>4027</v>
      </c>
      <c r="K89" s="2">
        <v>44618</v>
      </c>
      <c r="L89" s="2">
        <v>44620</v>
      </c>
      <c r="M89">
        <v>3</v>
      </c>
      <c r="N89">
        <v>48</v>
      </c>
      <c r="O89">
        <f>IF(Tickets[[#This Row],[Ticket Priority]]="Critical",24,
IF(Tickets[[#This Row],[Ticket Priority]]="High",48,
IF(Tickets[[#This Row],[Ticket Priority]]="Medium",120,168)))</f>
        <v>120</v>
      </c>
      <c r="P89" t="str">
        <f>IF(Tickets[[#This Row],[Resolution Duration Hours]] &lt;= Tickets[[#This Row],[SLA_Target_Hours]], "Yes", "No")</f>
        <v>Yes</v>
      </c>
    </row>
    <row r="90" spans="1:16">
      <c r="A90">
        <v>417</v>
      </c>
      <c r="B90" t="s">
        <v>430</v>
      </c>
      <c r="C90" t="s">
        <v>2400</v>
      </c>
      <c r="D90" t="s">
        <v>3981</v>
      </c>
      <c r="E90" s="1">
        <v>44883</v>
      </c>
      <c r="F90" t="s">
        <v>3999</v>
      </c>
      <c r="G90" t="s">
        <v>4005</v>
      </c>
      <c r="H90" t="s">
        <v>4018</v>
      </c>
      <c r="I90" t="s">
        <v>4024</v>
      </c>
      <c r="J90" t="s">
        <v>4028</v>
      </c>
      <c r="K90" s="2">
        <v>45132</v>
      </c>
      <c r="L90" s="2">
        <v>45148</v>
      </c>
      <c r="M90">
        <v>4</v>
      </c>
      <c r="N90">
        <v>384</v>
      </c>
      <c r="O90">
        <f>IF(Tickets[[#This Row],[Ticket Priority]]="Critical",24,
IF(Tickets[[#This Row],[Ticket Priority]]="High",48,
IF(Tickets[[#This Row],[Ticket Priority]]="Medium",120,168)))</f>
        <v>168</v>
      </c>
      <c r="P90" t="str">
        <f>IF(Tickets[[#This Row],[Resolution Duration Hours]] &lt;= Tickets[[#This Row],[SLA_Target_Hours]], "Yes", "No")</f>
        <v>No</v>
      </c>
    </row>
    <row r="91" spans="1:16" hidden="1">
      <c r="A91">
        <v>90</v>
      </c>
      <c r="B91" t="s">
        <v>103</v>
      </c>
      <c r="C91" t="s">
        <v>2073</v>
      </c>
      <c r="D91" t="s">
        <v>3992</v>
      </c>
      <c r="E91" s="1">
        <v>44216</v>
      </c>
      <c r="F91" t="s">
        <v>4000</v>
      </c>
      <c r="G91" t="s">
        <v>4003</v>
      </c>
      <c r="H91" t="s">
        <v>4019</v>
      </c>
      <c r="I91" t="s">
        <v>4022</v>
      </c>
      <c r="J91" t="s">
        <v>4025</v>
      </c>
      <c r="K91" s="2">
        <v>44493</v>
      </c>
      <c r="L91" s="2">
        <v>44494</v>
      </c>
      <c r="M91">
        <v>4</v>
      </c>
      <c r="N91">
        <v>24</v>
      </c>
      <c r="O91">
        <f>IF(Tickets[[#This Row],[Ticket Priority]]="Critical",24,
IF(Tickets[[#This Row],[Ticket Priority]]="High",48,
IF(Tickets[[#This Row],[Ticket Priority]]="Medium",120,168)))</f>
        <v>24</v>
      </c>
      <c r="P91" t="str">
        <f>IF(Tickets[[#This Row],[Resolution Duration Hours]] &lt;= Tickets[[#This Row],[SLA_Target_Hours]], "Yes", "No")</f>
        <v>Yes</v>
      </c>
    </row>
    <row r="92" spans="1:16" hidden="1">
      <c r="A92">
        <v>91</v>
      </c>
      <c r="B92" t="s">
        <v>104</v>
      </c>
      <c r="C92" t="s">
        <v>2074</v>
      </c>
      <c r="D92" t="s">
        <v>3979</v>
      </c>
      <c r="E92" s="1">
        <v>44292</v>
      </c>
      <c r="F92" t="s">
        <v>4000</v>
      </c>
      <c r="G92" t="s">
        <v>4014</v>
      </c>
      <c r="H92" t="s">
        <v>4018</v>
      </c>
      <c r="I92" t="s">
        <v>4023</v>
      </c>
      <c r="J92" t="s">
        <v>4026</v>
      </c>
      <c r="K92" s="2">
        <v>44519</v>
      </c>
      <c r="L92" s="2">
        <v>44523</v>
      </c>
      <c r="M92">
        <v>3</v>
      </c>
      <c r="N92">
        <v>96</v>
      </c>
      <c r="O92">
        <f>IF(Tickets[[#This Row],[Ticket Priority]]="Critical",24,
IF(Tickets[[#This Row],[Ticket Priority]]="High",48,
IF(Tickets[[#This Row],[Ticket Priority]]="Medium",120,168)))</f>
        <v>120</v>
      </c>
      <c r="P92" t="str">
        <f>IF(Tickets[[#This Row],[Resolution Duration Hours]] &lt;= Tickets[[#This Row],[SLA_Target_Hours]], "Yes", "No")</f>
        <v>Yes</v>
      </c>
    </row>
    <row r="93" spans="1:16" hidden="1">
      <c r="A93">
        <v>92</v>
      </c>
      <c r="B93" t="s">
        <v>105</v>
      </c>
      <c r="C93" t="s">
        <v>2075</v>
      </c>
      <c r="D93" t="s">
        <v>3995</v>
      </c>
      <c r="E93" s="1">
        <v>44802</v>
      </c>
      <c r="F93" t="s">
        <v>4000</v>
      </c>
      <c r="G93" t="s">
        <v>4006</v>
      </c>
      <c r="H93" t="s">
        <v>4018</v>
      </c>
      <c r="I93" t="s">
        <v>4021</v>
      </c>
      <c r="J93" t="s">
        <v>4028</v>
      </c>
      <c r="K93" s="2">
        <v>45091</v>
      </c>
      <c r="L93" s="2">
        <v>45093</v>
      </c>
      <c r="M93">
        <v>4</v>
      </c>
      <c r="N93">
        <v>48</v>
      </c>
      <c r="O93">
        <f>IF(Tickets[[#This Row],[Ticket Priority]]="Critical",24,
IF(Tickets[[#This Row],[Ticket Priority]]="High",48,
IF(Tickets[[#This Row],[Ticket Priority]]="Medium",120,168)))</f>
        <v>48</v>
      </c>
      <c r="P93" t="str">
        <f>IF(Tickets[[#This Row],[Resolution Duration Hours]] &lt;= Tickets[[#This Row],[SLA_Target_Hours]], "Yes", "No")</f>
        <v>Yes</v>
      </c>
    </row>
    <row r="94" spans="1:16" hidden="1">
      <c r="A94">
        <v>93</v>
      </c>
      <c r="B94" t="s">
        <v>106</v>
      </c>
      <c r="C94" t="s">
        <v>2076</v>
      </c>
      <c r="D94" t="s">
        <v>3993</v>
      </c>
      <c r="E94" s="1">
        <v>44530</v>
      </c>
      <c r="F94" t="s">
        <v>3998</v>
      </c>
      <c r="G94" t="s">
        <v>4014</v>
      </c>
      <c r="H94" t="s">
        <v>4018</v>
      </c>
      <c r="I94" t="s">
        <v>4023</v>
      </c>
      <c r="J94" t="s">
        <v>4026</v>
      </c>
      <c r="K94" s="2">
        <v>44766</v>
      </c>
      <c r="L94" s="2">
        <v>44768</v>
      </c>
      <c r="M94">
        <v>5</v>
      </c>
      <c r="N94">
        <v>48</v>
      </c>
      <c r="O94">
        <f>IF(Tickets[[#This Row],[Ticket Priority]]="Critical",24,
IF(Tickets[[#This Row],[Ticket Priority]]="High",48,
IF(Tickets[[#This Row],[Ticket Priority]]="Medium",120,168)))</f>
        <v>120</v>
      </c>
      <c r="P94" t="str">
        <f>IF(Tickets[[#This Row],[Resolution Duration Hours]] &lt;= Tickets[[#This Row],[SLA_Target_Hours]], "Yes", "No")</f>
        <v>Yes</v>
      </c>
    </row>
    <row r="95" spans="1:16">
      <c r="A95">
        <v>932</v>
      </c>
      <c r="B95" t="s">
        <v>939</v>
      </c>
      <c r="C95" t="s">
        <v>2914</v>
      </c>
      <c r="D95" t="s">
        <v>3985</v>
      </c>
      <c r="E95" s="1">
        <v>44543</v>
      </c>
      <c r="F95" t="s">
        <v>4001</v>
      </c>
      <c r="G95" t="s">
        <v>4005</v>
      </c>
      <c r="H95" t="s">
        <v>4020</v>
      </c>
      <c r="I95" t="s">
        <v>4024</v>
      </c>
      <c r="J95" t="s">
        <v>4027</v>
      </c>
      <c r="K95" s="2">
        <v>44864</v>
      </c>
      <c r="L95" s="2">
        <v>44880</v>
      </c>
      <c r="N95">
        <v>384</v>
      </c>
      <c r="O95">
        <f>IF(Tickets[[#This Row],[Ticket Priority]]="Critical",24,
IF(Tickets[[#This Row],[Ticket Priority]]="High",48,
IF(Tickets[[#This Row],[Ticket Priority]]="Medium",120,168)))</f>
        <v>168</v>
      </c>
      <c r="P95" t="str">
        <f>IF(Tickets[[#This Row],[Resolution Duration Hours]] &lt;= Tickets[[#This Row],[SLA_Target_Hours]], "Yes", "No")</f>
        <v>No</v>
      </c>
    </row>
    <row r="96" spans="1:16">
      <c r="A96">
        <v>1147</v>
      </c>
      <c r="B96" t="s">
        <v>1152</v>
      </c>
      <c r="C96" t="s">
        <v>3127</v>
      </c>
      <c r="D96" t="s">
        <v>3987</v>
      </c>
      <c r="E96" s="1">
        <v>44652</v>
      </c>
      <c r="F96" t="s">
        <v>3998</v>
      </c>
      <c r="G96" t="s">
        <v>4006</v>
      </c>
      <c r="H96" t="s">
        <v>4020</v>
      </c>
      <c r="I96" t="s">
        <v>4023</v>
      </c>
      <c r="J96" t="s">
        <v>4027</v>
      </c>
      <c r="K96" s="2">
        <v>44752</v>
      </c>
      <c r="L96" s="2">
        <v>44768</v>
      </c>
      <c r="N96">
        <v>384</v>
      </c>
      <c r="O96">
        <f>IF(Tickets[[#This Row],[Ticket Priority]]="Critical",24,
IF(Tickets[[#This Row],[Ticket Priority]]="High",48,
IF(Tickets[[#This Row],[Ticket Priority]]="Medium",120,168)))</f>
        <v>120</v>
      </c>
      <c r="P96" t="str">
        <f>IF(Tickets[[#This Row],[Resolution Duration Hours]] &lt;= Tickets[[#This Row],[SLA_Target_Hours]], "Yes", "No")</f>
        <v>No</v>
      </c>
    </row>
    <row r="97" spans="1:16">
      <c r="A97">
        <v>1727</v>
      </c>
      <c r="B97" t="s">
        <v>1721</v>
      </c>
      <c r="C97" t="s">
        <v>3706</v>
      </c>
      <c r="D97" t="s">
        <v>3993</v>
      </c>
      <c r="E97" s="1">
        <v>44983</v>
      </c>
      <c r="F97" t="s">
        <v>3998</v>
      </c>
      <c r="G97" t="s">
        <v>4004</v>
      </c>
      <c r="H97" t="s">
        <v>4017</v>
      </c>
      <c r="I97" t="s">
        <v>4023</v>
      </c>
      <c r="J97" t="s">
        <v>4026</v>
      </c>
      <c r="K97" s="2">
        <v>45092</v>
      </c>
      <c r="L97" s="2">
        <v>45108</v>
      </c>
      <c r="N97">
        <v>384</v>
      </c>
      <c r="O97">
        <f>IF(Tickets[[#This Row],[Ticket Priority]]="Critical",24,
IF(Tickets[[#This Row],[Ticket Priority]]="High",48,
IF(Tickets[[#This Row],[Ticket Priority]]="Medium",120,168)))</f>
        <v>120</v>
      </c>
      <c r="P97" t="str">
        <f>IF(Tickets[[#This Row],[Resolution Duration Hours]] &lt;= Tickets[[#This Row],[SLA_Target_Hours]], "Yes", "No")</f>
        <v>No</v>
      </c>
    </row>
    <row r="98" spans="1:16" hidden="1">
      <c r="A98">
        <v>97</v>
      </c>
      <c r="B98" t="s">
        <v>110</v>
      </c>
      <c r="C98" t="s">
        <v>2080</v>
      </c>
      <c r="D98" t="s">
        <v>3990</v>
      </c>
      <c r="E98" s="1">
        <v>44598</v>
      </c>
      <c r="F98" t="s">
        <v>4001</v>
      </c>
      <c r="G98" t="s">
        <v>4012</v>
      </c>
      <c r="H98" t="s">
        <v>4017</v>
      </c>
      <c r="I98" t="s">
        <v>4024</v>
      </c>
      <c r="J98" t="s">
        <v>4026</v>
      </c>
      <c r="K98" s="2">
        <v>44945</v>
      </c>
      <c r="L98" s="2">
        <v>44949</v>
      </c>
      <c r="N98">
        <v>96</v>
      </c>
      <c r="O98">
        <f>IF(Tickets[[#This Row],[Ticket Priority]]="Critical",24,
IF(Tickets[[#This Row],[Ticket Priority]]="High",48,
IF(Tickets[[#This Row],[Ticket Priority]]="Medium",120,168)))</f>
        <v>168</v>
      </c>
      <c r="P98" t="str">
        <f>IF(Tickets[[#This Row],[Resolution Duration Hours]] &lt;= Tickets[[#This Row],[SLA_Target_Hours]], "Yes", "No")</f>
        <v>Yes</v>
      </c>
    </row>
    <row r="99" spans="1:16">
      <c r="A99">
        <v>271</v>
      </c>
      <c r="B99" t="s">
        <v>284</v>
      </c>
      <c r="C99" t="s">
        <v>2254</v>
      </c>
      <c r="D99" t="s">
        <v>3993</v>
      </c>
      <c r="E99" s="1">
        <v>43903</v>
      </c>
      <c r="F99" t="s">
        <v>3998</v>
      </c>
      <c r="G99" t="s">
        <v>4013</v>
      </c>
      <c r="H99" t="s">
        <v>4017</v>
      </c>
      <c r="I99" t="s">
        <v>4024</v>
      </c>
      <c r="J99" t="s">
        <v>4028</v>
      </c>
      <c r="K99" s="2">
        <v>44122</v>
      </c>
      <c r="L99" s="2">
        <v>44137</v>
      </c>
      <c r="N99">
        <v>360</v>
      </c>
      <c r="O99">
        <f>IF(Tickets[[#This Row],[Ticket Priority]]="Critical",24,
IF(Tickets[[#This Row],[Ticket Priority]]="High",48,
IF(Tickets[[#This Row],[Ticket Priority]]="Medium",120,168)))</f>
        <v>168</v>
      </c>
      <c r="P99" t="str">
        <f>IF(Tickets[[#This Row],[Resolution Duration Hours]] &lt;= Tickets[[#This Row],[SLA_Target_Hours]], "Yes", "No")</f>
        <v>No</v>
      </c>
    </row>
    <row r="100" spans="1:16" hidden="1">
      <c r="A100">
        <v>99</v>
      </c>
      <c r="B100" t="s">
        <v>112</v>
      </c>
      <c r="C100" t="s">
        <v>2082</v>
      </c>
      <c r="D100" t="s">
        <v>3981</v>
      </c>
      <c r="E100" s="1">
        <v>44843</v>
      </c>
      <c r="F100" t="s">
        <v>3999</v>
      </c>
      <c r="G100" t="s">
        <v>4015</v>
      </c>
      <c r="H100" t="s">
        <v>4019</v>
      </c>
      <c r="I100" t="s">
        <v>4023</v>
      </c>
      <c r="J100" t="s">
        <v>4027</v>
      </c>
      <c r="K100" s="2">
        <v>45114</v>
      </c>
      <c r="L100" s="2">
        <v>45119</v>
      </c>
      <c r="N100">
        <v>120</v>
      </c>
      <c r="O100">
        <f>IF(Tickets[[#This Row],[Ticket Priority]]="Critical",24,
IF(Tickets[[#This Row],[Ticket Priority]]="High",48,
IF(Tickets[[#This Row],[Ticket Priority]]="Medium",120,168)))</f>
        <v>120</v>
      </c>
      <c r="P100" t="str">
        <f>IF(Tickets[[#This Row],[Resolution Duration Hours]] &lt;= Tickets[[#This Row],[SLA_Target_Hours]], "Yes", "No")</f>
        <v>Yes</v>
      </c>
    </row>
    <row r="101" spans="1:16">
      <c r="A101">
        <v>286</v>
      </c>
      <c r="B101" t="s">
        <v>299</v>
      </c>
      <c r="C101" t="s">
        <v>2269</v>
      </c>
      <c r="D101" t="s">
        <v>3993</v>
      </c>
      <c r="E101" s="1">
        <v>43856</v>
      </c>
      <c r="F101" t="s">
        <v>4001</v>
      </c>
      <c r="G101" t="s">
        <v>4004</v>
      </c>
      <c r="H101" t="s">
        <v>4018</v>
      </c>
      <c r="I101" t="s">
        <v>4024</v>
      </c>
      <c r="J101" t="s">
        <v>4026</v>
      </c>
      <c r="K101" s="2">
        <v>44116</v>
      </c>
      <c r="L101" s="2">
        <v>44131</v>
      </c>
      <c r="M101">
        <v>4</v>
      </c>
      <c r="N101">
        <v>360</v>
      </c>
      <c r="O101">
        <f>IF(Tickets[[#This Row],[Ticket Priority]]="Critical",24,
IF(Tickets[[#This Row],[Ticket Priority]]="High",48,
IF(Tickets[[#This Row],[Ticket Priority]]="Medium",120,168)))</f>
        <v>168</v>
      </c>
      <c r="P101" t="str">
        <f>IF(Tickets[[#This Row],[Resolution Duration Hours]] &lt;= Tickets[[#This Row],[SLA_Target_Hours]], "Yes", "No")</f>
        <v>No</v>
      </c>
    </row>
    <row r="102" spans="1:16" hidden="1">
      <c r="A102">
        <v>101</v>
      </c>
      <c r="B102" t="s">
        <v>114</v>
      </c>
      <c r="C102" t="s">
        <v>2084</v>
      </c>
      <c r="D102" t="s">
        <v>3996</v>
      </c>
      <c r="E102" s="1">
        <v>44860</v>
      </c>
      <c r="F102" t="s">
        <v>3999</v>
      </c>
      <c r="G102" t="s">
        <v>4003</v>
      </c>
      <c r="H102" t="s">
        <v>4018</v>
      </c>
      <c r="I102" t="s">
        <v>4021</v>
      </c>
      <c r="J102" t="s">
        <v>4026</v>
      </c>
      <c r="K102" s="2">
        <v>44867</v>
      </c>
      <c r="L102" s="2">
        <v>44868</v>
      </c>
      <c r="M102">
        <v>3</v>
      </c>
      <c r="N102">
        <v>24</v>
      </c>
      <c r="O102">
        <f>IF(Tickets[[#This Row],[Ticket Priority]]="Critical",24,
IF(Tickets[[#This Row],[Ticket Priority]]="High",48,
IF(Tickets[[#This Row],[Ticket Priority]]="Medium",120,168)))</f>
        <v>48</v>
      </c>
      <c r="P102" t="str">
        <f>IF(Tickets[[#This Row],[Resolution Duration Hours]] &lt;= Tickets[[#This Row],[SLA_Target_Hours]], "Yes", "No")</f>
        <v>Yes</v>
      </c>
    </row>
    <row r="103" spans="1:16" hidden="1">
      <c r="A103">
        <v>102</v>
      </c>
      <c r="B103" t="s">
        <v>115</v>
      </c>
      <c r="C103" t="s">
        <v>2085</v>
      </c>
      <c r="D103" t="s">
        <v>3992</v>
      </c>
      <c r="E103" s="1">
        <v>44011</v>
      </c>
      <c r="F103" t="s">
        <v>4000</v>
      </c>
      <c r="G103" t="s">
        <v>4006</v>
      </c>
      <c r="H103" t="s">
        <v>4018</v>
      </c>
      <c r="I103" t="s">
        <v>4024</v>
      </c>
      <c r="J103" t="s">
        <v>4028</v>
      </c>
      <c r="K103" s="2">
        <v>44023</v>
      </c>
      <c r="L103" s="2">
        <v>44027</v>
      </c>
      <c r="M103">
        <v>4</v>
      </c>
      <c r="N103">
        <v>96</v>
      </c>
      <c r="O103">
        <f>IF(Tickets[[#This Row],[Ticket Priority]]="Critical",24,
IF(Tickets[[#This Row],[Ticket Priority]]="High",48,
IF(Tickets[[#This Row],[Ticket Priority]]="Medium",120,168)))</f>
        <v>168</v>
      </c>
      <c r="P103" t="str">
        <f>IF(Tickets[[#This Row],[Resolution Duration Hours]] &lt;= Tickets[[#This Row],[SLA_Target_Hours]], "Yes", "No")</f>
        <v>Yes</v>
      </c>
    </row>
    <row r="104" spans="1:16" hidden="1">
      <c r="A104">
        <v>103</v>
      </c>
      <c r="B104" t="s">
        <v>116</v>
      </c>
      <c r="C104" t="s">
        <v>2086</v>
      </c>
      <c r="D104" t="s">
        <v>3995</v>
      </c>
      <c r="E104" s="1">
        <v>43915</v>
      </c>
      <c r="F104" t="s">
        <v>4002</v>
      </c>
      <c r="G104" t="s">
        <v>4000</v>
      </c>
      <c r="H104" t="s">
        <v>4018</v>
      </c>
      <c r="I104" t="s">
        <v>4024</v>
      </c>
      <c r="J104" t="s">
        <v>4027</v>
      </c>
      <c r="K104" s="2">
        <v>43974</v>
      </c>
      <c r="L104" s="2">
        <v>43981</v>
      </c>
      <c r="M104">
        <v>4</v>
      </c>
      <c r="N104">
        <v>168</v>
      </c>
      <c r="O104">
        <f>IF(Tickets[[#This Row],[Ticket Priority]]="Critical",24,
IF(Tickets[[#This Row],[Ticket Priority]]="High",48,
IF(Tickets[[#This Row],[Ticket Priority]]="Medium",120,168)))</f>
        <v>168</v>
      </c>
      <c r="P104" t="str">
        <f>IF(Tickets[[#This Row],[Resolution Duration Hours]] &lt;= Tickets[[#This Row],[SLA_Target_Hours]], "Yes", "No")</f>
        <v>Yes</v>
      </c>
    </row>
    <row r="105" spans="1:16">
      <c r="A105">
        <v>1029</v>
      </c>
      <c r="B105" t="s">
        <v>1036</v>
      </c>
      <c r="C105" t="s">
        <v>2179</v>
      </c>
      <c r="D105" t="s">
        <v>3989</v>
      </c>
      <c r="E105" s="1">
        <v>44430</v>
      </c>
      <c r="F105" t="s">
        <v>3998</v>
      </c>
      <c r="G105" t="s">
        <v>4014</v>
      </c>
      <c r="H105" t="s">
        <v>4020</v>
      </c>
      <c r="I105" t="s">
        <v>4024</v>
      </c>
      <c r="J105" t="s">
        <v>4026</v>
      </c>
      <c r="K105" s="2">
        <v>44623</v>
      </c>
      <c r="L105" s="2">
        <v>44638</v>
      </c>
      <c r="N105">
        <v>360</v>
      </c>
      <c r="O105">
        <f>IF(Tickets[[#This Row],[Ticket Priority]]="Critical",24,
IF(Tickets[[#This Row],[Ticket Priority]]="High",48,
IF(Tickets[[#This Row],[Ticket Priority]]="Medium",120,168)))</f>
        <v>168</v>
      </c>
      <c r="P105" t="str">
        <f>IF(Tickets[[#This Row],[Resolution Duration Hours]] &lt;= Tickets[[#This Row],[SLA_Target_Hours]], "Yes", "No")</f>
        <v>No</v>
      </c>
    </row>
    <row r="106" spans="1:16" hidden="1">
      <c r="A106">
        <v>105</v>
      </c>
      <c r="B106" t="s">
        <v>118</v>
      </c>
      <c r="C106" t="s">
        <v>2088</v>
      </c>
      <c r="D106" t="s">
        <v>3981</v>
      </c>
      <c r="E106" s="1">
        <v>45072</v>
      </c>
      <c r="F106" t="s">
        <v>3998</v>
      </c>
      <c r="G106" t="s">
        <v>4006</v>
      </c>
      <c r="H106" t="s">
        <v>4017</v>
      </c>
      <c r="I106" t="s">
        <v>4024</v>
      </c>
      <c r="J106" t="s">
        <v>4028</v>
      </c>
      <c r="K106" s="2">
        <v>45183</v>
      </c>
      <c r="L106" s="2">
        <v>45190</v>
      </c>
      <c r="N106">
        <v>168</v>
      </c>
      <c r="O106">
        <f>IF(Tickets[[#This Row],[Ticket Priority]]="Critical",24,
IF(Tickets[[#This Row],[Ticket Priority]]="High",48,
IF(Tickets[[#This Row],[Ticket Priority]]="Medium",120,168)))</f>
        <v>168</v>
      </c>
      <c r="P106" t="str">
        <f>IF(Tickets[[#This Row],[Resolution Duration Hours]] &lt;= Tickets[[#This Row],[SLA_Target_Hours]], "Yes", "No")</f>
        <v>Yes</v>
      </c>
    </row>
    <row r="107" spans="1:16">
      <c r="A107">
        <v>1471</v>
      </c>
      <c r="B107" t="s">
        <v>1470</v>
      </c>
      <c r="C107" t="s">
        <v>3451</v>
      </c>
      <c r="D107" t="s">
        <v>3984</v>
      </c>
      <c r="E107" s="1">
        <v>44106</v>
      </c>
      <c r="F107" t="s">
        <v>3999</v>
      </c>
      <c r="G107" t="s">
        <v>4013</v>
      </c>
      <c r="H107" t="s">
        <v>4018</v>
      </c>
      <c r="I107" t="s">
        <v>4024</v>
      </c>
      <c r="J107" t="s">
        <v>4028</v>
      </c>
      <c r="K107" s="2">
        <v>44281</v>
      </c>
      <c r="L107" s="2">
        <v>44296</v>
      </c>
      <c r="M107">
        <v>4</v>
      </c>
      <c r="N107">
        <v>360</v>
      </c>
      <c r="O107">
        <f>IF(Tickets[[#This Row],[Ticket Priority]]="Critical",24,
IF(Tickets[[#This Row],[Ticket Priority]]="High",48,
IF(Tickets[[#This Row],[Ticket Priority]]="Medium",120,168)))</f>
        <v>168</v>
      </c>
      <c r="P107" t="str">
        <f>IF(Tickets[[#This Row],[Resolution Duration Hours]] &lt;= Tickets[[#This Row],[SLA_Target_Hours]], "Yes", "No")</f>
        <v>No</v>
      </c>
    </row>
    <row r="108" spans="1:16">
      <c r="A108">
        <v>73</v>
      </c>
      <c r="B108" t="s">
        <v>86</v>
      </c>
      <c r="C108" t="s">
        <v>2056</v>
      </c>
      <c r="D108" t="s">
        <v>3982</v>
      </c>
      <c r="E108" s="1">
        <v>44315</v>
      </c>
      <c r="F108" t="s">
        <v>3999</v>
      </c>
      <c r="G108" t="s">
        <v>4015</v>
      </c>
      <c r="H108" t="s">
        <v>4018</v>
      </c>
      <c r="I108" t="s">
        <v>4021</v>
      </c>
      <c r="J108" t="s">
        <v>4026</v>
      </c>
      <c r="K108" s="2">
        <v>44437</v>
      </c>
      <c r="L108" s="2">
        <v>44451</v>
      </c>
      <c r="M108">
        <v>5</v>
      </c>
      <c r="N108">
        <v>336</v>
      </c>
      <c r="O108">
        <f>IF(Tickets[[#This Row],[Ticket Priority]]="Critical",24,
IF(Tickets[[#This Row],[Ticket Priority]]="High",48,
IF(Tickets[[#This Row],[Ticket Priority]]="Medium",120,168)))</f>
        <v>48</v>
      </c>
      <c r="P108" t="str">
        <f>IF(Tickets[[#This Row],[Resolution Duration Hours]] &lt;= Tickets[[#This Row],[SLA_Target_Hours]], "Yes", "No")</f>
        <v>No</v>
      </c>
    </row>
    <row r="109" spans="1:16" hidden="1">
      <c r="A109">
        <v>108</v>
      </c>
      <c r="B109" t="s">
        <v>121</v>
      </c>
      <c r="C109" t="s">
        <v>2091</v>
      </c>
      <c r="D109" t="s">
        <v>3987</v>
      </c>
      <c r="E109" s="1">
        <v>44358</v>
      </c>
      <c r="F109" t="s">
        <v>4001</v>
      </c>
      <c r="G109" t="s">
        <v>4014</v>
      </c>
      <c r="H109" t="s">
        <v>4018</v>
      </c>
      <c r="I109" t="s">
        <v>4021</v>
      </c>
      <c r="J109" t="s">
        <v>4028</v>
      </c>
      <c r="K109" s="2">
        <v>44499</v>
      </c>
      <c r="L109" s="2">
        <v>44500</v>
      </c>
      <c r="M109">
        <v>3</v>
      </c>
      <c r="N109">
        <v>24</v>
      </c>
      <c r="O109">
        <f>IF(Tickets[[#This Row],[Ticket Priority]]="Critical",24,
IF(Tickets[[#This Row],[Ticket Priority]]="High",48,
IF(Tickets[[#This Row],[Ticket Priority]]="Medium",120,168)))</f>
        <v>48</v>
      </c>
      <c r="P109" t="str">
        <f>IF(Tickets[[#This Row],[Resolution Duration Hours]] &lt;= Tickets[[#This Row],[SLA_Target_Hours]], "Yes", "No")</f>
        <v>Yes</v>
      </c>
    </row>
    <row r="110" spans="1:16" hidden="1">
      <c r="A110">
        <v>109</v>
      </c>
      <c r="B110" t="s">
        <v>122</v>
      </c>
      <c r="C110" t="s">
        <v>2092</v>
      </c>
      <c r="D110" t="s">
        <v>3993</v>
      </c>
      <c r="E110" s="1">
        <v>44591</v>
      </c>
      <c r="F110" t="s">
        <v>4000</v>
      </c>
      <c r="G110" t="s">
        <v>4011</v>
      </c>
      <c r="H110" t="s">
        <v>4018</v>
      </c>
      <c r="I110" t="s">
        <v>4021</v>
      </c>
      <c r="J110" t="s">
        <v>4025</v>
      </c>
      <c r="K110" s="2">
        <v>44892</v>
      </c>
      <c r="L110" s="2">
        <v>44894</v>
      </c>
      <c r="M110">
        <v>4</v>
      </c>
      <c r="N110">
        <v>48</v>
      </c>
      <c r="O110">
        <f>IF(Tickets[[#This Row],[Ticket Priority]]="Critical",24,
IF(Tickets[[#This Row],[Ticket Priority]]="High",48,
IF(Tickets[[#This Row],[Ticket Priority]]="Medium",120,168)))</f>
        <v>48</v>
      </c>
      <c r="P110" t="str">
        <f>IF(Tickets[[#This Row],[Resolution Duration Hours]] &lt;= Tickets[[#This Row],[SLA_Target_Hours]], "Yes", "No")</f>
        <v>Yes</v>
      </c>
    </row>
    <row r="111" spans="1:16" hidden="1">
      <c r="A111">
        <v>110</v>
      </c>
      <c r="B111" t="s">
        <v>123</v>
      </c>
      <c r="C111" t="s">
        <v>2093</v>
      </c>
      <c r="D111" t="s">
        <v>3997</v>
      </c>
      <c r="E111" s="1">
        <v>44330</v>
      </c>
      <c r="F111" t="s">
        <v>3998</v>
      </c>
      <c r="G111" t="s">
        <v>4012</v>
      </c>
      <c r="H111" t="s">
        <v>4017</v>
      </c>
      <c r="I111" t="s">
        <v>4023</v>
      </c>
      <c r="J111" t="s">
        <v>4025</v>
      </c>
      <c r="K111" s="2">
        <v>44633</v>
      </c>
      <c r="L111" s="2">
        <v>44638</v>
      </c>
      <c r="N111">
        <v>120</v>
      </c>
      <c r="O111">
        <f>IF(Tickets[[#This Row],[Ticket Priority]]="Critical",24,
IF(Tickets[[#This Row],[Ticket Priority]]="High",48,
IF(Tickets[[#This Row],[Ticket Priority]]="Medium",120,168)))</f>
        <v>120</v>
      </c>
      <c r="P111" t="str">
        <f>IF(Tickets[[#This Row],[Resolution Duration Hours]] &lt;= Tickets[[#This Row],[SLA_Target_Hours]], "Yes", "No")</f>
        <v>Yes</v>
      </c>
    </row>
    <row r="112" spans="1:16" hidden="1">
      <c r="A112">
        <v>111</v>
      </c>
      <c r="B112" t="s">
        <v>124</v>
      </c>
      <c r="C112" t="s">
        <v>2094</v>
      </c>
      <c r="D112" t="s">
        <v>3984</v>
      </c>
      <c r="E112" s="1">
        <v>43898</v>
      </c>
      <c r="F112" t="s">
        <v>4000</v>
      </c>
      <c r="G112" t="s">
        <v>4003</v>
      </c>
      <c r="H112" t="s">
        <v>4018</v>
      </c>
      <c r="I112" t="s">
        <v>4022</v>
      </c>
      <c r="J112" t="s">
        <v>4028</v>
      </c>
      <c r="K112" s="2">
        <v>44228</v>
      </c>
      <c r="L112" s="2">
        <v>44229</v>
      </c>
      <c r="N112">
        <v>24</v>
      </c>
      <c r="O112">
        <f>IF(Tickets[[#This Row],[Ticket Priority]]="Critical",24,
IF(Tickets[[#This Row],[Ticket Priority]]="High",48,
IF(Tickets[[#This Row],[Ticket Priority]]="Medium",120,168)))</f>
        <v>24</v>
      </c>
      <c r="P112" t="str">
        <f>IF(Tickets[[#This Row],[Resolution Duration Hours]] &lt;= Tickets[[#This Row],[SLA_Target_Hours]], "Yes", "No")</f>
        <v>Yes</v>
      </c>
    </row>
    <row r="113" spans="1:16" hidden="1">
      <c r="A113">
        <v>112</v>
      </c>
      <c r="B113" t="s">
        <v>125</v>
      </c>
      <c r="C113" t="s">
        <v>2095</v>
      </c>
      <c r="D113" t="s">
        <v>3983</v>
      </c>
      <c r="E113" s="1">
        <v>44067</v>
      </c>
      <c r="F113" t="s">
        <v>3998</v>
      </c>
      <c r="G113" t="s">
        <v>4004</v>
      </c>
      <c r="H113" t="s">
        <v>4018</v>
      </c>
      <c r="I113" t="s">
        <v>4021</v>
      </c>
      <c r="J113" t="s">
        <v>4026</v>
      </c>
      <c r="K113" s="2">
        <v>44378</v>
      </c>
      <c r="L113" s="2">
        <v>44379</v>
      </c>
      <c r="M113">
        <v>3</v>
      </c>
      <c r="N113">
        <v>24</v>
      </c>
      <c r="O113">
        <f>IF(Tickets[[#This Row],[Ticket Priority]]="Critical",24,
IF(Tickets[[#This Row],[Ticket Priority]]="High",48,
IF(Tickets[[#This Row],[Ticket Priority]]="Medium",120,168)))</f>
        <v>48</v>
      </c>
      <c r="P113" t="str">
        <f>IF(Tickets[[#This Row],[Resolution Duration Hours]] &lt;= Tickets[[#This Row],[SLA_Target_Hours]], "Yes", "No")</f>
        <v>Yes</v>
      </c>
    </row>
    <row r="114" spans="1:16" hidden="1">
      <c r="A114">
        <v>113</v>
      </c>
      <c r="B114" t="s">
        <v>126</v>
      </c>
      <c r="C114" t="s">
        <v>2096</v>
      </c>
      <c r="D114" t="s">
        <v>3997</v>
      </c>
      <c r="E114" s="1">
        <v>44540</v>
      </c>
      <c r="F114" t="s">
        <v>4002</v>
      </c>
      <c r="G114" t="s">
        <v>4000</v>
      </c>
      <c r="H114" t="s">
        <v>4020</v>
      </c>
      <c r="I114" t="s">
        <v>4024</v>
      </c>
      <c r="J114" t="s">
        <v>4028</v>
      </c>
      <c r="K114" s="2">
        <v>44849</v>
      </c>
      <c r="L114" s="2">
        <v>44851</v>
      </c>
      <c r="N114">
        <v>48</v>
      </c>
      <c r="O114">
        <f>IF(Tickets[[#This Row],[Ticket Priority]]="Critical",24,
IF(Tickets[[#This Row],[Ticket Priority]]="High",48,
IF(Tickets[[#This Row],[Ticket Priority]]="Medium",120,168)))</f>
        <v>168</v>
      </c>
      <c r="P114" t="str">
        <f>IF(Tickets[[#This Row],[Resolution Duration Hours]] &lt;= Tickets[[#This Row],[SLA_Target_Hours]], "Yes", "No")</f>
        <v>Yes</v>
      </c>
    </row>
    <row r="115" spans="1:16" hidden="1">
      <c r="A115">
        <v>114</v>
      </c>
      <c r="B115" t="s">
        <v>127</v>
      </c>
      <c r="C115" t="s">
        <v>2097</v>
      </c>
      <c r="D115" t="s">
        <v>3984</v>
      </c>
      <c r="E115" s="1">
        <v>44356</v>
      </c>
      <c r="F115" t="s">
        <v>3999</v>
      </c>
      <c r="G115" t="s">
        <v>4007</v>
      </c>
      <c r="H115" t="s">
        <v>4018</v>
      </c>
      <c r="I115" t="s">
        <v>4024</v>
      </c>
      <c r="J115" t="s">
        <v>4026</v>
      </c>
      <c r="K115" s="2">
        <v>44472</v>
      </c>
      <c r="L115" s="2">
        <v>44477</v>
      </c>
      <c r="N115">
        <v>120</v>
      </c>
      <c r="O115">
        <f>IF(Tickets[[#This Row],[Ticket Priority]]="Critical",24,
IF(Tickets[[#This Row],[Ticket Priority]]="High",48,
IF(Tickets[[#This Row],[Ticket Priority]]="Medium",120,168)))</f>
        <v>168</v>
      </c>
      <c r="P115" t="str">
        <f>IF(Tickets[[#This Row],[Resolution Duration Hours]] &lt;= Tickets[[#This Row],[SLA_Target_Hours]], "Yes", "No")</f>
        <v>Yes</v>
      </c>
    </row>
    <row r="116" spans="1:16" hidden="1">
      <c r="A116">
        <v>115</v>
      </c>
      <c r="B116" t="s">
        <v>128</v>
      </c>
      <c r="C116" t="s">
        <v>2098</v>
      </c>
      <c r="D116" t="s">
        <v>3992</v>
      </c>
      <c r="E116" s="1">
        <v>44804</v>
      </c>
      <c r="F116" t="s">
        <v>4001</v>
      </c>
      <c r="G116" t="s">
        <v>4009</v>
      </c>
      <c r="H116" t="s">
        <v>4018</v>
      </c>
      <c r="I116" t="s">
        <v>4021</v>
      </c>
      <c r="J116" t="s">
        <v>4026</v>
      </c>
      <c r="K116" s="2">
        <v>44838</v>
      </c>
      <c r="L116" s="2">
        <v>44840</v>
      </c>
      <c r="N116">
        <v>48</v>
      </c>
      <c r="O116">
        <f>IF(Tickets[[#This Row],[Ticket Priority]]="Critical",24,
IF(Tickets[[#This Row],[Ticket Priority]]="High",48,
IF(Tickets[[#This Row],[Ticket Priority]]="Medium",120,168)))</f>
        <v>48</v>
      </c>
      <c r="P116" t="str">
        <f>IF(Tickets[[#This Row],[Resolution Duration Hours]] &lt;= Tickets[[#This Row],[SLA_Target_Hours]], "Yes", "No")</f>
        <v>Yes</v>
      </c>
    </row>
    <row r="117" spans="1:16" hidden="1">
      <c r="A117">
        <v>116</v>
      </c>
      <c r="B117" t="s">
        <v>129</v>
      </c>
      <c r="C117" t="s">
        <v>2099</v>
      </c>
      <c r="D117" t="s">
        <v>3991</v>
      </c>
      <c r="E117" s="1">
        <v>44277</v>
      </c>
      <c r="F117" t="s">
        <v>4001</v>
      </c>
      <c r="G117" t="s">
        <v>4012</v>
      </c>
      <c r="H117" t="s">
        <v>4018</v>
      </c>
      <c r="I117" t="s">
        <v>4023</v>
      </c>
      <c r="J117" t="s">
        <v>4027</v>
      </c>
      <c r="K117" s="2">
        <v>44445</v>
      </c>
      <c r="L117" s="2">
        <v>44449</v>
      </c>
      <c r="M117">
        <v>3</v>
      </c>
      <c r="N117">
        <v>96</v>
      </c>
      <c r="O117">
        <f>IF(Tickets[[#This Row],[Ticket Priority]]="Critical",24,
IF(Tickets[[#This Row],[Ticket Priority]]="High",48,
IF(Tickets[[#This Row],[Ticket Priority]]="Medium",120,168)))</f>
        <v>120</v>
      </c>
      <c r="P117" t="str">
        <f>IF(Tickets[[#This Row],[Resolution Duration Hours]] &lt;= Tickets[[#This Row],[SLA_Target_Hours]], "Yes", "No")</f>
        <v>Yes</v>
      </c>
    </row>
    <row r="118" spans="1:16" hidden="1">
      <c r="A118">
        <v>117</v>
      </c>
      <c r="B118" t="s">
        <v>130</v>
      </c>
      <c r="C118" t="s">
        <v>2100</v>
      </c>
      <c r="D118" t="s">
        <v>3981</v>
      </c>
      <c r="E118" s="1">
        <v>43902</v>
      </c>
      <c r="F118" t="s">
        <v>3999</v>
      </c>
      <c r="G118" t="s">
        <v>4003</v>
      </c>
      <c r="H118" t="s">
        <v>4018</v>
      </c>
      <c r="I118" t="s">
        <v>4021</v>
      </c>
      <c r="J118" t="s">
        <v>4025</v>
      </c>
      <c r="K118" s="2">
        <v>43955</v>
      </c>
      <c r="L118" s="2">
        <v>43957</v>
      </c>
      <c r="M118">
        <v>4</v>
      </c>
      <c r="N118">
        <v>48</v>
      </c>
      <c r="O118">
        <f>IF(Tickets[[#This Row],[Ticket Priority]]="Critical",24,
IF(Tickets[[#This Row],[Ticket Priority]]="High",48,
IF(Tickets[[#This Row],[Ticket Priority]]="Medium",120,168)))</f>
        <v>48</v>
      </c>
      <c r="P118" t="str">
        <f>IF(Tickets[[#This Row],[Resolution Duration Hours]] &lt;= Tickets[[#This Row],[SLA_Target_Hours]], "Yes", "No")</f>
        <v>Yes</v>
      </c>
    </row>
    <row r="119" spans="1:16" hidden="1">
      <c r="A119">
        <v>118</v>
      </c>
      <c r="B119" t="s">
        <v>131</v>
      </c>
      <c r="C119" t="s">
        <v>2101</v>
      </c>
      <c r="D119" t="s">
        <v>3980</v>
      </c>
      <c r="E119" s="1">
        <v>44710</v>
      </c>
      <c r="F119" t="s">
        <v>4001</v>
      </c>
      <c r="G119" t="s">
        <v>4009</v>
      </c>
      <c r="H119" t="s">
        <v>4018</v>
      </c>
      <c r="I119" t="s">
        <v>4024</v>
      </c>
      <c r="J119" t="s">
        <v>4028</v>
      </c>
      <c r="K119" s="2">
        <v>44825</v>
      </c>
      <c r="L119" s="2">
        <v>44829</v>
      </c>
      <c r="N119">
        <v>96</v>
      </c>
      <c r="O119">
        <f>IF(Tickets[[#This Row],[Ticket Priority]]="Critical",24,
IF(Tickets[[#This Row],[Ticket Priority]]="High",48,
IF(Tickets[[#This Row],[Ticket Priority]]="Medium",120,168)))</f>
        <v>168</v>
      </c>
      <c r="P119" t="str">
        <f>IF(Tickets[[#This Row],[Resolution Duration Hours]] &lt;= Tickets[[#This Row],[SLA_Target_Hours]], "Yes", "No")</f>
        <v>Yes</v>
      </c>
    </row>
    <row r="120" spans="1:16" hidden="1">
      <c r="A120">
        <v>119</v>
      </c>
      <c r="B120" t="s">
        <v>132</v>
      </c>
      <c r="C120" t="s">
        <v>2102</v>
      </c>
      <c r="D120" t="s">
        <v>3990</v>
      </c>
      <c r="E120" s="1">
        <v>44736</v>
      </c>
      <c r="F120" t="s">
        <v>3998</v>
      </c>
      <c r="G120" t="s">
        <v>4013</v>
      </c>
      <c r="H120" t="s">
        <v>4017</v>
      </c>
      <c r="I120" t="s">
        <v>4024</v>
      </c>
      <c r="J120" t="s">
        <v>4027</v>
      </c>
      <c r="K120" s="2">
        <v>44750</v>
      </c>
      <c r="L120" s="2">
        <v>44757</v>
      </c>
      <c r="N120">
        <v>168</v>
      </c>
      <c r="O120">
        <f>IF(Tickets[[#This Row],[Ticket Priority]]="Critical",24,
IF(Tickets[[#This Row],[Ticket Priority]]="High",48,
IF(Tickets[[#This Row],[Ticket Priority]]="Medium",120,168)))</f>
        <v>168</v>
      </c>
      <c r="P120" t="str">
        <f>IF(Tickets[[#This Row],[Resolution Duration Hours]] &lt;= Tickets[[#This Row],[SLA_Target_Hours]], "Yes", "No")</f>
        <v>Yes</v>
      </c>
    </row>
    <row r="121" spans="1:16" hidden="1">
      <c r="A121">
        <v>120</v>
      </c>
      <c r="B121" t="s">
        <v>133</v>
      </c>
      <c r="C121" t="s">
        <v>2103</v>
      </c>
      <c r="D121" t="s">
        <v>3996</v>
      </c>
      <c r="E121" s="1">
        <v>44680</v>
      </c>
      <c r="F121" t="s">
        <v>3999</v>
      </c>
      <c r="G121" t="s">
        <v>4014</v>
      </c>
      <c r="H121" t="s">
        <v>4018</v>
      </c>
      <c r="I121" t="s">
        <v>4023</v>
      </c>
      <c r="J121" t="s">
        <v>4026</v>
      </c>
      <c r="K121" s="2">
        <v>44715</v>
      </c>
      <c r="L121" s="2">
        <v>44719</v>
      </c>
      <c r="M121">
        <v>3</v>
      </c>
      <c r="N121">
        <v>96</v>
      </c>
      <c r="O121">
        <f>IF(Tickets[[#This Row],[Ticket Priority]]="Critical",24,
IF(Tickets[[#This Row],[Ticket Priority]]="High",48,
IF(Tickets[[#This Row],[Ticket Priority]]="Medium",120,168)))</f>
        <v>120</v>
      </c>
      <c r="P121" t="str">
        <f>IF(Tickets[[#This Row],[Resolution Duration Hours]] &lt;= Tickets[[#This Row],[SLA_Target_Hours]], "Yes", "No")</f>
        <v>Yes</v>
      </c>
    </row>
    <row r="122" spans="1:16">
      <c r="A122">
        <v>107</v>
      </c>
      <c r="B122" t="s">
        <v>120</v>
      </c>
      <c r="C122" t="s">
        <v>2090</v>
      </c>
      <c r="D122" t="s">
        <v>3983</v>
      </c>
      <c r="E122" s="1">
        <v>44564</v>
      </c>
      <c r="F122" t="s">
        <v>4002</v>
      </c>
      <c r="G122" t="s">
        <v>4007</v>
      </c>
      <c r="H122" t="s">
        <v>4018</v>
      </c>
      <c r="I122" t="s">
        <v>4024</v>
      </c>
      <c r="J122" t="s">
        <v>4028</v>
      </c>
      <c r="K122" s="2">
        <v>44689</v>
      </c>
      <c r="L122" s="2">
        <v>44703</v>
      </c>
      <c r="M122">
        <v>5</v>
      </c>
      <c r="N122">
        <v>336</v>
      </c>
      <c r="O122">
        <f>IF(Tickets[[#This Row],[Ticket Priority]]="Critical",24,
IF(Tickets[[#This Row],[Ticket Priority]]="High",48,
IF(Tickets[[#This Row],[Ticket Priority]]="Medium",120,168)))</f>
        <v>168</v>
      </c>
      <c r="P122" t="str">
        <f>IF(Tickets[[#This Row],[Resolution Duration Hours]] &lt;= Tickets[[#This Row],[SLA_Target_Hours]], "Yes", "No")</f>
        <v>No</v>
      </c>
    </row>
    <row r="123" spans="1:16" hidden="1">
      <c r="A123">
        <v>122</v>
      </c>
      <c r="B123" t="s">
        <v>135</v>
      </c>
      <c r="C123" t="s">
        <v>2105</v>
      </c>
      <c r="D123" t="s">
        <v>3995</v>
      </c>
      <c r="E123" s="1">
        <v>44917</v>
      </c>
      <c r="F123" t="s">
        <v>3998</v>
      </c>
      <c r="G123" t="s">
        <v>4011</v>
      </c>
      <c r="H123" t="s">
        <v>4018</v>
      </c>
      <c r="I123" t="s">
        <v>4023</v>
      </c>
      <c r="J123" t="s">
        <v>4026</v>
      </c>
      <c r="K123" s="2">
        <v>45165</v>
      </c>
      <c r="L123" s="2">
        <v>45169</v>
      </c>
      <c r="M123">
        <v>5</v>
      </c>
      <c r="N123">
        <v>96</v>
      </c>
      <c r="O123">
        <f>IF(Tickets[[#This Row],[Ticket Priority]]="Critical",24,
IF(Tickets[[#This Row],[Ticket Priority]]="High",48,
IF(Tickets[[#This Row],[Ticket Priority]]="Medium",120,168)))</f>
        <v>120</v>
      </c>
      <c r="P123" t="str">
        <f>IF(Tickets[[#This Row],[Resolution Duration Hours]] &lt;= Tickets[[#This Row],[SLA_Target_Hours]], "Yes", "No")</f>
        <v>Yes</v>
      </c>
    </row>
    <row r="124" spans="1:16">
      <c r="A124">
        <v>440</v>
      </c>
      <c r="B124" t="s">
        <v>453</v>
      </c>
      <c r="C124" t="s">
        <v>2423</v>
      </c>
      <c r="D124" t="s">
        <v>3983</v>
      </c>
      <c r="E124" s="1">
        <v>44661</v>
      </c>
      <c r="F124" t="s">
        <v>3999</v>
      </c>
      <c r="G124" t="s">
        <v>4003</v>
      </c>
      <c r="H124" t="s">
        <v>4018</v>
      </c>
      <c r="I124" t="s">
        <v>4023</v>
      </c>
      <c r="J124" t="s">
        <v>4028</v>
      </c>
      <c r="K124" s="2">
        <v>44873</v>
      </c>
      <c r="L124" s="2">
        <v>44887</v>
      </c>
      <c r="M124">
        <v>4</v>
      </c>
      <c r="N124">
        <v>336</v>
      </c>
      <c r="O124">
        <f>IF(Tickets[[#This Row],[Ticket Priority]]="Critical",24,
IF(Tickets[[#This Row],[Ticket Priority]]="High",48,
IF(Tickets[[#This Row],[Ticket Priority]]="Medium",120,168)))</f>
        <v>120</v>
      </c>
      <c r="P124" t="str">
        <f>IF(Tickets[[#This Row],[Resolution Duration Hours]] &lt;= Tickets[[#This Row],[SLA_Target_Hours]], "Yes", "No")</f>
        <v>No</v>
      </c>
    </row>
    <row r="125" spans="1:16" hidden="1">
      <c r="A125">
        <v>124</v>
      </c>
      <c r="B125" t="s">
        <v>137</v>
      </c>
      <c r="C125" t="s">
        <v>2107</v>
      </c>
      <c r="D125" t="s">
        <v>3987</v>
      </c>
      <c r="E125" s="1">
        <v>44126</v>
      </c>
      <c r="F125" t="s">
        <v>3999</v>
      </c>
      <c r="G125" t="s">
        <v>4003</v>
      </c>
      <c r="H125" t="s">
        <v>4018</v>
      </c>
      <c r="I125" t="s">
        <v>4021</v>
      </c>
      <c r="J125" t="s">
        <v>4025</v>
      </c>
      <c r="K125" s="2">
        <v>44380</v>
      </c>
      <c r="L125" s="2">
        <v>44381</v>
      </c>
      <c r="M125">
        <v>4</v>
      </c>
      <c r="N125">
        <v>24</v>
      </c>
      <c r="O125">
        <f>IF(Tickets[[#This Row],[Ticket Priority]]="Critical",24,
IF(Tickets[[#This Row],[Ticket Priority]]="High",48,
IF(Tickets[[#This Row],[Ticket Priority]]="Medium",120,168)))</f>
        <v>48</v>
      </c>
      <c r="P125" t="str">
        <f>IF(Tickets[[#This Row],[Resolution Duration Hours]] &lt;= Tickets[[#This Row],[SLA_Target_Hours]], "Yes", "No")</f>
        <v>Yes</v>
      </c>
    </row>
    <row r="126" spans="1:16">
      <c r="A126">
        <v>553</v>
      </c>
      <c r="B126" t="s">
        <v>563</v>
      </c>
      <c r="C126" t="s">
        <v>2536</v>
      </c>
      <c r="D126" t="s">
        <v>3988</v>
      </c>
      <c r="E126" s="1">
        <v>44259</v>
      </c>
      <c r="F126" t="s">
        <v>4001</v>
      </c>
      <c r="G126" t="s">
        <v>4005</v>
      </c>
      <c r="H126" t="s">
        <v>4018</v>
      </c>
      <c r="I126" t="s">
        <v>4024</v>
      </c>
      <c r="J126" t="s">
        <v>4028</v>
      </c>
      <c r="K126" s="2">
        <v>44565</v>
      </c>
      <c r="L126" s="2">
        <v>44579</v>
      </c>
      <c r="M126">
        <v>4</v>
      </c>
      <c r="N126">
        <v>336</v>
      </c>
      <c r="O126">
        <f>IF(Tickets[[#This Row],[Ticket Priority]]="Critical",24,
IF(Tickets[[#This Row],[Ticket Priority]]="High",48,
IF(Tickets[[#This Row],[Ticket Priority]]="Medium",120,168)))</f>
        <v>168</v>
      </c>
      <c r="P126" t="str">
        <f>IF(Tickets[[#This Row],[Resolution Duration Hours]] &lt;= Tickets[[#This Row],[SLA_Target_Hours]], "Yes", "No")</f>
        <v>No</v>
      </c>
    </row>
    <row r="127" spans="1:16">
      <c r="A127">
        <v>1298</v>
      </c>
      <c r="B127" t="s">
        <v>1300</v>
      </c>
      <c r="C127" t="s">
        <v>3278</v>
      </c>
      <c r="D127" t="s">
        <v>3989</v>
      </c>
      <c r="E127" s="1">
        <v>44927</v>
      </c>
      <c r="F127" t="s">
        <v>4001</v>
      </c>
      <c r="G127" t="s">
        <v>4007</v>
      </c>
      <c r="H127" t="s">
        <v>4017</v>
      </c>
      <c r="I127" t="s">
        <v>4024</v>
      </c>
      <c r="J127" t="s">
        <v>4027</v>
      </c>
      <c r="K127" s="2">
        <v>45055</v>
      </c>
      <c r="L127" s="2">
        <v>45069</v>
      </c>
      <c r="N127">
        <v>336</v>
      </c>
      <c r="O127">
        <f>IF(Tickets[[#This Row],[Ticket Priority]]="Critical",24,
IF(Tickets[[#This Row],[Ticket Priority]]="High",48,
IF(Tickets[[#This Row],[Ticket Priority]]="Medium",120,168)))</f>
        <v>168</v>
      </c>
      <c r="P127" t="str">
        <f>IF(Tickets[[#This Row],[Resolution Duration Hours]] &lt;= Tickets[[#This Row],[SLA_Target_Hours]], "Yes", "No")</f>
        <v>No</v>
      </c>
    </row>
    <row r="128" spans="1:16">
      <c r="A128">
        <v>142</v>
      </c>
      <c r="B128" t="s">
        <v>155</v>
      </c>
      <c r="C128" t="s">
        <v>2125</v>
      </c>
      <c r="D128" t="s">
        <v>3981</v>
      </c>
      <c r="E128" s="1">
        <v>44960</v>
      </c>
      <c r="F128" t="s">
        <v>4002</v>
      </c>
      <c r="G128" t="s">
        <v>4016</v>
      </c>
      <c r="H128" t="s">
        <v>4018</v>
      </c>
      <c r="I128" t="s">
        <v>4024</v>
      </c>
      <c r="J128" t="s">
        <v>4028</v>
      </c>
      <c r="K128" s="2">
        <v>45307</v>
      </c>
      <c r="L128" s="2">
        <v>45320</v>
      </c>
      <c r="M128">
        <v>5</v>
      </c>
      <c r="N128">
        <v>312</v>
      </c>
      <c r="O128">
        <f>IF(Tickets[[#This Row],[Ticket Priority]]="Critical",24,
IF(Tickets[[#This Row],[Ticket Priority]]="High",48,
IF(Tickets[[#This Row],[Ticket Priority]]="Medium",120,168)))</f>
        <v>168</v>
      </c>
      <c r="P128" t="str">
        <f>IF(Tickets[[#This Row],[Resolution Duration Hours]] &lt;= Tickets[[#This Row],[SLA_Target_Hours]], "Yes", "No")</f>
        <v>No</v>
      </c>
    </row>
    <row r="129" spans="1:16" hidden="1">
      <c r="A129">
        <v>128</v>
      </c>
      <c r="B129" t="s">
        <v>141</v>
      </c>
      <c r="C129" t="s">
        <v>2111</v>
      </c>
      <c r="D129" t="s">
        <v>3997</v>
      </c>
      <c r="E129" s="1">
        <v>44881</v>
      </c>
      <c r="F129" t="s">
        <v>4002</v>
      </c>
      <c r="G129" t="s">
        <v>4012</v>
      </c>
      <c r="H129" t="s">
        <v>4020</v>
      </c>
      <c r="I129" t="s">
        <v>4023</v>
      </c>
      <c r="J129" t="s">
        <v>4026</v>
      </c>
      <c r="K129" s="2">
        <v>44980</v>
      </c>
      <c r="L129" s="2">
        <v>44985</v>
      </c>
      <c r="N129">
        <v>120</v>
      </c>
      <c r="O129">
        <f>IF(Tickets[[#This Row],[Ticket Priority]]="Critical",24,
IF(Tickets[[#This Row],[Ticket Priority]]="High",48,
IF(Tickets[[#This Row],[Ticket Priority]]="Medium",120,168)))</f>
        <v>120</v>
      </c>
      <c r="P129" t="str">
        <f>IF(Tickets[[#This Row],[Resolution Duration Hours]] &lt;= Tickets[[#This Row],[SLA_Target_Hours]], "Yes", "No")</f>
        <v>Yes</v>
      </c>
    </row>
    <row r="130" spans="1:16">
      <c r="A130">
        <v>232</v>
      </c>
      <c r="B130" t="s">
        <v>245</v>
      </c>
      <c r="C130" t="s">
        <v>2215</v>
      </c>
      <c r="D130" t="s">
        <v>3983</v>
      </c>
      <c r="E130" s="1">
        <v>44877</v>
      </c>
      <c r="F130" t="s">
        <v>4002</v>
      </c>
      <c r="G130" t="s">
        <v>4013</v>
      </c>
      <c r="H130" t="s">
        <v>4018</v>
      </c>
      <c r="I130" t="s">
        <v>4024</v>
      </c>
      <c r="J130" t="s">
        <v>4026</v>
      </c>
      <c r="K130" s="2">
        <v>44892</v>
      </c>
      <c r="L130" s="2">
        <v>44905</v>
      </c>
      <c r="M130">
        <v>3</v>
      </c>
      <c r="N130">
        <v>312</v>
      </c>
      <c r="O130">
        <f>IF(Tickets[[#This Row],[Ticket Priority]]="Critical",24,
IF(Tickets[[#This Row],[Ticket Priority]]="High",48,
IF(Tickets[[#This Row],[Ticket Priority]]="Medium",120,168)))</f>
        <v>168</v>
      </c>
      <c r="P130" t="str">
        <f>IF(Tickets[[#This Row],[Resolution Duration Hours]] &lt;= Tickets[[#This Row],[SLA_Target_Hours]], "Yes", "No")</f>
        <v>No</v>
      </c>
    </row>
    <row r="131" spans="1:16" hidden="1">
      <c r="A131">
        <v>130</v>
      </c>
      <c r="B131" t="s">
        <v>143</v>
      </c>
      <c r="C131" t="s">
        <v>2113</v>
      </c>
      <c r="D131" t="s">
        <v>3980</v>
      </c>
      <c r="E131" s="1">
        <v>44194</v>
      </c>
      <c r="F131" t="s">
        <v>3999</v>
      </c>
      <c r="G131" t="s">
        <v>4014</v>
      </c>
      <c r="H131" t="s">
        <v>4018</v>
      </c>
      <c r="I131" t="s">
        <v>4024</v>
      </c>
      <c r="J131" t="s">
        <v>4027</v>
      </c>
      <c r="K131" s="2">
        <v>44423</v>
      </c>
      <c r="L131" s="2">
        <v>44429</v>
      </c>
      <c r="M131">
        <v>5</v>
      </c>
      <c r="N131">
        <v>144</v>
      </c>
      <c r="O131">
        <f>IF(Tickets[[#This Row],[Ticket Priority]]="Critical",24,
IF(Tickets[[#This Row],[Ticket Priority]]="High",48,
IF(Tickets[[#This Row],[Ticket Priority]]="Medium",120,168)))</f>
        <v>168</v>
      </c>
      <c r="P131" t="str">
        <f>IF(Tickets[[#This Row],[Resolution Duration Hours]] &lt;= Tickets[[#This Row],[SLA_Target_Hours]], "Yes", "No")</f>
        <v>Yes</v>
      </c>
    </row>
    <row r="132" spans="1:16" hidden="1">
      <c r="A132">
        <v>131</v>
      </c>
      <c r="B132" t="s">
        <v>144</v>
      </c>
      <c r="C132" t="s">
        <v>2114</v>
      </c>
      <c r="D132" t="s">
        <v>3992</v>
      </c>
      <c r="E132" s="1">
        <v>44552</v>
      </c>
      <c r="F132" t="s">
        <v>4001</v>
      </c>
      <c r="G132" t="s">
        <v>4010</v>
      </c>
      <c r="H132" t="s">
        <v>4018</v>
      </c>
      <c r="I132" t="s">
        <v>4024</v>
      </c>
      <c r="J132" t="s">
        <v>4028</v>
      </c>
      <c r="K132" s="2">
        <v>44778</v>
      </c>
      <c r="L132" s="2">
        <v>44782</v>
      </c>
      <c r="M132">
        <v>4</v>
      </c>
      <c r="N132">
        <v>96</v>
      </c>
      <c r="O132">
        <f>IF(Tickets[[#This Row],[Ticket Priority]]="Critical",24,
IF(Tickets[[#This Row],[Ticket Priority]]="High",48,
IF(Tickets[[#This Row],[Ticket Priority]]="Medium",120,168)))</f>
        <v>168</v>
      </c>
      <c r="P132" t="str">
        <f>IF(Tickets[[#This Row],[Resolution Duration Hours]] &lt;= Tickets[[#This Row],[SLA_Target_Hours]], "Yes", "No")</f>
        <v>Yes</v>
      </c>
    </row>
    <row r="133" spans="1:16" hidden="1">
      <c r="A133">
        <v>132</v>
      </c>
      <c r="B133" t="s">
        <v>145</v>
      </c>
      <c r="C133" t="s">
        <v>2115</v>
      </c>
      <c r="D133" t="s">
        <v>3986</v>
      </c>
      <c r="E133" s="1">
        <v>44011</v>
      </c>
      <c r="F133" t="s">
        <v>4001</v>
      </c>
      <c r="G133" t="s">
        <v>4011</v>
      </c>
      <c r="H133" t="s">
        <v>4018</v>
      </c>
      <c r="I133" t="s">
        <v>4024</v>
      </c>
      <c r="J133" t="s">
        <v>4028</v>
      </c>
      <c r="K133" s="2">
        <v>44050</v>
      </c>
      <c r="L133" s="2">
        <v>44055</v>
      </c>
      <c r="N133">
        <v>120</v>
      </c>
      <c r="O133">
        <f>IF(Tickets[[#This Row],[Ticket Priority]]="Critical",24,
IF(Tickets[[#This Row],[Ticket Priority]]="High",48,
IF(Tickets[[#This Row],[Ticket Priority]]="Medium",120,168)))</f>
        <v>168</v>
      </c>
      <c r="P133" t="str">
        <f>IF(Tickets[[#This Row],[Resolution Duration Hours]] &lt;= Tickets[[#This Row],[SLA_Target_Hours]], "Yes", "No")</f>
        <v>Yes</v>
      </c>
    </row>
    <row r="134" spans="1:16" hidden="1">
      <c r="A134">
        <v>133</v>
      </c>
      <c r="B134" t="s">
        <v>146</v>
      </c>
      <c r="C134" t="s">
        <v>2116</v>
      </c>
      <c r="D134" t="s">
        <v>3980</v>
      </c>
      <c r="E134" s="1">
        <v>44670</v>
      </c>
      <c r="F134" t="s">
        <v>3999</v>
      </c>
      <c r="G134" t="s">
        <v>4015</v>
      </c>
      <c r="H134" t="s">
        <v>4018</v>
      </c>
      <c r="I134" t="s">
        <v>4023</v>
      </c>
      <c r="J134" t="s">
        <v>4025</v>
      </c>
      <c r="K134" s="2">
        <v>45003</v>
      </c>
      <c r="L134" s="2">
        <v>45007</v>
      </c>
      <c r="M134">
        <v>5</v>
      </c>
      <c r="N134">
        <v>96</v>
      </c>
      <c r="O134">
        <f>IF(Tickets[[#This Row],[Ticket Priority]]="Critical",24,
IF(Tickets[[#This Row],[Ticket Priority]]="High",48,
IF(Tickets[[#This Row],[Ticket Priority]]="Medium",120,168)))</f>
        <v>120</v>
      </c>
      <c r="P134" t="str">
        <f>IF(Tickets[[#This Row],[Resolution Duration Hours]] &lt;= Tickets[[#This Row],[SLA_Target_Hours]], "Yes", "No")</f>
        <v>Yes</v>
      </c>
    </row>
    <row r="135" spans="1:16" hidden="1">
      <c r="A135">
        <v>134</v>
      </c>
      <c r="B135" t="s">
        <v>147</v>
      </c>
      <c r="C135" t="s">
        <v>2117</v>
      </c>
      <c r="D135" t="s">
        <v>3982</v>
      </c>
      <c r="E135" s="1">
        <v>44464</v>
      </c>
      <c r="F135" t="s">
        <v>3999</v>
      </c>
      <c r="G135" t="s">
        <v>4000</v>
      </c>
      <c r="H135" t="s">
        <v>4018</v>
      </c>
      <c r="I135" t="s">
        <v>4023</v>
      </c>
      <c r="J135" t="s">
        <v>4026</v>
      </c>
      <c r="K135" s="2">
        <v>44484</v>
      </c>
      <c r="L135" s="2">
        <v>44485</v>
      </c>
      <c r="M135">
        <v>5</v>
      </c>
      <c r="N135">
        <v>24</v>
      </c>
      <c r="O135">
        <f>IF(Tickets[[#This Row],[Ticket Priority]]="Critical",24,
IF(Tickets[[#This Row],[Ticket Priority]]="High",48,
IF(Tickets[[#This Row],[Ticket Priority]]="Medium",120,168)))</f>
        <v>120</v>
      </c>
      <c r="P135" t="str">
        <f>IF(Tickets[[#This Row],[Resolution Duration Hours]] &lt;= Tickets[[#This Row],[SLA_Target_Hours]], "Yes", "No")</f>
        <v>Yes</v>
      </c>
    </row>
    <row r="136" spans="1:16" hidden="1">
      <c r="A136">
        <v>135</v>
      </c>
      <c r="B136" t="s">
        <v>148</v>
      </c>
      <c r="C136" t="s">
        <v>2118</v>
      </c>
      <c r="D136" t="s">
        <v>3983</v>
      </c>
      <c r="E136" s="1">
        <v>43985</v>
      </c>
      <c r="F136" t="s">
        <v>4000</v>
      </c>
      <c r="G136" t="s">
        <v>4012</v>
      </c>
      <c r="H136" t="s">
        <v>4017</v>
      </c>
      <c r="I136" t="s">
        <v>4024</v>
      </c>
      <c r="J136" t="s">
        <v>4026</v>
      </c>
      <c r="K136" s="2">
        <v>44332</v>
      </c>
      <c r="L136" s="2">
        <v>44334</v>
      </c>
      <c r="N136">
        <v>48</v>
      </c>
      <c r="O136">
        <f>IF(Tickets[[#This Row],[Ticket Priority]]="Critical",24,
IF(Tickets[[#This Row],[Ticket Priority]]="High",48,
IF(Tickets[[#This Row],[Ticket Priority]]="Medium",120,168)))</f>
        <v>168</v>
      </c>
      <c r="P136" t="str">
        <f>IF(Tickets[[#This Row],[Resolution Duration Hours]] &lt;= Tickets[[#This Row],[SLA_Target_Hours]], "Yes", "No")</f>
        <v>Yes</v>
      </c>
    </row>
    <row r="137" spans="1:16" hidden="1">
      <c r="A137">
        <v>136</v>
      </c>
      <c r="B137" t="s">
        <v>149</v>
      </c>
      <c r="C137" t="s">
        <v>2119</v>
      </c>
      <c r="D137" t="s">
        <v>3990</v>
      </c>
      <c r="E137" s="1">
        <v>44537</v>
      </c>
      <c r="F137" t="s">
        <v>3999</v>
      </c>
      <c r="G137" t="s">
        <v>4012</v>
      </c>
      <c r="H137" t="s">
        <v>4017</v>
      </c>
      <c r="I137" t="s">
        <v>4023</v>
      </c>
      <c r="J137" t="s">
        <v>4028</v>
      </c>
      <c r="K137" s="2">
        <v>44874</v>
      </c>
      <c r="L137" s="2">
        <v>44877</v>
      </c>
      <c r="N137">
        <v>72</v>
      </c>
      <c r="O137">
        <f>IF(Tickets[[#This Row],[Ticket Priority]]="Critical",24,
IF(Tickets[[#This Row],[Ticket Priority]]="High",48,
IF(Tickets[[#This Row],[Ticket Priority]]="Medium",120,168)))</f>
        <v>120</v>
      </c>
      <c r="P137" t="str">
        <f>IF(Tickets[[#This Row],[Resolution Duration Hours]] &lt;= Tickets[[#This Row],[SLA_Target_Hours]], "Yes", "No")</f>
        <v>Yes</v>
      </c>
    </row>
    <row r="138" spans="1:16">
      <c r="A138">
        <v>366</v>
      </c>
      <c r="B138" t="s">
        <v>379</v>
      </c>
      <c r="C138" t="s">
        <v>2349</v>
      </c>
      <c r="D138" t="s">
        <v>3994</v>
      </c>
      <c r="E138" s="1">
        <v>44064</v>
      </c>
      <c r="F138" t="s">
        <v>3999</v>
      </c>
      <c r="G138" t="s">
        <v>4009</v>
      </c>
      <c r="H138" t="s">
        <v>4018</v>
      </c>
      <c r="I138" t="s">
        <v>4024</v>
      </c>
      <c r="J138" t="s">
        <v>4028</v>
      </c>
      <c r="K138" s="2">
        <v>44145</v>
      </c>
      <c r="L138" s="2">
        <v>44158</v>
      </c>
      <c r="M138">
        <v>4</v>
      </c>
      <c r="N138">
        <v>312</v>
      </c>
      <c r="O138">
        <f>IF(Tickets[[#This Row],[Ticket Priority]]="Critical",24,
IF(Tickets[[#This Row],[Ticket Priority]]="High",48,
IF(Tickets[[#This Row],[Ticket Priority]]="Medium",120,168)))</f>
        <v>168</v>
      </c>
      <c r="P138" t="str">
        <f>IF(Tickets[[#This Row],[Resolution Duration Hours]] &lt;= Tickets[[#This Row],[SLA_Target_Hours]], "Yes", "No")</f>
        <v>No</v>
      </c>
    </row>
    <row r="139" spans="1:16" hidden="1">
      <c r="A139">
        <v>138</v>
      </c>
      <c r="B139" t="s">
        <v>151</v>
      </c>
      <c r="C139" t="s">
        <v>2121</v>
      </c>
      <c r="D139" t="s">
        <v>3995</v>
      </c>
      <c r="E139" s="1">
        <v>44341</v>
      </c>
      <c r="F139" t="s">
        <v>4002</v>
      </c>
      <c r="G139" t="s">
        <v>4014</v>
      </c>
      <c r="H139" t="s">
        <v>4019</v>
      </c>
      <c r="I139" t="s">
        <v>4023</v>
      </c>
      <c r="J139" t="s">
        <v>4028</v>
      </c>
      <c r="K139" s="2">
        <v>44601</v>
      </c>
      <c r="L139" s="2">
        <v>44605</v>
      </c>
      <c r="M139">
        <v>3</v>
      </c>
      <c r="N139">
        <v>96</v>
      </c>
      <c r="O139">
        <f>IF(Tickets[[#This Row],[Ticket Priority]]="Critical",24,
IF(Tickets[[#This Row],[Ticket Priority]]="High",48,
IF(Tickets[[#This Row],[Ticket Priority]]="Medium",120,168)))</f>
        <v>120</v>
      </c>
      <c r="P139" t="str">
        <f>IF(Tickets[[#This Row],[Resolution Duration Hours]] &lt;= Tickets[[#This Row],[SLA_Target_Hours]], "Yes", "No")</f>
        <v>Yes</v>
      </c>
    </row>
    <row r="140" spans="1:16" hidden="1">
      <c r="A140">
        <v>139</v>
      </c>
      <c r="B140" t="s">
        <v>152</v>
      </c>
      <c r="C140" t="s">
        <v>2122</v>
      </c>
      <c r="D140" t="s">
        <v>3986</v>
      </c>
      <c r="E140" s="1">
        <v>44220</v>
      </c>
      <c r="F140" t="s">
        <v>3998</v>
      </c>
      <c r="G140" t="s">
        <v>4014</v>
      </c>
      <c r="H140" t="s">
        <v>4018</v>
      </c>
      <c r="I140" t="s">
        <v>4023</v>
      </c>
      <c r="J140" t="s">
        <v>4027</v>
      </c>
      <c r="K140" s="2">
        <v>44271</v>
      </c>
      <c r="L140" s="2">
        <v>44273</v>
      </c>
      <c r="M140">
        <v>5</v>
      </c>
      <c r="N140">
        <v>48</v>
      </c>
      <c r="O140">
        <f>IF(Tickets[[#This Row],[Ticket Priority]]="Critical",24,
IF(Tickets[[#This Row],[Ticket Priority]]="High",48,
IF(Tickets[[#This Row],[Ticket Priority]]="Medium",120,168)))</f>
        <v>120</v>
      </c>
      <c r="P140" t="str">
        <f>IF(Tickets[[#This Row],[Resolution Duration Hours]] &lt;= Tickets[[#This Row],[SLA_Target_Hours]], "Yes", "No")</f>
        <v>Yes</v>
      </c>
    </row>
    <row r="141" spans="1:16" hidden="1">
      <c r="A141">
        <v>140</v>
      </c>
      <c r="B141" t="s">
        <v>153</v>
      </c>
      <c r="C141" t="s">
        <v>2123</v>
      </c>
      <c r="D141" t="s">
        <v>3985</v>
      </c>
      <c r="E141" s="1">
        <v>44745</v>
      </c>
      <c r="F141" t="s">
        <v>3999</v>
      </c>
      <c r="G141" t="s">
        <v>4013</v>
      </c>
      <c r="H141" t="s">
        <v>4018</v>
      </c>
      <c r="I141" t="s">
        <v>4024</v>
      </c>
      <c r="J141" t="s">
        <v>4026</v>
      </c>
      <c r="K141" s="2">
        <v>44828</v>
      </c>
      <c r="L141" s="2">
        <v>44832</v>
      </c>
      <c r="M141">
        <v>4</v>
      </c>
      <c r="N141">
        <v>96</v>
      </c>
      <c r="O141">
        <f>IF(Tickets[[#This Row],[Ticket Priority]]="Critical",24,
IF(Tickets[[#This Row],[Ticket Priority]]="High",48,
IF(Tickets[[#This Row],[Ticket Priority]]="Medium",120,168)))</f>
        <v>168</v>
      </c>
      <c r="P141" t="str">
        <f>IF(Tickets[[#This Row],[Resolution Duration Hours]] &lt;= Tickets[[#This Row],[SLA_Target_Hours]], "Yes", "No")</f>
        <v>Yes</v>
      </c>
    </row>
    <row r="142" spans="1:16" hidden="1">
      <c r="A142">
        <v>141</v>
      </c>
      <c r="B142" t="s">
        <v>154</v>
      </c>
      <c r="C142" t="s">
        <v>2124</v>
      </c>
      <c r="D142" t="s">
        <v>3984</v>
      </c>
      <c r="E142" s="1">
        <v>44570</v>
      </c>
      <c r="F142" t="s">
        <v>4000</v>
      </c>
      <c r="G142" t="s">
        <v>4006</v>
      </c>
      <c r="H142" t="s">
        <v>4018</v>
      </c>
      <c r="I142" t="s">
        <v>4024</v>
      </c>
      <c r="J142" t="s">
        <v>4025</v>
      </c>
      <c r="K142" s="2">
        <v>44882</v>
      </c>
      <c r="L142" s="2">
        <v>44889</v>
      </c>
      <c r="M142">
        <v>3</v>
      </c>
      <c r="N142">
        <v>168</v>
      </c>
      <c r="O142">
        <f>IF(Tickets[[#This Row],[Ticket Priority]]="Critical",24,
IF(Tickets[[#This Row],[Ticket Priority]]="High",48,
IF(Tickets[[#This Row],[Ticket Priority]]="Medium",120,168)))</f>
        <v>168</v>
      </c>
      <c r="P142" t="str">
        <f>IF(Tickets[[#This Row],[Resolution Duration Hours]] &lt;= Tickets[[#This Row],[SLA_Target_Hours]], "Yes", "No")</f>
        <v>Yes</v>
      </c>
    </row>
    <row r="143" spans="1:16">
      <c r="A143">
        <v>514</v>
      </c>
      <c r="B143" t="s">
        <v>524</v>
      </c>
      <c r="C143" t="s">
        <v>2497</v>
      </c>
      <c r="D143" t="s">
        <v>3996</v>
      </c>
      <c r="E143" s="1">
        <v>44116</v>
      </c>
      <c r="F143" t="s">
        <v>4001</v>
      </c>
      <c r="G143" t="s">
        <v>4004</v>
      </c>
      <c r="H143" t="s">
        <v>4018</v>
      </c>
      <c r="I143" t="s">
        <v>4024</v>
      </c>
      <c r="J143" t="s">
        <v>4025</v>
      </c>
      <c r="K143" s="2">
        <v>44276</v>
      </c>
      <c r="L143" s="2">
        <v>44289</v>
      </c>
      <c r="M143">
        <v>4</v>
      </c>
      <c r="N143">
        <v>312</v>
      </c>
      <c r="O143">
        <f>IF(Tickets[[#This Row],[Ticket Priority]]="Critical",24,
IF(Tickets[[#This Row],[Ticket Priority]]="High",48,
IF(Tickets[[#This Row],[Ticket Priority]]="Medium",120,168)))</f>
        <v>168</v>
      </c>
      <c r="P143" t="str">
        <f>IF(Tickets[[#This Row],[Resolution Duration Hours]] &lt;= Tickets[[#This Row],[SLA_Target_Hours]], "Yes", "No")</f>
        <v>No</v>
      </c>
    </row>
    <row r="144" spans="1:16" hidden="1">
      <c r="A144">
        <v>143</v>
      </c>
      <c r="B144" t="s">
        <v>156</v>
      </c>
      <c r="C144" t="s">
        <v>2126</v>
      </c>
      <c r="D144" t="s">
        <v>3985</v>
      </c>
      <c r="E144" s="1">
        <v>44575</v>
      </c>
      <c r="F144" t="s">
        <v>4001</v>
      </c>
      <c r="G144" t="s">
        <v>4012</v>
      </c>
      <c r="H144" t="s">
        <v>4018</v>
      </c>
      <c r="I144" t="s">
        <v>4023</v>
      </c>
      <c r="J144" t="s">
        <v>4028</v>
      </c>
      <c r="K144" s="2">
        <v>44703</v>
      </c>
      <c r="L144" s="2">
        <v>44703</v>
      </c>
      <c r="M144">
        <v>4</v>
      </c>
      <c r="N144">
        <v>0</v>
      </c>
      <c r="O144">
        <f>IF(Tickets[[#This Row],[Ticket Priority]]="Critical",24,
IF(Tickets[[#This Row],[Ticket Priority]]="High",48,
IF(Tickets[[#This Row],[Ticket Priority]]="Medium",120,168)))</f>
        <v>120</v>
      </c>
      <c r="P144" t="str">
        <f>IF(Tickets[[#This Row],[Resolution Duration Hours]] &lt;= Tickets[[#This Row],[SLA_Target_Hours]], "Yes", "No")</f>
        <v>Yes</v>
      </c>
    </row>
    <row r="145" spans="1:16" hidden="1">
      <c r="A145">
        <v>144</v>
      </c>
      <c r="B145" t="s">
        <v>157</v>
      </c>
      <c r="C145" t="s">
        <v>2127</v>
      </c>
      <c r="D145" t="s">
        <v>3982</v>
      </c>
      <c r="E145" s="1">
        <v>44775</v>
      </c>
      <c r="F145" t="s">
        <v>4000</v>
      </c>
      <c r="G145" t="s">
        <v>4006</v>
      </c>
      <c r="H145" t="s">
        <v>4017</v>
      </c>
      <c r="I145" t="s">
        <v>4023</v>
      </c>
      <c r="J145" t="s">
        <v>4027</v>
      </c>
      <c r="K145" s="2">
        <v>44914</v>
      </c>
      <c r="L145" s="2">
        <v>44916</v>
      </c>
      <c r="N145">
        <v>48</v>
      </c>
      <c r="O145">
        <f>IF(Tickets[[#This Row],[Ticket Priority]]="Critical",24,
IF(Tickets[[#This Row],[Ticket Priority]]="High",48,
IF(Tickets[[#This Row],[Ticket Priority]]="Medium",120,168)))</f>
        <v>120</v>
      </c>
      <c r="P145" t="str">
        <f>IF(Tickets[[#This Row],[Resolution Duration Hours]] &lt;= Tickets[[#This Row],[SLA_Target_Hours]], "Yes", "No")</f>
        <v>Yes</v>
      </c>
    </row>
    <row r="146" spans="1:16" hidden="1">
      <c r="A146">
        <v>145</v>
      </c>
      <c r="B146" t="s">
        <v>158</v>
      </c>
      <c r="C146" t="s">
        <v>2128</v>
      </c>
      <c r="D146" t="s">
        <v>3981</v>
      </c>
      <c r="E146" s="1">
        <v>44535</v>
      </c>
      <c r="F146" t="s">
        <v>3999</v>
      </c>
      <c r="G146" t="s">
        <v>4006</v>
      </c>
      <c r="H146" t="s">
        <v>4018</v>
      </c>
      <c r="I146" t="s">
        <v>4023</v>
      </c>
      <c r="J146" t="s">
        <v>4026</v>
      </c>
      <c r="K146" s="2">
        <v>44548</v>
      </c>
      <c r="L146" s="2">
        <v>44553</v>
      </c>
      <c r="M146">
        <v>3</v>
      </c>
      <c r="N146">
        <v>120</v>
      </c>
      <c r="O146">
        <f>IF(Tickets[[#This Row],[Ticket Priority]]="Critical",24,
IF(Tickets[[#This Row],[Ticket Priority]]="High",48,
IF(Tickets[[#This Row],[Ticket Priority]]="Medium",120,168)))</f>
        <v>120</v>
      </c>
      <c r="P146" t="str">
        <f>IF(Tickets[[#This Row],[Resolution Duration Hours]] &lt;= Tickets[[#This Row],[SLA_Target_Hours]], "Yes", "No")</f>
        <v>Yes</v>
      </c>
    </row>
    <row r="147" spans="1:16" hidden="1">
      <c r="A147">
        <v>146</v>
      </c>
      <c r="B147" t="s">
        <v>159</v>
      </c>
      <c r="C147" t="s">
        <v>2129</v>
      </c>
      <c r="D147" t="s">
        <v>3983</v>
      </c>
      <c r="E147" s="1">
        <v>44950</v>
      </c>
      <c r="F147" t="s">
        <v>4000</v>
      </c>
      <c r="G147" t="s">
        <v>4009</v>
      </c>
      <c r="H147" t="s">
        <v>4018</v>
      </c>
      <c r="I147" t="s">
        <v>4023</v>
      </c>
      <c r="J147" t="s">
        <v>4025</v>
      </c>
      <c r="K147" s="2">
        <v>45024</v>
      </c>
      <c r="L147" s="2">
        <v>45027</v>
      </c>
      <c r="M147">
        <v>4</v>
      </c>
      <c r="N147">
        <v>72</v>
      </c>
      <c r="O147">
        <f>IF(Tickets[[#This Row],[Ticket Priority]]="Critical",24,
IF(Tickets[[#This Row],[Ticket Priority]]="High",48,
IF(Tickets[[#This Row],[Ticket Priority]]="Medium",120,168)))</f>
        <v>120</v>
      </c>
      <c r="P147" t="str">
        <f>IF(Tickets[[#This Row],[Resolution Duration Hours]] &lt;= Tickets[[#This Row],[SLA_Target_Hours]], "Yes", "No")</f>
        <v>Yes</v>
      </c>
    </row>
    <row r="148" spans="1:16">
      <c r="A148">
        <v>530</v>
      </c>
      <c r="B148" t="s">
        <v>540</v>
      </c>
      <c r="C148" t="s">
        <v>2513</v>
      </c>
      <c r="D148" t="s">
        <v>3992</v>
      </c>
      <c r="E148" s="1">
        <v>44633</v>
      </c>
      <c r="F148" t="s">
        <v>4000</v>
      </c>
      <c r="G148" t="s">
        <v>4013</v>
      </c>
      <c r="H148" t="s">
        <v>4018</v>
      </c>
      <c r="I148" t="s">
        <v>4024</v>
      </c>
      <c r="J148" t="s">
        <v>4026</v>
      </c>
      <c r="K148" s="2">
        <v>44885</v>
      </c>
      <c r="L148" s="2">
        <v>44898</v>
      </c>
      <c r="M148">
        <v>3</v>
      </c>
      <c r="N148">
        <v>312</v>
      </c>
      <c r="O148">
        <f>IF(Tickets[[#This Row],[Ticket Priority]]="Critical",24,
IF(Tickets[[#This Row],[Ticket Priority]]="High",48,
IF(Tickets[[#This Row],[Ticket Priority]]="Medium",120,168)))</f>
        <v>168</v>
      </c>
      <c r="P148" t="str">
        <f>IF(Tickets[[#This Row],[Resolution Duration Hours]] &lt;= Tickets[[#This Row],[SLA_Target_Hours]], "Yes", "No")</f>
        <v>No</v>
      </c>
    </row>
    <row r="149" spans="1:16" hidden="1">
      <c r="A149">
        <v>148</v>
      </c>
      <c r="B149" t="s">
        <v>161</v>
      </c>
      <c r="C149" t="s">
        <v>2131</v>
      </c>
      <c r="D149" t="s">
        <v>3994</v>
      </c>
      <c r="E149" s="1">
        <v>43972</v>
      </c>
      <c r="F149" t="s">
        <v>3998</v>
      </c>
      <c r="G149" t="s">
        <v>4004</v>
      </c>
      <c r="H149" t="s">
        <v>4017</v>
      </c>
      <c r="I149" t="s">
        <v>4024</v>
      </c>
      <c r="J149" t="s">
        <v>4027</v>
      </c>
      <c r="K149" s="2">
        <v>44094</v>
      </c>
      <c r="L149" s="2">
        <v>44100</v>
      </c>
      <c r="N149">
        <v>144</v>
      </c>
      <c r="O149">
        <f>IF(Tickets[[#This Row],[Ticket Priority]]="Critical",24,
IF(Tickets[[#This Row],[Ticket Priority]]="High",48,
IF(Tickets[[#This Row],[Ticket Priority]]="Medium",120,168)))</f>
        <v>168</v>
      </c>
      <c r="P149" t="str">
        <f>IF(Tickets[[#This Row],[Resolution Duration Hours]] &lt;= Tickets[[#This Row],[SLA_Target_Hours]], "Yes", "No")</f>
        <v>Yes</v>
      </c>
    </row>
    <row r="150" spans="1:16" hidden="1">
      <c r="A150">
        <v>149</v>
      </c>
      <c r="B150" t="s">
        <v>162</v>
      </c>
      <c r="C150" t="s">
        <v>2132</v>
      </c>
      <c r="D150" t="s">
        <v>3987</v>
      </c>
      <c r="E150" s="1">
        <v>44703</v>
      </c>
      <c r="F150" t="s">
        <v>4000</v>
      </c>
      <c r="G150" t="s">
        <v>4014</v>
      </c>
      <c r="H150" t="s">
        <v>4018</v>
      </c>
      <c r="I150" t="s">
        <v>4021</v>
      </c>
      <c r="J150" t="s">
        <v>4026</v>
      </c>
      <c r="K150" s="2">
        <v>45026</v>
      </c>
      <c r="L150" s="2">
        <v>45027</v>
      </c>
      <c r="M150">
        <v>3</v>
      </c>
      <c r="N150">
        <v>24</v>
      </c>
      <c r="O150">
        <f>IF(Tickets[[#This Row],[Ticket Priority]]="Critical",24,
IF(Tickets[[#This Row],[Ticket Priority]]="High",48,
IF(Tickets[[#This Row],[Ticket Priority]]="Medium",120,168)))</f>
        <v>48</v>
      </c>
      <c r="P150" t="str">
        <f>IF(Tickets[[#This Row],[Resolution Duration Hours]] &lt;= Tickets[[#This Row],[SLA_Target_Hours]], "Yes", "No")</f>
        <v>Yes</v>
      </c>
    </row>
    <row r="151" spans="1:16" hidden="1">
      <c r="A151">
        <v>150</v>
      </c>
      <c r="B151" t="s">
        <v>163</v>
      </c>
      <c r="C151" t="s">
        <v>2133</v>
      </c>
      <c r="D151" t="s">
        <v>3988</v>
      </c>
      <c r="E151" s="1">
        <v>44277</v>
      </c>
      <c r="F151" t="s">
        <v>4000</v>
      </c>
      <c r="G151" t="s">
        <v>4016</v>
      </c>
      <c r="H151" t="s">
        <v>4019</v>
      </c>
      <c r="I151" t="s">
        <v>4022</v>
      </c>
      <c r="J151" t="s">
        <v>4028</v>
      </c>
      <c r="K151" s="2">
        <v>44546</v>
      </c>
      <c r="L151" s="2">
        <v>44547</v>
      </c>
      <c r="M151">
        <v>4</v>
      </c>
      <c r="N151">
        <v>24</v>
      </c>
      <c r="O151">
        <f>IF(Tickets[[#This Row],[Ticket Priority]]="Critical",24,
IF(Tickets[[#This Row],[Ticket Priority]]="High",48,
IF(Tickets[[#This Row],[Ticket Priority]]="Medium",120,168)))</f>
        <v>24</v>
      </c>
      <c r="P151" t="str">
        <f>IF(Tickets[[#This Row],[Resolution Duration Hours]] &lt;= Tickets[[#This Row],[SLA_Target_Hours]], "Yes", "No")</f>
        <v>Yes</v>
      </c>
    </row>
    <row r="152" spans="1:16" hidden="1">
      <c r="A152">
        <v>151</v>
      </c>
      <c r="B152" t="s">
        <v>164</v>
      </c>
      <c r="C152" t="s">
        <v>2134</v>
      </c>
      <c r="D152" t="s">
        <v>3996</v>
      </c>
      <c r="E152" s="1">
        <v>44374</v>
      </c>
      <c r="F152" t="s">
        <v>3998</v>
      </c>
      <c r="G152" t="s">
        <v>4015</v>
      </c>
      <c r="H152" t="s">
        <v>4018</v>
      </c>
      <c r="I152" t="s">
        <v>4022</v>
      </c>
      <c r="J152" t="s">
        <v>4028</v>
      </c>
      <c r="K152" s="2">
        <v>44565</v>
      </c>
      <c r="L152" s="2">
        <v>44565</v>
      </c>
      <c r="M152">
        <v>5</v>
      </c>
      <c r="N152">
        <v>0</v>
      </c>
      <c r="O152">
        <f>IF(Tickets[[#This Row],[Ticket Priority]]="Critical",24,
IF(Tickets[[#This Row],[Ticket Priority]]="High",48,
IF(Tickets[[#This Row],[Ticket Priority]]="Medium",120,168)))</f>
        <v>24</v>
      </c>
      <c r="P152" t="str">
        <f>IF(Tickets[[#This Row],[Resolution Duration Hours]] &lt;= Tickets[[#This Row],[SLA_Target_Hours]], "Yes", "No")</f>
        <v>Yes</v>
      </c>
    </row>
    <row r="153" spans="1:16">
      <c r="A153">
        <v>811</v>
      </c>
      <c r="B153" t="s">
        <v>819</v>
      </c>
      <c r="C153" t="s">
        <v>2793</v>
      </c>
      <c r="D153" t="s">
        <v>3986</v>
      </c>
      <c r="E153" s="1">
        <v>45021</v>
      </c>
      <c r="F153" t="s">
        <v>4002</v>
      </c>
      <c r="G153" t="s">
        <v>4007</v>
      </c>
      <c r="H153" t="s">
        <v>4017</v>
      </c>
      <c r="I153" t="s">
        <v>4024</v>
      </c>
      <c r="J153" t="s">
        <v>4028</v>
      </c>
      <c r="K153" s="2">
        <v>45126</v>
      </c>
      <c r="L153" s="2">
        <v>45139</v>
      </c>
      <c r="N153">
        <v>312</v>
      </c>
      <c r="O153">
        <f>IF(Tickets[[#This Row],[Ticket Priority]]="Critical",24,
IF(Tickets[[#This Row],[Ticket Priority]]="High",48,
IF(Tickets[[#This Row],[Ticket Priority]]="Medium",120,168)))</f>
        <v>168</v>
      </c>
      <c r="P153" t="str">
        <f>IF(Tickets[[#This Row],[Resolution Duration Hours]] &lt;= Tickets[[#This Row],[SLA_Target_Hours]], "Yes", "No")</f>
        <v>No</v>
      </c>
    </row>
    <row r="154" spans="1:16" hidden="1">
      <c r="A154">
        <v>153</v>
      </c>
      <c r="B154" t="s">
        <v>166</v>
      </c>
      <c r="C154" t="s">
        <v>2136</v>
      </c>
      <c r="D154" t="s">
        <v>3985</v>
      </c>
      <c r="E154" s="1">
        <v>44376</v>
      </c>
      <c r="F154" t="s">
        <v>3999</v>
      </c>
      <c r="G154" t="s">
        <v>4006</v>
      </c>
      <c r="H154" t="s">
        <v>4020</v>
      </c>
      <c r="I154" t="s">
        <v>4024</v>
      </c>
      <c r="J154" t="s">
        <v>4027</v>
      </c>
      <c r="K154" s="2">
        <v>44408</v>
      </c>
      <c r="L154" s="2">
        <v>44410</v>
      </c>
      <c r="N154">
        <v>48</v>
      </c>
      <c r="O154">
        <f>IF(Tickets[[#This Row],[Ticket Priority]]="Critical",24,
IF(Tickets[[#This Row],[Ticket Priority]]="High",48,
IF(Tickets[[#This Row],[Ticket Priority]]="Medium",120,168)))</f>
        <v>168</v>
      </c>
      <c r="P154" t="str">
        <f>IF(Tickets[[#This Row],[Resolution Duration Hours]] &lt;= Tickets[[#This Row],[SLA_Target_Hours]], "Yes", "No")</f>
        <v>Yes</v>
      </c>
    </row>
    <row r="155" spans="1:16" hidden="1">
      <c r="A155">
        <v>154</v>
      </c>
      <c r="B155" t="s">
        <v>167</v>
      </c>
      <c r="C155" t="s">
        <v>2137</v>
      </c>
      <c r="D155" t="s">
        <v>3986</v>
      </c>
      <c r="E155" s="1">
        <v>43878</v>
      </c>
      <c r="F155" t="s">
        <v>3999</v>
      </c>
      <c r="G155" t="s">
        <v>4007</v>
      </c>
      <c r="H155" t="s">
        <v>4017</v>
      </c>
      <c r="I155" t="s">
        <v>4024</v>
      </c>
      <c r="J155" t="s">
        <v>4028</v>
      </c>
      <c r="K155" s="2">
        <v>44141</v>
      </c>
      <c r="L155" s="2">
        <v>44146</v>
      </c>
      <c r="N155">
        <v>120</v>
      </c>
      <c r="O155">
        <f>IF(Tickets[[#This Row],[Ticket Priority]]="Critical",24,
IF(Tickets[[#This Row],[Ticket Priority]]="High",48,
IF(Tickets[[#This Row],[Ticket Priority]]="Medium",120,168)))</f>
        <v>168</v>
      </c>
      <c r="P155" t="str">
        <f>IF(Tickets[[#This Row],[Resolution Duration Hours]] &lt;= Tickets[[#This Row],[SLA_Target_Hours]], "Yes", "No")</f>
        <v>Yes</v>
      </c>
    </row>
    <row r="156" spans="1:16">
      <c r="A156">
        <v>1112</v>
      </c>
      <c r="B156" t="s">
        <v>1117</v>
      </c>
      <c r="C156" t="s">
        <v>3092</v>
      </c>
      <c r="D156" t="s">
        <v>3988</v>
      </c>
      <c r="E156" s="1">
        <v>44840</v>
      </c>
      <c r="F156" t="s">
        <v>4001</v>
      </c>
      <c r="G156" t="s">
        <v>4000</v>
      </c>
      <c r="H156" t="s">
        <v>4018</v>
      </c>
      <c r="I156" t="s">
        <v>4024</v>
      </c>
      <c r="J156" t="s">
        <v>4025</v>
      </c>
      <c r="K156" s="2">
        <v>45104</v>
      </c>
      <c r="L156" s="2">
        <v>45117</v>
      </c>
      <c r="M156">
        <v>4</v>
      </c>
      <c r="N156">
        <v>312</v>
      </c>
      <c r="O156">
        <f>IF(Tickets[[#This Row],[Ticket Priority]]="Critical",24,
IF(Tickets[[#This Row],[Ticket Priority]]="High",48,
IF(Tickets[[#This Row],[Ticket Priority]]="Medium",120,168)))</f>
        <v>168</v>
      </c>
      <c r="P156" t="str">
        <f>IF(Tickets[[#This Row],[Resolution Duration Hours]] &lt;= Tickets[[#This Row],[SLA_Target_Hours]], "Yes", "No")</f>
        <v>No</v>
      </c>
    </row>
    <row r="157" spans="1:16" hidden="1">
      <c r="A157">
        <v>156</v>
      </c>
      <c r="B157" t="s">
        <v>169</v>
      </c>
      <c r="C157" t="s">
        <v>2139</v>
      </c>
      <c r="D157" t="s">
        <v>3992</v>
      </c>
      <c r="E157" s="1">
        <v>44877</v>
      </c>
      <c r="F157" t="s">
        <v>3998</v>
      </c>
      <c r="G157" t="s">
        <v>4016</v>
      </c>
      <c r="H157" t="s">
        <v>4018</v>
      </c>
      <c r="I157" t="s">
        <v>4024</v>
      </c>
      <c r="J157" t="s">
        <v>4026</v>
      </c>
      <c r="K157" s="2">
        <v>45231</v>
      </c>
      <c r="L157" s="2">
        <v>45236</v>
      </c>
      <c r="M157">
        <v>4</v>
      </c>
      <c r="N157">
        <v>120</v>
      </c>
      <c r="O157">
        <f>IF(Tickets[[#This Row],[Ticket Priority]]="Critical",24,
IF(Tickets[[#This Row],[Ticket Priority]]="High",48,
IF(Tickets[[#This Row],[Ticket Priority]]="Medium",120,168)))</f>
        <v>168</v>
      </c>
      <c r="P157" t="str">
        <f>IF(Tickets[[#This Row],[Resolution Duration Hours]] &lt;= Tickets[[#This Row],[SLA_Target_Hours]], "Yes", "No")</f>
        <v>Yes</v>
      </c>
    </row>
    <row r="158" spans="1:16" hidden="1">
      <c r="A158">
        <v>157</v>
      </c>
      <c r="B158" t="s">
        <v>170</v>
      </c>
      <c r="C158" t="s">
        <v>2140</v>
      </c>
      <c r="D158" t="s">
        <v>3986</v>
      </c>
      <c r="E158" s="1">
        <v>44007</v>
      </c>
      <c r="F158" t="s">
        <v>4000</v>
      </c>
      <c r="G158" t="s">
        <v>4007</v>
      </c>
      <c r="H158" t="s">
        <v>4018</v>
      </c>
      <c r="I158" t="s">
        <v>4023</v>
      </c>
      <c r="J158" t="s">
        <v>4026</v>
      </c>
      <c r="K158" s="2">
        <v>44171</v>
      </c>
      <c r="L158" s="2">
        <v>44176</v>
      </c>
      <c r="M158">
        <v>3</v>
      </c>
      <c r="N158">
        <v>120</v>
      </c>
      <c r="O158">
        <f>IF(Tickets[[#This Row],[Ticket Priority]]="Critical",24,
IF(Tickets[[#This Row],[Ticket Priority]]="High",48,
IF(Tickets[[#This Row],[Ticket Priority]]="Medium",120,168)))</f>
        <v>120</v>
      </c>
      <c r="P158" t="str">
        <f>IF(Tickets[[#This Row],[Resolution Duration Hours]] &lt;= Tickets[[#This Row],[SLA_Target_Hours]], "Yes", "No")</f>
        <v>Yes</v>
      </c>
    </row>
    <row r="159" spans="1:16" hidden="1">
      <c r="A159">
        <v>158</v>
      </c>
      <c r="B159" t="s">
        <v>171</v>
      </c>
      <c r="C159" t="s">
        <v>2141</v>
      </c>
      <c r="D159" t="s">
        <v>3981</v>
      </c>
      <c r="E159" s="1">
        <v>44173</v>
      </c>
      <c r="F159" t="s">
        <v>3999</v>
      </c>
      <c r="G159" t="s">
        <v>4004</v>
      </c>
      <c r="H159" t="s">
        <v>4018</v>
      </c>
      <c r="I159" t="s">
        <v>4023</v>
      </c>
      <c r="J159" t="s">
        <v>4028</v>
      </c>
      <c r="K159" s="2">
        <v>44489</v>
      </c>
      <c r="L159" s="2">
        <v>44492</v>
      </c>
      <c r="M159">
        <v>1</v>
      </c>
      <c r="N159">
        <v>72</v>
      </c>
      <c r="O159">
        <f>IF(Tickets[[#This Row],[Ticket Priority]]="Critical",24,
IF(Tickets[[#This Row],[Ticket Priority]]="High",48,
IF(Tickets[[#This Row],[Ticket Priority]]="Medium",120,168)))</f>
        <v>120</v>
      </c>
      <c r="P159" t="str">
        <f>IF(Tickets[[#This Row],[Resolution Duration Hours]] &lt;= Tickets[[#This Row],[SLA_Target_Hours]], "Yes", "No")</f>
        <v>Yes</v>
      </c>
    </row>
    <row r="160" spans="1:16" hidden="1">
      <c r="A160">
        <v>159</v>
      </c>
      <c r="B160" t="s">
        <v>172</v>
      </c>
      <c r="C160" t="s">
        <v>2142</v>
      </c>
      <c r="D160" t="s">
        <v>3982</v>
      </c>
      <c r="E160" s="1">
        <v>44340</v>
      </c>
      <c r="F160" t="s">
        <v>3999</v>
      </c>
      <c r="G160" t="s">
        <v>4007</v>
      </c>
      <c r="H160" t="s">
        <v>4017</v>
      </c>
      <c r="I160" t="s">
        <v>4023</v>
      </c>
      <c r="J160" t="s">
        <v>4026</v>
      </c>
      <c r="K160" s="2">
        <v>44355</v>
      </c>
      <c r="L160" s="2">
        <v>44357</v>
      </c>
      <c r="N160">
        <v>48</v>
      </c>
      <c r="O160">
        <f>IF(Tickets[[#This Row],[Ticket Priority]]="Critical",24,
IF(Tickets[[#This Row],[Ticket Priority]]="High",48,
IF(Tickets[[#This Row],[Ticket Priority]]="Medium",120,168)))</f>
        <v>120</v>
      </c>
      <c r="P160" t="str">
        <f>IF(Tickets[[#This Row],[Resolution Duration Hours]] &lt;= Tickets[[#This Row],[SLA_Target_Hours]], "Yes", "No")</f>
        <v>Yes</v>
      </c>
    </row>
    <row r="161" spans="1:16" hidden="1">
      <c r="A161">
        <v>160</v>
      </c>
      <c r="B161" t="s">
        <v>173</v>
      </c>
      <c r="C161" t="s">
        <v>2143</v>
      </c>
      <c r="D161" t="s">
        <v>3996</v>
      </c>
      <c r="E161" s="1">
        <v>44698</v>
      </c>
      <c r="F161" t="s">
        <v>4002</v>
      </c>
      <c r="G161" t="s">
        <v>4004</v>
      </c>
      <c r="H161" t="s">
        <v>4018</v>
      </c>
      <c r="I161" t="s">
        <v>4021</v>
      </c>
      <c r="J161" t="s">
        <v>4026</v>
      </c>
      <c r="K161" s="2">
        <v>44988</v>
      </c>
      <c r="L161" s="2">
        <v>44989</v>
      </c>
      <c r="M161">
        <v>3</v>
      </c>
      <c r="N161">
        <v>24</v>
      </c>
      <c r="O161">
        <f>IF(Tickets[[#This Row],[Ticket Priority]]="Critical",24,
IF(Tickets[[#This Row],[Ticket Priority]]="High",48,
IF(Tickets[[#This Row],[Ticket Priority]]="Medium",120,168)))</f>
        <v>48</v>
      </c>
      <c r="P161" t="str">
        <f>IF(Tickets[[#This Row],[Resolution Duration Hours]] &lt;= Tickets[[#This Row],[SLA_Target_Hours]], "Yes", "No")</f>
        <v>Yes</v>
      </c>
    </row>
    <row r="162" spans="1:16">
      <c r="A162">
        <v>1356</v>
      </c>
      <c r="B162" t="s">
        <v>1357</v>
      </c>
      <c r="C162" t="s">
        <v>3336</v>
      </c>
      <c r="D162" t="s">
        <v>3993</v>
      </c>
      <c r="E162" s="1">
        <v>44911</v>
      </c>
      <c r="F162" t="s">
        <v>3999</v>
      </c>
      <c r="G162" t="s">
        <v>4016</v>
      </c>
      <c r="H162" t="s">
        <v>4018</v>
      </c>
      <c r="I162" t="s">
        <v>4024</v>
      </c>
      <c r="J162" t="s">
        <v>4026</v>
      </c>
      <c r="K162" s="2">
        <v>44994</v>
      </c>
      <c r="L162" s="2">
        <v>45007</v>
      </c>
      <c r="M162">
        <v>5</v>
      </c>
      <c r="N162">
        <v>312</v>
      </c>
      <c r="O162">
        <f>IF(Tickets[[#This Row],[Ticket Priority]]="Critical",24,
IF(Tickets[[#This Row],[Ticket Priority]]="High",48,
IF(Tickets[[#This Row],[Ticket Priority]]="Medium",120,168)))</f>
        <v>168</v>
      </c>
      <c r="P162" t="str">
        <f>IF(Tickets[[#This Row],[Resolution Duration Hours]] &lt;= Tickets[[#This Row],[SLA_Target_Hours]], "Yes", "No")</f>
        <v>No</v>
      </c>
    </row>
    <row r="163" spans="1:16" hidden="1">
      <c r="A163">
        <v>162</v>
      </c>
      <c r="B163" t="s">
        <v>175</v>
      </c>
      <c r="C163" t="s">
        <v>2145</v>
      </c>
      <c r="D163" t="s">
        <v>3984</v>
      </c>
      <c r="E163" s="1">
        <v>44335</v>
      </c>
      <c r="F163" t="s">
        <v>4000</v>
      </c>
      <c r="G163" t="s">
        <v>4014</v>
      </c>
      <c r="H163" t="s">
        <v>4018</v>
      </c>
      <c r="I163" t="s">
        <v>4023</v>
      </c>
      <c r="J163" t="s">
        <v>4027</v>
      </c>
      <c r="K163" s="2">
        <v>44445</v>
      </c>
      <c r="L163" s="2">
        <v>44448</v>
      </c>
      <c r="N163">
        <v>72</v>
      </c>
      <c r="O163">
        <f>IF(Tickets[[#This Row],[Ticket Priority]]="Critical",24,
IF(Tickets[[#This Row],[Ticket Priority]]="High",48,
IF(Tickets[[#This Row],[Ticket Priority]]="Medium",120,168)))</f>
        <v>120</v>
      </c>
      <c r="P163" t="str">
        <f>IF(Tickets[[#This Row],[Resolution Duration Hours]] &lt;= Tickets[[#This Row],[SLA_Target_Hours]], "Yes", "No")</f>
        <v>Yes</v>
      </c>
    </row>
    <row r="164" spans="1:16" hidden="1">
      <c r="A164">
        <v>163</v>
      </c>
      <c r="B164" t="s">
        <v>176</v>
      </c>
      <c r="C164" t="s">
        <v>2146</v>
      </c>
      <c r="D164" t="s">
        <v>3984</v>
      </c>
      <c r="E164" s="1">
        <v>44745</v>
      </c>
      <c r="F164" t="s">
        <v>3999</v>
      </c>
      <c r="G164" t="s">
        <v>4006</v>
      </c>
      <c r="H164" t="s">
        <v>4018</v>
      </c>
      <c r="I164" t="s">
        <v>4024</v>
      </c>
      <c r="J164" t="s">
        <v>4028</v>
      </c>
      <c r="K164" s="2">
        <v>44789</v>
      </c>
      <c r="L164" s="2">
        <v>44796</v>
      </c>
      <c r="M164">
        <v>5</v>
      </c>
      <c r="N164">
        <v>168</v>
      </c>
      <c r="O164">
        <f>IF(Tickets[[#This Row],[Ticket Priority]]="Critical",24,
IF(Tickets[[#This Row],[Ticket Priority]]="High",48,
IF(Tickets[[#This Row],[Ticket Priority]]="Medium",120,168)))</f>
        <v>168</v>
      </c>
      <c r="P164" t="str">
        <f>IF(Tickets[[#This Row],[Resolution Duration Hours]] &lt;= Tickets[[#This Row],[SLA_Target_Hours]], "Yes", "No")</f>
        <v>Yes</v>
      </c>
    </row>
    <row r="165" spans="1:16" hidden="1">
      <c r="A165">
        <v>164</v>
      </c>
      <c r="B165" t="s">
        <v>177</v>
      </c>
      <c r="C165" t="s">
        <v>2147</v>
      </c>
      <c r="D165" t="s">
        <v>3982</v>
      </c>
      <c r="E165" s="1">
        <v>44814</v>
      </c>
      <c r="F165" t="s">
        <v>4002</v>
      </c>
      <c r="G165" t="s">
        <v>4005</v>
      </c>
      <c r="H165" t="s">
        <v>4018</v>
      </c>
      <c r="I165" t="s">
        <v>4024</v>
      </c>
      <c r="J165" t="s">
        <v>4027</v>
      </c>
      <c r="K165" s="2">
        <v>45178</v>
      </c>
      <c r="L165" s="2">
        <v>45180</v>
      </c>
      <c r="M165">
        <v>5</v>
      </c>
      <c r="N165">
        <v>48</v>
      </c>
      <c r="O165">
        <f>IF(Tickets[[#This Row],[Ticket Priority]]="Critical",24,
IF(Tickets[[#This Row],[Ticket Priority]]="High",48,
IF(Tickets[[#This Row],[Ticket Priority]]="Medium",120,168)))</f>
        <v>168</v>
      </c>
      <c r="P165" t="str">
        <f>IF(Tickets[[#This Row],[Resolution Duration Hours]] &lt;= Tickets[[#This Row],[SLA_Target_Hours]], "Yes", "No")</f>
        <v>Yes</v>
      </c>
    </row>
    <row r="166" spans="1:16" hidden="1">
      <c r="A166">
        <v>165</v>
      </c>
      <c r="B166" t="s">
        <v>178</v>
      </c>
      <c r="C166" t="s">
        <v>2148</v>
      </c>
      <c r="D166" t="s">
        <v>3987</v>
      </c>
      <c r="E166" s="1">
        <v>44058</v>
      </c>
      <c r="F166" t="s">
        <v>3999</v>
      </c>
      <c r="G166" t="s">
        <v>4000</v>
      </c>
      <c r="H166" t="s">
        <v>4018</v>
      </c>
      <c r="I166" t="s">
        <v>4023</v>
      </c>
      <c r="J166" t="s">
        <v>4026</v>
      </c>
      <c r="K166" s="2">
        <v>44242</v>
      </c>
      <c r="L166" s="2">
        <v>44246</v>
      </c>
      <c r="N166">
        <v>96</v>
      </c>
      <c r="O166">
        <f>IF(Tickets[[#This Row],[Ticket Priority]]="Critical",24,
IF(Tickets[[#This Row],[Ticket Priority]]="High",48,
IF(Tickets[[#This Row],[Ticket Priority]]="Medium",120,168)))</f>
        <v>120</v>
      </c>
      <c r="P166" t="str">
        <f>IF(Tickets[[#This Row],[Resolution Duration Hours]] &lt;= Tickets[[#This Row],[SLA_Target_Hours]], "Yes", "No")</f>
        <v>Yes</v>
      </c>
    </row>
    <row r="167" spans="1:16" hidden="1">
      <c r="A167">
        <v>166</v>
      </c>
      <c r="B167" t="s">
        <v>179</v>
      </c>
      <c r="C167" t="s">
        <v>2149</v>
      </c>
      <c r="D167" t="s">
        <v>3992</v>
      </c>
      <c r="E167" s="1">
        <v>44551</v>
      </c>
      <c r="F167" t="s">
        <v>4001</v>
      </c>
      <c r="G167" t="s">
        <v>4011</v>
      </c>
      <c r="H167" t="s">
        <v>4017</v>
      </c>
      <c r="I167" t="s">
        <v>4023</v>
      </c>
      <c r="J167" t="s">
        <v>4026</v>
      </c>
      <c r="K167" s="2">
        <v>44820</v>
      </c>
      <c r="L167" s="2">
        <v>44822</v>
      </c>
      <c r="N167">
        <v>48</v>
      </c>
      <c r="O167">
        <f>IF(Tickets[[#This Row],[Ticket Priority]]="Critical",24,
IF(Tickets[[#This Row],[Ticket Priority]]="High",48,
IF(Tickets[[#This Row],[Ticket Priority]]="Medium",120,168)))</f>
        <v>120</v>
      </c>
      <c r="P167" t="str">
        <f>IF(Tickets[[#This Row],[Resolution Duration Hours]] &lt;= Tickets[[#This Row],[SLA_Target_Hours]], "Yes", "No")</f>
        <v>Yes</v>
      </c>
    </row>
    <row r="168" spans="1:16" hidden="1">
      <c r="A168">
        <v>167</v>
      </c>
      <c r="B168" t="s">
        <v>180</v>
      </c>
      <c r="C168" t="s">
        <v>2150</v>
      </c>
      <c r="D168" t="s">
        <v>3984</v>
      </c>
      <c r="E168" s="1">
        <v>43937</v>
      </c>
      <c r="F168" t="s">
        <v>4002</v>
      </c>
      <c r="G168" t="s">
        <v>4000</v>
      </c>
      <c r="H168" t="s">
        <v>4018</v>
      </c>
      <c r="I168" t="s">
        <v>4021</v>
      </c>
      <c r="J168" t="s">
        <v>4025</v>
      </c>
      <c r="K168" s="2">
        <v>44285</v>
      </c>
      <c r="L168" s="2">
        <v>44287</v>
      </c>
      <c r="M168">
        <v>4</v>
      </c>
      <c r="N168">
        <v>48</v>
      </c>
      <c r="O168">
        <f>IF(Tickets[[#This Row],[Ticket Priority]]="Critical",24,
IF(Tickets[[#This Row],[Ticket Priority]]="High",48,
IF(Tickets[[#This Row],[Ticket Priority]]="Medium",120,168)))</f>
        <v>48</v>
      </c>
      <c r="P168" t="str">
        <f>IF(Tickets[[#This Row],[Resolution Duration Hours]] &lt;= Tickets[[#This Row],[SLA_Target_Hours]], "Yes", "No")</f>
        <v>Yes</v>
      </c>
    </row>
    <row r="169" spans="1:16" hidden="1">
      <c r="A169">
        <v>168</v>
      </c>
      <c r="B169" t="s">
        <v>181</v>
      </c>
      <c r="C169" t="s">
        <v>2151</v>
      </c>
      <c r="D169" t="s">
        <v>3994</v>
      </c>
      <c r="E169" s="1">
        <v>44533</v>
      </c>
      <c r="F169" t="s">
        <v>3998</v>
      </c>
      <c r="G169" t="s">
        <v>4006</v>
      </c>
      <c r="H169" t="s">
        <v>4018</v>
      </c>
      <c r="I169" t="s">
        <v>4023</v>
      </c>
      <c r="J169" t="s">
        <v>4027</v>
      </c>
      <c r="K169" s="2">
        <v>44596</v>
      </c>
      <c r="L169" s="2">
        <v>44599</v>
      </c>
      <c r="M169">
        <v>4</v>
      </c>
      <c r="N169">
        <v>72</v>
      </c>
      <c r="O169">
        <f>IF(Tickets[[#This Row],[Ticket Priority]]="Critical",24,
IF(Tickets[[#This Row],[Ticket Priority]]="High",48,
IF(Tickets[[#This Row],[Ticket Priority]]="Medium",120,168)))</f>
        <v>120</v>
      </c>
      <c r="P169" t="str">
        <f>IF(Tickets[[#This Row],[Resolution Duration Hours]] &lt;= Tickets[[#This Row],[SLA_Target_Hours]], "Yes", "No")</f>
        <v>Yes</v>
      </c>
    </row>
    <row r="170" spans="1:16" hidden="1">
      <c r="A170">
        <v>169</v>
      </c>
      <c r="B170" t="s">
        <v>182</v>
      </c>
      <c r="C170" t="s">
        <v>2152</v>
      </c>
      <c r="D170" t="s">
        <v>3988</v>
      </c>
      <c r="E170" s="1">
        <v>44732</v>
      </c>
      <c r="F170" t="s">
        <v>4002</v>
      </c>
      <c r="G170" t="s">
        <v>4009</v>
      </c>
      <c r="H170" t="s">
        <v>4018</v>
      </c>
      <c r="I170" t="s">
        <v>4024</v>
      </c>
      <c r="J170" t="s">
        <v>4026</v>
      </c>
      <c r="K170" s="2">
        <v>44860</v>
      </c>
      <c r="L170" s="2">
        <v>44865</v>
      </c>
      <c r="N170">
        <v>120</v>
      </c>
      <c r="O170">
        <f>IF(Tickets[[#This Row],[Ticket Priority]]="Critical",24,
IF(Tickets[[#This Row],[Ticket Priority]]="High",48,
IF(Tickets[[#This Row],[Ticket Priority]]="Medium",120,168)))</f>
        <v>168</v>
      </c>
      <c r="P170" t="str">
        <f>IF(Tickets[[#This Row],[Resolution Duration Hours]] &lt;= Tickets[[#This Row],[SLA_Target_Hours]], "Yes", "No")</f>
        <v>Yes</v>
      </c>
    </row>
    <row r="171" spans="1:16" hidden="1">
      <c r="A171">
        <v>170</v>
      </c>
      <c r="B171" t="s">
        <v>183</v>
      </c>
      <c r="C171" t="s">
        <v>2153</v>
      </c>
      <c r="D171" t="s">
        <v>3985</v>
      </c>
      <c r="E171" s="1">
        <v>44123</v>
      </c>
      <c r="F171" t="s">
        <v>4001</v>
      </c>
      <c r="G171" t="s">
        <v>4003</v>
      </c>
      <c r="H171" t="s">
        <v>4018</v>
      </c>
      <c r="I171" t="s">
        <v>4024</v>
      </c>
      <c r="J171" t="s">
        <v>4025</v>
      </c>
      <c r="K171" s="2">
        <v>44210</v>
      </c>
      <c r="L171" s="2">
        <v>44217</v>
      </c>
      <c r="M171">
        <v>5</v>
      </c>
      <c r="N171">
        <v>168</v>
      </c>
      <c r="O171">
        <f>IF(Tickets[[#This Row],[Ticket Priority]]="Critical",24,
IF(Tickets[[#This Row],[Ticket Priority]]="High",48,
IF(Tickets[[#This Row],[Ticket Priority]]="Medium",120,168)))</f>
        <v>168</v>
      </c>
      <c r="P171" t="str">
        <f>IF(Tickets[[#This Row],[Resolution Duration Hours]] &lt;= Tickets[[#This Row],[SLA_Target_Hours]], "Yes", "No")</f>
        <v>Yes</v>
      </c>
    </row>
    <row r="172" spans="1:16">
      <c r="A172">
        <v>1558</v>
      </c>
      <c r="B172" t="s">
        <v>1554</v>
      </c>
      <c r="C172" t="s">
        <v>3538</v>
      </c>
      <c r="D172" t="s">
        <v>3995</v>
      </c>
      <c r="E172" s="1">
        <v>44320</v>
      </c>
      <c r="F172" t="s">
        <v>4001</v>
      </c>
      <c r="G172" t="s">
        <v>4007</v>
      </c>
      <c r="H172" t="s">
        <v>4018</v>
      </c>
      <c r="I172" t="s">
        <v>4023</v>
      </c>
      <c r="J172" t="s">
        <v>4028</v>
      </c>
      <c r="K172" s="2">
        <v>44559</v>
      </c>
      <c r="L172" s="2">
        <v>44572</v>
      </c>
      <c r="M172">
        <v>3</v>
      </c>
      <c r="N172">
        <v>312</v>
      </c>
      <c r="O172">
        <f>IF(Tickets[[#This Row],[Ticket Priority]]="Critical",24,
IF(Tickets[[#This Row],[Ticket Priority]]="High",48,
IF(Tickets[[#This Row],[Ticket Priority]]="Medium",120,168)))</f>
        <v>120</v>
      </c>
      <c r="P172" t="str">
        <f>IF(Tickets[[#This Row],[Resolution Duration Hours]] &lt;= Tickets[[#This Row],[SLA_Target_Hours]], "Yes", "No")</f>
        <v>No</v>
      </c>
    </row>
    <row r="173" spans="1:16" hidden="1">
      <c r="A173">
        <v>172</v>
      </c>
      <c r="B173" t="s">
        <v>185</v>
      </c>
      <c r="C173" t="s">
        <v>2155</v>
      </c>
      <c r="D173" t="s">
        <v>3992</v>
      </c>
      <c r="E173" s="1">
        <v>44778</v>
      </c>
      <c r="F173" t="s">
        <v>4000</v>
      </c>
      <c r="G173" t="s">
        <v>4000</v>
      </c>
      <c r="H173" t="s">
        <v>4017</v>
      </c>
      <c r="I173" t="s">
        <v>4024</v>
      </c>
      <c r="J173" t="s">
        <v>4026</v>
      </c>
      <c r="K173" s="2">
        <v>44903</v>
      </c>
      <c r="L173" s="2">
        <v>44906</v>
      </c>
      <c r="N173">
        <v>72</v>
      </c>
      <c r="O173">
        <f>IF(Tickets[[#This Row],[Ticket Priority]]="Critical",24,
IF(Tickets[[#This Row],[Ticket Priority]]="High",48,
IF(Tickets[[#This Row],[Ticket Priority]]="Medium",120,168)))</f>
        <v>168</v>
      </c>
      <c r="P173" t="str">
        <f>IF(Tickets[[#This Row],[Resolution Duration Hours]] &lt;= Tickets[[#This Row],[SLA_Target_Hours]], "Yes", "No")</f>
        <v>Yes</v>
      </c>
    </row>
    <row r="174" spans="1:16">
      <c r="A174">
        <v>1819</v>
      </c>
      <c r="B174" t="s">
        <v>1811</v>
      </c>
      <c r="C174" t="s">
        <v>3798</v>
      </c>
      <c r="D174" t="s">
        <v>3984</v>
      </c>
      <c r="E174" s="1">
        <v>44184</v>
      </c>
      <c r="F174" t="s">
        <v>3999</v>
      </c>
      <c r="G174" t="s">
        <v>4016</v>
      </c>
      <c r="H174" t="s">
        <v>4017</v>
      </c>
      <c r="I174" t="s">
        <v>4024</v>
      </c>
      <c r="J174" t="s">
        <v>4026</v>
      </c>
      <c r="K174" s="2">
        <v>44377</v>
      </c>
      <c r="L174" s="2">
        <v>44390</v>
      </c>
      <c r="N174">
        <v>312</v>
      </c>
      <c r="O174">
        <f>IF(Tickets[[#This Row],[Ticket Priority]]="Critical",24,
IF(Tickets[[#This Row],[Ticket Priority]]="High",48,
IF(Tickets[[#This Row],[Ticket Priority]]="Medium",120,168)))</f>
        <v>168</v>
      </c>
      <c r="P174" t="str">
        <f>IF(Tickets[[#This Row],[Resolution Duration Hours]] &lt;= Tickets[[#This Row],[SLA_Target_Hours]], "Yes", "No")</f>
        <v>No</v>
      </c>
    </row>
    <row r="175" spans="1:16" hidden="1">
      <c r="A175">
        <v>174</v>
      </c>
      <c r="B175" t="s">
        <v>187</v>
      </c>
      <c r="C175" t="s">
        <v>2157</v>
      </c>
      <c r="D175" t="s">
        <v>3997</v>
      </c>
      <c r="E175" s="1">
        <v>44955</v>
      </c>
      <c r="F175" t="s">
        <v>4000</v>
      </c>
      <c r="G175" t="s">
        <v>4016</v>
      </c>
      <c r="H175" t="s">
        <v>4018</v>
      </c>
      <c r="I175" t="s">
        <v>4021</v>
      </c>
      <c r="J175" t="s">
        <v>4026</v>
      </c>
      <c r="K175" s="2">
        <v>45242</v>
      </c>
      <c r="L175" s="2">
        <v>45243</v>
      </c>
      <c r="M175">
        <v>4</v>
      </c>
      <c r="N175">
        <v>24</v>
      </c>
      <c r="O175">
        <f>IF(Tickets[[#This Row],[Ticket Priority]]="Critical",24,
IF(Tickets[[#This Row],[Ticket Priority]]="High",48,
IF(Tickets[[#This Row],[Ticket Priority]]="Medium",120,168)))</f>
        <v>48</v>
      </c>
      <c r="P175" t="str">
        <f>IF(Tickets[[#This Row],[Resolution Duration Hours]] &lt;= Tickets[[#This Row],[SLA_Target_Hours]], "Yes", "No")</f>
        <v>Yes</v>
      </c>
    </row>
    <row r="176" spans="1:16" hidden="1">
      <c r="A176">
        <v>175</v>
      </c>
      <c r="B176" t="s">
        <v>188</v>
      </c>
      <c r="C176" t="s">
        <v>2158</v>
      </c>
      <c r="D176" t="s">
        <v>3993</v>
      </c>
      <c r="E176" s="1">
        <v>44374</v>
      </c>
      <c r="F176" t="s">
        <v>4000</v>
      </c>
      <c r="G176" t="s">
        <v>4011</v>
      </c>
      <c r="H176" t="s">
        <v>4018</v>
      </c>
      <c r="I176" t="s">
        <v>4024</v>
      </c>
      <c r="J176" t="s">
        <v>4027</v>
      </c>
      <c r="K176" s="2">
        <v>44455</v>
      </c>
      <c r="L176" s="2">
        <v>44462</v>
      </c>
      <c r="N176">
        <v>168</v>
      </c>
      <c r="O176">
        <f>IF(Tickets[[#This Row],[Ticket Priority]]="Critical",24,
IF(Tickets[[#This Row],[Ticket Priority]]="High",48,
IF(Tickets[[#This Row],[Ticket Priority]]="Medium",120,168)))</f>
        <v>168</v>
      </c>
      <c r="P176" t="str">
        <f>IF(Tickets[[#This Row],[Resolution Duration Hours]] &lt;= Tickets[[#This Row],[SLA_Target_Hours]], "Yes", "No")</f>
        <v>Yes</v>
      </c>
    </row>
    <row r="177" spans="1:16" hidden="1">
      <c r="A177">
        <v>176</v>
      </c>
      <c r="B177" t="s">
        <v>189</v>
      </c>
      <c r="C177" t="s">
        <v>2159</v>
      </c>
      <c r="D177" t="s">
        <v>3992</v>
      </c>
      <c r="E177" s="1">
        <v>44699</v>
      </c>
      <c r="F177" t="s">
        <v>3999</v>
      </c>
      <c r="G177" t="s">
        <v>4011</v>
      </c>
      <c r="H177" t="s">
        <v>4018</v>
      </c>
      <c r="I177" t="s">
        <v>4023</v>
      </c>
      <c r="J177" t="s">
        <v>4026</v>
      </c>
      <c r="K177" s="2">
        <v>44710</v>
      </c>
      <c r="L177" s="2">
        <v>44713</v>
      </c>
      <c r="M177">
        <v>4</v>
      </c>
      <c r="N177">
        <v>72</v>
      </c>
      <c r="O177">
        <f>IF(Tickets[[#This Row],[Ticket Priority]]="Critical",24,
IF(Tickets[[#This Row],[Ticket Priority]]="High",48,
IF(Tickets[[#This Row],[Ticket Priority]]="Medium",120,168)))</f>
        <v>120</v>
      </c>
      <c r="P177" t="str">
        <f>IF(Tickets[[#This Row],[Resolution Duration Hours]] &lt;= Tickets[[#This Row],[SLA_Target_Hours]], "Yes", "No")</f>
        <v>Yes</v>
      </c>
    </row>
    <row r="178" spans="1:16" hidden="1">
      <c r="A178">
        <v>177</v>
      </c>
      <c r="B178" t="s">
        <v>190</v>
      </c>
      <c r="C178" t="s">
        <v>2160</v>
      </c>
      <c r="D178" t="s">
        <v>3992</v>
      </c>
      <c r="E178" s="1">
        <v>43859</v>
      </c>
      <c r="F178" t="s">
        <v>3999</v>
      </c>
      <c r="G178" t="s">
        <v>4010</v>
      </c>
      <c r="H178" t="s">
        <v>4018</v>
      </c>
      <c r="I178" t="s">
        <v>4024</v>
      </c>
      <c r="J178" t="s">
        <v>4025</v>
      </c>
      <c r="K178" s="2">
        <v>44005</v>
      </c>
      <c r="L178" s="2">
        <v>44010</v>
      </c>
      <c r="M178">
        <v>4</v>
      </c>
      <c r="N178">
        <v>120</v>
      </c>
      <c r="O178">
        <f>IF(Tickets[[#This Row],[Ticket Priority]]="Critical",24,
IF(Tickets[[#This Row],[Ticket Priority]]="High",48,
IF(Tickets[[#This Row],[Ticket Priority]]="Medium",120,168)))</f>
        <v>168</v>
      </c>
      <c r="P178" t="str">
        <f>IF(Tickets[[#This Row],[Resolution Duration Hours]] &lt;= Tickets[[#This Row],[SLA_Target_Hours]], "Yes", "No")</f>
        <v>Yes</v>
      </c>
    </row>
    <row r="179" spans="1:16" hidden="1">
      <c r="A179">
        <v>178</v>
      </c>
      <c r="B179" t="s">
        <v>191</v>
      </c>
      <c r="C179" t="s">
        <v>2161</v>
      </c>
      <c r="D179" t="s">
        <v>3980</v>
      </c>
      <c r="E179" s="1">
        <v>43950</v>
      </c>
      <c r="F179" t="s">
        <v>3998</v>
      </c>
      <c r="G179" t="s">
        <v>4013</v>
      </c>
      <c r="H179" t="s">
        <v>4020</v>
      </c>
      <c r="I179" t="s">
        <v>4023</v>
      </c>
      <c r="J179" t="s">
        <v>4026</v>
      </c>
      <c r="K179" s="2">
        <v>44237</v>
      </c>
      <c r="L179" s="2">
        <v>44242</v>
      </c>
      <c r="N179">
        <v>120</v>
      </c>
      <c r="O179">
        <f>IF(Tickets[[#This Row],[Ticket Priority]]="Critical",24,
IF(Tickets[[#This Row],[Ticket Priority]]="High",48,
IF(Tickets[[#This Row],[Ticket Priority]]="Medium",120,168)))</f>
        <v>120</v>
      </c>
      <c r="P179" t="str">
        <f>IF(Tickets[[#This Row],[Resolution Duration Hours]] &lt;= Tickets[[#This Row],[SLA_Target_Hours]], "Yes", "No")</f>
        <v>Yes</v>
      </c>
    </row>
    <row r="180" spans="1:16" hidden="1">
      <c r="A180">
        <v>179</v>
      </c>
      <c r="B180" t="s">
        <v>192</v>
      </c>
      <c r="C180" t="s">
        <v>2162</v>
      </c>
      <c r="D180" t="s">
        <v>3979</v>
      </c>
      <c r="E180" s="1">
        <v>44034</v>
      </c>
      <c r="F180" t="s">
        <v>4002</v>
      </c>
      <c r="G180" t="s">
        <v>4009</v>
      </c>
      <c r="H180" t="s">
        <v>4019</v>
      </c>
      <c r="I180" t="s">
        <v>4023</v>
      </c>
      <c r="J180" t="s">
        <v>4025</v>
      </c>
      <c r="K180" s="2">
        <v>44100</v>
      </c>
      <c r="L180" s="2">
        <v>44104</v>
      </c>
      <c r="M180">
        <v>3</v>
      </c>
      <c r="N180">
        <v>96</v>
      </c>
      <c r="O180">
        <f>IF(Tickets[[#This Row],[Ticket Priority]]="Critical",24,
IF(Tickets[[#This Row],[Ticket Priority]]="High",48,
IF(Tickets[[#This Row],[Ticket Priority]]="Medium",120,168)))</f>
        <v>120</v>
      </c>
      <c r="P180" t="str">
        <f>IF(Tickets[[#This Row],[Resolution Duration Hours]] &lt;= Tickets[[#This Row],[SLA_Target_Hours]], "Yes", "No")</f>
        <v>Yes</v>
      </c>
    </row>
    <row r="181" spans="1:16" hidden="1">
      <c r="A181">
        <v>180</v>
      </c>
      <c r="B181" t="s">
        <v>193</v>
      </c>
      <c r="C181" t="s">
        <v>2163</v>
      </c>
      <c r="D181" t="s">
        <v>3997</v>
      </c>
      <c r="E181" s="1">
        <v>44881</v>
      </c>
      <c r="F181" t="s">
        <v>3998</v>
      </c>
      <c r="G181" t="s">
        <v>4014</v>
      </c>
      <c r="H181" t="s">
        <v>4018</v>
      </c>
      <c r="I181" t="s">
        <v>4021</v>
      </c>
      <c r="J181" t="s">
        <v>4028</v>
      </c>
      <c r="K181" s="2">
        <v>44901</v>
      </c>
      <c r="L181" s="2">
        <v>44903</v>
      </c>
      <c r="M181">
        <v>4</v>
      </c>
      <c r="N181">
        <v>48</v>
      </c>
      <c r="O181">
        <f>IF(Tickets[[#This Row],[Ticket Priority]]="Critical",24,
IF(Tickets[[#This Row],[Ticket Priority]]="High",48,
IF(Tickets[[#This Row],[Ticket Priority]]="Medium",120,168)))</f>
        <v>48</v>
      </c>
      <c r="P181" t="str">
        <f>IF(Tickets[[#This Row],[Resolution Duration Hours]] &lt;= Tickets[[#This Row],[SLA_Target_Hours]], "Yes", "No")</f>
        <v>Yes</v>
      </c>
    </row>
    <row r="182" spans="1:16" hidden="1">
      <c r="A182">
        <v>181</v>
      </c>
      <c r="B182" t="s">
        <v>194</v>
      </c>
      <c r="C182" t="s">
        <v>2164</v>
      </c>
      <c r="D182" t="s">
        <v>3983</v>
      </c>
      <c r="E182" s="1">
        <v>45049</v>
      </c>
      <c r="F182" t="s">
        <v>4000</v>
      </c>
      <c r="G182" t="s">
        <v>4015</v>
      </c>
      <c r="H182" t="s">
        <v>4018</v>
      </c>
      <c r="I182" t="s">
        <v>4023</v>
      </c>
      <c r="J182" t="s">
        <v>4028</v>
      </c>
      <c r="K182" s="2">
        <v>45132</v>
      </c>
      <c r="L182" s="2">
        <v>45137</v>
      </c>
      <c r="M182">
        <v>5</v>
      </c>
      <c r="N182">
        <v>120</v>
      </c>
      <c r="O182">
        <f>IF(Tickets[[#This Row],[Ticket Priority]]="Critical",24,
IF(Tickets[[#This Row],[Ticket Priority]]="High",48,
IF(Tickets[[#This Row],[Ticket Priority]]="Medium",120,168)))</f>
        <v>120</v>
      </c>
      <c r="P182" t="str">
        <f>IF(Tickets[[#This Row],[Resolution Duration Hours]] &lt;= Tickets[[#This Row],[SLA_Target_Hours]], "Yes", "No")</f>
        <v>Yes</v>
      </c>
    </row>
    <row r="183" spans="1:16" hidden="1">
      <c r="A183">
        <v>182</v>
      </c>
      <c r="B183" t="s">
        <v>195</v>
      </c>
      <c r="C183" t="s">
        <v>2165</v>
      </c>
      <c r="D183" t="s">
        <v>3992</v>
      </c>
      <c r="E183" s="1">
        <v>44612</v>
      </c>
      <c r="F183" t="s">
        <v>4001</v>
      </c>
      <c r="G183" t="s">
        <v>4009</v>
      </c>
      <c r="H183" t="s">
        <v>4020</v>
      </c>
      <c r="I183" t="s">
        <v>4024</v>
      </c>
      <c r="J183" t="s">
        <v>4025</v>
      </c>
      <c r="K183" s="2">
        <v>44620</v>
      </c>
      <c r="L183" s="2">
        <v>44624</v>
      </c>
      <c r="N183">
        <v>96</v>
      </c>
      <c r="O183">
        <f>IF(Tickets[[#This Row],[Ticket Priority]]="Critical",24,
IF(Tickets[[#This Row],[Ticket Priority]]="High",48,
IF(Tickets[[#This Row],[Ticket Priority]]="Medium",120,168)))</f>
        <v>168</v>
      </c>
      <c r="P183" t="str">
        <f>IF(Tickets[[#This Row],[Resolution Duration Hours]] &lt;= Tickets[[#This Row],[SLA_Target_Hours]], "Yes", "No")</f>
        <v>Yes</v>
      </c>
    </row>
    <row r="184" spans="1:16" hidden="1">
      <c r="A184">
        <v>183</v>
      </c>
      <c r="B184" t="s">
        <v>196</v>
      </c>
      <c r="C184" t="s">
        <v>2166</v>
      </c>
      <c r="D184" t="s">
        <v>3992</v>
      </c>
      <c r="E184" s="1">
        <v>44407</v>
      </c>
      <c r="F184" t="s">
        <v>4002</v>
      </c>
      <c r="G184" t="s">
        <v>4004</v>
      </c>
      <c r="H184" t="s">
        <v>4018</v>
      </c>
      <c r="I184" t="s">
        <v>4024</v>
      </c>
      <c r="J184" t="s">
        <v>4028</v>
      </c>
      <c r="K184" s="2">
        <v>44543</v>
      </c>
      <c r="L184" s="2">
        <v>44548</v>
      </c>
      <c r="M184">
        <v>5</v>
      </c>
      <c r="N184">
        <v>120</v>
      </c>
      <c r="O184">
        <f>IF(Tickets[[#This Row],[Ticket Priority]]="Critical",24,
IF(Tickets[[#This Row],[Ticket Priority]]="High",48,
IF(Tickets[[#This Row],[Ticket Priority]]="Medium",120,168)))</f>
        <v>168</v>
      </c>
      <c r="P184" t="str">
        <f>IF(Tickets[[#This Row],[Resolution Duration Hours]] &lt;= Tickets[[#This Row],[SLA_Target_Hours]], "Yes", "No")</f>
        <v>Yes</v>
      </c>
    </row>
    <row r="185" spans="1:16" hidden="1">
      <c r="A185">
        <v>184</v>
      </c>
      <c r="B185" t="s">
        <v>197</v>
      </c>
      <c r="C185" t="s">
        <v>2167</v>
      </c>
      <c r="D185" t="s">
        <v>3996</v>
      </c>
      <c r="E185" s="1">
        <v>44528</v>
      </c>
      <c r="F185" t="s">
        <v>4000</v>
      </c>
      <c r="G185" t="s">
        <v>4014</v>
      </c>
      <c r="H185" t="s">
        <v>4018</v>
      </c>
      <c r="I185" t="s">
        <v>4021</v>
      </c>
      <c r="J185" t="s">
        <v>4026</v>
      </c>
      <c r="K185" s="2">
        <v>44603</v>
      </c>
      <c r="L185" s="2">
        <v>44605</v>
      </c>
      <c r="M185">
        <v>4</v>
      </c>
      <c r="N185">
        <v>48</v>
      </c>
      <c r="O185">
        <f>IF(Tickets[[#This Row],[Ticket Priority]]="Critical",24,
IF(Tickets[[#This Row],[Ticket Priority]]="High",48,
IF(Tickets[[#This Row],[Ticket Priority]]="Medium",120,168)))</f>
        <v>48</v>
      </c>
      <c r="P185" t="str">
        <f>IF(Tickets[[#This Row],[Resolution Duration Hours]] &lt;= Tickets[[#This Row],[SLA_Target_Hours]], "Yes", "No")</f>
        <v>Yes</v>
      </c>
    </row>
    <row r="186" spans="1:16" hidden="1">
      <c r="A186">
        <v>185</v>
      </c>
      <c r="B186" t="s">
        <v>198</v>
      </c>
      <c r="C186" t="s">
        <v>2168</v>
      </c>
      <c r="D186" t="s">
        <v>3989</v>
      </c>
      <c r="E186" s="1">
        <v>44475</v>
      </c>
      <c r="F186" t="s">
        <v>3998</v>
      </c>
      <c r="G186" t="s">
        <v>4005</v>
      </c>
      <c r="H186" t="s">
        <v>4018</v>
      </c>
      <c r="I186" t="s">
        <v>4023</v>
      </c>
      <c r="J186" t="s">
        <v>4025</v>
      </c>
      <c r="K186" s="2">
        <v>44685</v>
      </c>
      <c r="L186" s="2">
        <v>44689</v>
      </c>
      <c r="M186">
        <v>5</v>
      </c>
      <c r="N186">
        <v>96</v>
      </c>
      <c r="O186">
        <f>IF(Tickets[[#This Row],[Ticket Priority]]="Critical",24,
IF(Tickets[[#This Row],[Ticket Priority]]="High",48,
IF(Tickets[[#This Row],[Ticket Priority]]="Medium",120,168)))</f>
        <v>120</v>
      </c>
      <c r="P186" t="str">
        <f>IF(Tickets[[#This Row],[Resolution Duration Hours]] &lt;= Tickets[[#This Row],[SLA_Target_Hours]], "Yes", "No")</f>
        <v>Yes</v>
      </c>
    </row>
    <row r="187" spans="1:16" hidden="1">
      <c r="A187">
        <v>186</v>
      </c>
      <c r="B187" t="s">
        <v>199</v>
      </c>
      <c r="C187" t="s">
        <v>2169</v>
      </c>
      <c r="D187" t="s">
        <v>3992</v>
      </c>
      <c r="E187" s="1">
        <v>44941</v>
      </c>
      <c r="F187" t="s">
        <v>3999</v>
      </c>
      <c r="G187" t="s">
        <v>4009</v>
      </c>
      <c r="H187" t="s">
        <v>4018</v>
      </c>
      <c r="I187" t="s">
        <v>4024</v>
      </c>
      <c r="J187" t="s">
        <v>4028</v>
      </c>
      <c r="K187" s="2">
        <v>45210</v>
      </c>
      <c r="L187" s="2">
        <v>45215</v>
      </c>
      <c r="M187">
        <v>4</v>
      </c>
      <c r="N187">
        <v>120</v>
      </c>
      <c r="O187">
        <f>IF(Tickets[[#This Row],[Ticket Priority]]="Critical",24,
IF(Tickets[[#This Row],[Ticket Priority]]="High",48,
IF(Tickets[[#This Row],[Ticket Priority]]="Medium",120,168)))</f>
        <v>168</v>
      </c>
      <c r="P187" t="str">
        <f>IF(Tickets[[#This Row],[Resolution Duration Hours]] &lt;= Tickets[[#This Row],[SLA_Target_Hours]], "Yes", "No")</f>
        <v>Yes</v>
      </c>
    </row>
    <row r="188" spans="1:16" hidden="1">
      <c r="A188">
        <v>187</v>
      </c>
      <c r="B188" t="s">
        <v>200</v>
      </c>
      <c r="C188" t="s">
        <v>2170</v>
      </c>
      <c r="D188" t="s">
        <v>3993</v>
      </c>
      <c r="E188" s="1">
        <v>44559</v>
      </c>
      <c r="F188" t="s">
        <v>4000</v>
      </c>
      <c r="G188" t="s">
        <v>4007</v>
      </c>
      <c r="H188" t="s">
        <v>4018</v>
      </c>
      <c r="I188" t="s">
        <v>4021</v>
      </c>
      <c r="J188" t="s">
        <v>4026</v>
      </c>
      <c r="K188" s="2">
        <v>44701</v>
      </c>
      <c r="L188" s="2">
        <v>44702</v>
      </c>
      <c r="M188">
        <v>4</v>
      </c>
      <c r="N188">
        <v>24</v>
      </c>
      <c r="O188">
        <f>IF(Tickets[[#This Row],[Ticket Priority]]="Critical",24,
IF(Tickets[[#This Row],[Ticket Priority]]="High",48,
IF(Tickets[[#This Row],[Ticket Priority]]="Medium",120,168)))</f>
        <v>48</v>
      </c>
      <c r="P188" t="str">
        <f>IF(Tickets[[#This Row],[Resolution Duration Hours]] &lt;= Tickets[[#This Row],[SLA_Target_Hours]], "Yes", "No")</f>
        <v>Yes</v>
      </c>
    </row>
    <row r="189" spans="1:16" hidden="1">
      <c r="A189">
        <v>188</v>
      </c>
      <c r="B189" t="s">
        <v>201</v>
      </c>
      <c r="C189" t="s">
        <v>2171</v>
      </c>
      <c r="D189" t="s">
        <v>3991</v>
      </c>
      <c r="E189" s="1">
        <v>44776</v>
      </c>
      <c r="F189" t="s">
        <v>4002</v>
      </c>
      <c r="G189" t="s">
        <v>4012</v>
      </c>
      <c r="H189" t="s">
        <v>4018</v>
      </c>
      <c r="I189" t="s">
        <v>4023</v>
      </c>
      <c r="J189" t="s">
        <v>4026</v>
      </c>
      <c r="K189" s="2">
        <v>44916</v>
      </c>
      <c r="L189" s="2">
        <v>44921</v>
      </c>
      <c r="M189">
        <v>5</v>
      </c>
      <c r="N189">
        <v>120</v>
      </c>
      <c r="O189">
        <f>IF(Tickets[[#This Row],[Ticket Priority]]="Critical",24,
IF(Tickets[[#This Row],[Ticket Priority]]="High",48,
IF(Tickets[[#This Row],[Ticket Priority]]="Medium",120,168)))</f>
        <v>120</v>
      </c>
      <c r="P189" t="str">
        <f>IF(Tickets[[#This Row],[Resolution Duration Hours]] &lt;= Tickets[[#This Row],[SLA_Target_Hours]], "Yes", "No")</f>
        <v>Yes</v>
      </c>
    </row>
    <row r="190" spans="1:16">
      <c r="A190">
        <v>242</v>
      </c>
      <c r="B190" t="s">
        <v>255</v>
      </c>
      <c r="C190" t="s">
        <v>2225</v>
      </c>
      <c r="D190" t="s">
        <v>3984</v>
      </c>
      <c r="E190" s="1">
        <v>44787</v>
      </c>
      <c r="F190" t="s">
        <v>4000</v>
      </c>
      <c r="G190" t="s">
        <v>4013</v>
      </c>
      <c r="H190" t="s">
        <v>4017</v>
      </c>
      <c r="I190" t="s">
        <v>4024</v>
      </c>
      <c r="J190" t="s">
        <v>4025</v>
      </c>
      <c r="K190" s="2">
        <v>45149</v>
      </c>
      <c r="L190" s="2">
        <v>45161</v>
      </c>
      <c r="N190">
        <v>288</v>
      </c>
      <c r="O190">
        <f>IF(Tickets[[#This Row],[Ticket Priority]]="Critical",24,
IF(Tickets[[#This Row],[Ticket Priority]]="High",48,
IF(Tickets[[#This Row],[Ticket Priority]]="Medium",120,168)))</f>
        <v>168</v>
      </c>
      <c r="P190" t="str">
        <f>IF(Tickets[[#This Row],[Resolution Duration Hours]] &lt;= Tickets[[#This Row],[SLA_Target_Hours]], "Yes", "No")</f>
        <v>No</v>
      </c>
    </row>
    <row r="191" spans="1:16">
      <c r="A191">
        <v>260</v>
      </c>
      <c r="B191" t="s">
        <v>273</v>
      </c>
      <c r="C191" t="s">
        <v>2243</v>
      </c>
      <c r="D191" t="s">
        <v>3989</v>
      </c>
      <c r="E191" s="1">
        <v>44699</v>
      </c>
      <c r="F191" t="s">
        <v>3999</v>
      </c>
      <c r="G191" t="s">
        <v>4016</v>
      </c>
      <c r="H191" t="s">
        <v>4019</v>
      </c>
      <c r="I191" t="s">
        <v>4024</v>
      </c>
      <c r="J191" t="s">
        <v>4026</v>
      </c>
      <c r="K191" s="2">
        <v>44916</v>
      </c>
      <c r="L191" s="2">
        <v>44928</v>
      </c>
      <c r="M191">
        <v>5</v>
      </c>
      <c r="N191">
        <v>288</v>
      </c>
      <c r="O191">
        <f>IF(Tickets[[#This Row],[Ticket Priority]]="Critical",24,
IF(Tickets[[#This Row],[Ticket Priority]]="High",48,
IF(Tickets[[#This Row],[Ticket Priority]]="Medium",120,168)))</f>
        <v>168</v>
      </c>
      <c r="P191" t="str">
        <f>IF(Tickets[[#This Row],[Resolution Duration Hours]] &lt;= Tickets[[#This Row],[SLA_Target_Hours]], "Yes", "No")</f>
        <v>No</v>
      </c>
    </row>
    <row r="192" spans="1:16" hidden="1">
      <c r="A192">
        <v>191</v>
      </c>
      <c r="B192" t="s">
        <v>204</v>
      </c>
      <c r="C192" t="s">
        <v>2174</v>
      </c>
      <c r="D192" t="s">
        <v>3993</v>
      </c>
      <c r="E192" s="1">
        <v>44121</v>
      </c>
      <c r="F192" t="s">
        <v>4002</v>
      </c>
      <c r="G192" t="s">
        <v>4000</v>
      </c>
      <c r="H192" t="s">
        <v>4018</v>
      </c>
      <c r="I192" t="s">
        <v>4023</v>
      </c>
      <c r="J192" t="s">
        <v>4027</v>
      </c>
      <c r="K192" s="2">
        <v>44147</v>
      </c>
      <c r="L192" s="2">
        <v>44151</v>
      </c>
      <c r="M192">
        <v>5</v>
      </c>
      <c r="N192">
        <v>96</v>
      </c>
      <c r="O192">
        <f>IF(Tickets[[#This Row],[Ticket Priority]]="Critical",24,
IF(Tickets[[#This Row],[Ticket Priority]]="High",48,
IF(Tickets[[#This Row],[Ticket Priority]]="Medium",120,168)))</f>
        <v>120</v>
      </c>
      <c r="P192" t="str">
        <f>IF(Tickets[[#This Row],[Resolution Duration Hours]] &lt;= Tickets[[#This Row],[SLA_Target_Hours]], "Yes", "No")</f>
        <v>Yes</v>
      </c>
    </row>
    <row r="193" spans="1:16" hidden="1">
      <c r="A193">
        <v>192</v>
      </c>
      <c r="B193" t="s">
        <v>205</v>
      </c>
      <c r="C193" t="s">
        <v>2175</v>
      </c>
      <c r="D193" t="s">
        <v>3992</v>
      </c>
      <c r="E193" s="1">
        <v>44691</v>
      </c>
      <c r="F193" t="s">
        <v>3998</v>
      </c>
      <c r="G193" t="s">
        <v>4005</v>
      </c>
      <c r="H193" t="s">
        <v>4018</v>
      </c>
      <c r="I193" t="s">
        <v>4024</v>
      </c>
      <c r="J193" t="s">
        <v>4025</v>
      </c>
      <c r="K193" s="2">
        <v>44935</v>
      </c>
      <c r="L193" s="2">
        <v>44941</v>
      </c>
      <c r="M193">
        <v>4</v>
      </c>
      <c r="N193">
        <v>144</v>
      </c>
      <c r="O193">
        <f>IF(Tickets[[#This Row],[Ticket Priority]]="Critical",24,
IF(Tickets[[#This Row],[Ticket Priority]]="High",48,
IF(Tickets[[#This Row],[Ticket Priority]]="Medium",120,168)))</f>
        <v>168</v>
      </c>
      <c r="P193" t="str">
        <f>IF(Tickets[[#This Row],[Resolution Duration Hours]] &lt;= Tickets[[#This Row],[SLA_Target_Hours]], "Yes", "No")</f>
        <v>Yes</v>
      </c>
    </row>
    <row r="194" spans="1:16" hidden="1">
      <c r="A194">
        <v>193</v>
      </c>
      <c r="B194" t="s">
        <v>206</v>
      </c>
      <c r="C194" t="s">
        <v>2176</v>
      </c>
      <c r="D194" t="s">
        <v>3994</v>
      </c>
      <c r="E194" s="1">
        <v>43856</v>
      </c>
      <c r="F194" t="s">
        <v>4000</v>
      </c>
      <c r="G194" t="s">
        <v>4014</v>
      </c>
      <c r="H194" t="s">
        <v>4017</v>
      </c>
      <c r="I194" t="s">
        <v>4024</v>
      </c>
      <c r="J194" t="s">
        <v>4025</v>
      </c>
      <c r="K194" s="2">
        <v>43945</v>
      </c>
      <c r="L194" s="2">
        <v>43951</v>
      </c>
      <c r="N194">
        <v>144</v>
      </c>
      <c r="O194">
        <f>IF(Tickets[[#This Row],[Ticket Priority]]="Critical",24,
IF(Tickets[[#This Row],[Ticket Priority]]="High",48,
IF(Tickets[[#This Row],[Ticket Priority]]="Medium",120,168)))</f>
        <v>168</v>
      </c>
      <c r="P194" t="str">
        <f>IF(Tickets[[#This Row],[Resolution Duration Hours]] &lt;= Tickets[[#This Row],[SLA_Target_Hours]], "Yes", "No")</f>
        <v>Yes</v>
      </c>
    </row>
    <row r="195" spans="1:16" hidden="1">
      <c r="A195">
        <v>194</v>
      </c>
      <c r="B195" t="s">
        <v>207</v>
      </c>
      <c r="C195" t="s">
        <v>2177</v>
      </c>
      <c r="D195" t="s">
        <v>3986</v>
      </c>
      <c r="E195" s="1">
        <v>44038</v>
      </c>
      <c r="F195" t="s">
        <v>3998</v>
      </c>
      <c r="G195" t="s">
        <v>4004</v>
      </c>
      <c r="H195" t="s">
        <v>4018</v>
      </c>
      <c r="I195" t="s">
        <v>4023</v>
      </c>
      <c r="J195" t="s">
        <v>4027</v>
      </c>
      <c r="K195" s="2">
        <v>44057</v>
      </c>
      <c r="L195" s="2">
        <v>44061</v>
      </c>
      <c r="M195">
        <v>4</v>
      </c>
      <c r="N195">
        <v>96</v>
      </c>
      <c r="O195">
        <f>IF(Tickets[[#This Row],[Ticket Priority]]="Critical",24,
IF(Tickets[[#This Row],[Ticket Priority]]="High",48,
IF(Tickets[[#This Row],[Ticket Priority]]="Medium",120,168)))</f>
        <v>120</v>
      </c>
      <c r="P195" t="str">
        <f>IF(Tickets[[#This Row],[Resolution Duration Hours]] &lt;= Tickets[[#This Row],[SLA_Target_Hours]], "Yes", "No")</f>
        <v>Yes</v>
      </c>
    </row>
    <row r="196" spans="1:16" hidden="1">
      <c r="A196">
        <v>195</v>
      </c>
      <c r="B196" t="s">
        <v>208</v>
      </c>
      <c r="C196" t="s">
        <v>2178</v>
      </c>
      <c r="D196" t="s">
        <v>3985</v>
      </c>
      <c r="E196" s="1">
        <v>44574</v>
      </c>
      <c r="F196" t="s">
        <v>4002</v>
      </c>
      <c r="G196" t="s">
        <v>4010</v>
      </c>
      <c r="H196" t="s">
        <v>4018</v>
      </c>
      <c r="I196" t="s">
        <v>4021</v>
      </c>
      <c r="J196" t="s">
        <v>4026</v>
      </c>
      <c r="K196" s="2">
        <v>44832</v>
      </c>
      <c r="L196" s="2">
        <v>44833</v>
      </c>
      <c r="M196">
        <v>5</v>
      </c>
      <c r="N196">
        <v>24</v>
      </c>
      <c r="O196">
        <f>IF(Tickets[[#This Row],[Ticket Priority]]="Critical",24,
IF(Tickets[[#This Row],[Ticket Priority]]="High",48,
IF(Tickets[[#This Row],[Ticket Priority]]="Medium",120,168)))</f>
        <v>48</v>
      </c>
      <c r="P196" t="str">
        <f>IF(Tickets[[#This Row],[Resolution Duration Hours]] &lt;= Tickets[[#This Row],[SLA_Target_Hours]], "Yes", "No")</f>
        <v>Yes</v>
      </c>
    </row>
    <row r="197" spans="1:16" hidden="1">
      <c r="A197">
        <v>196</v>
      </c>
      <c r="B197" t="s">
        <v>209</v>
      </c>
      <c r="C197" t="s">
        <v>2179</v>
      </c>
      <c r="D197" t="s">
        <v>3986</v>
      </c>
      <c r="E197" s="1">
        <v>45059</v>
      </c>
      <c r="F197" t="s">
        <v>3999</v>
      </c>
      <c r="G197" t="s">
        <v>4003</v>
      </c>
      <c r="H197" t="s">
        <v>4018</v>
      </c>
      <c r="I197" t="s">
        <v>4021</v>
      </c>
      <c r="J197" t="s">
        <v>4026</v>
      </c>
      <c r="K197" s="2">
        <v>45349</v>
      </c>
      <c r="L197" s="2">
        <v>45350</v>
      </c>
      <c r="M197">
        <v>3</v>
      </c>
      <c r="N197">
        <v>24</v>
      </c>
      <c r="O197">
        <f>IF(Tickets[[#This Row],[Ticket Priority]]="Critical",24,
IF(Tickets[[#This Row],[Ticket Priority]]="High",48,
IF(Tickets[[#This Row],[Ticket Priority]]="Medium",120,168)))</f>
        <v>48</v>
      </c>
      <c r="P197" t="str">
        <f>IF(Tickets[[#This Row],[Resolution Duration Hours]] &lt;= Tickets[[#This Row],[SLA_Target_Hours]], "Yes", "No")</f>
        <v>Yes</v>
      </c>
    </row>
    <row r="198" spans="1:16" hidden="1">
      <c r="A198">
        <v>197</v>
      </c>
      <c r="B198" t="s">
        <v>210</v>
      </c>
      <c r="C198" t="s">
        <v>2180</v>
      </c>
      <c r="D198" t="s">
        <v>3979</v>
      </c>
      <c r="E198" s="1">
        <v>44224</v>
      </c>
      <c r="F198" t="s">
        <v>4000</v>
      </c>
      <c r="G198" t="s">
        <v>4008</v>
      </c>
      <c r="H198" t="s">
        <v>4017</v>
      </c>
      <c r="I198" t="s">
        <v>4023</v>
      </c>
      <c r="J198" t="s">
        <v>4026</v>
      </c>
      <c r="K198" s="2">
        <v>44319</v>
      </c>
      <c r="L198" s="2">
        <v>44324</v>
      </c>
      <c r="N198">
        <v>120</v>
      </c>
      <c r="O198">
        <f>IF(Tickets[[#This Row],[Ticket Priority]]="Critical",24,
IF(Tickets[[#This Row],[Ticket Priority]]="High",48,
IF(Tickets[[#This Row],[Ticket Priority]]="Medium",120,168)))</f>
        <v>120</v>
      </c>
      <c r="P198" t="str">
        <f>IF(Tickets[[#This Row],[Resolution Duration Hours]] &lt;= Tickets[[#This Row],[SLA_Target_Hours]], "Yes", "No")</f>
        <v>Yes</v>
      </c>
    </row>
    <row r="199" spans="1:16">
      <c r="A199">
        <v>350</v>
      </c>
      <c r="B199" t="s">
        <v>363</v>
      </c>
      <c r="C199" t="s">
        <v>2333</v>
      </c>
      <c r="D199" t="s">
        <v>3988</v>
      </c>
      <c r="E199" s="1">
        <v>44840</v>
      </c>
      <c r="F199" t="s">
        <v>4002</v>
      </c>
      <c r="G199" t="s">
        <v>4008</v>
      </c>
      <c r="H199" t="s">
        <v>4017</v>
      </c>
      <c r="I199" t="s">
        <v>4024</v>
      </c>
      <c r="J199" t="s">
        <v>4028</v>
      </c>
      <c r="K199" s="2">
        <v>45089</v>
      </c>
      <c r="L199" s="2">
        <v>45101</v>
      </c>
      <c r="N199">
        <v>288</v>
      </c>
      <c r="O199">
        <f>IF(Tickets[[#This Row],[Ticket Priority]]="Critical",24,
IF(Tickets[[#This Row],[Ticket Priority]]="High",48,
IF(Tickets[[#This Row],[Ticket Priority]]="Medium",120,168)))</f>
        <v>168</v>
      </c>
      <c r="P199" t="str">
        <f>IF(Tickets[[#This Row],[Resolution Duration Hours]] &lt;= Tickets[[#This Row],[SLA_Target_Hours]], "Yes", "No")</f>
        <v>No</v>
      </c>
    </row>
    <row r="200" spans="1:16">
      <c r="A200">
        <v>629</v>
      </c>
      <c r="B200" t="s">
        <v>639</v>
      </c>
      <c r="C200" t="s">
        <v>2612</v>
      </c>
      <c r="D200" t="s">
        <v>3984</v>
      </c>
      <c r="E200" s="1">
        <v>44060</v>
      </c>
      <c r="F200" t="s">
        <v>4000</v>
      </c>
      <c r="G200" t="s">
        <v>4015</v>
      </c>
      <c r="H200" t="s">
        <v>4020</v>
      </c>
      <c r="I200" t="s">
        <v>4024</v>
      </c>
      <c r="J200" t="s">
        <v>4026</v>
      </c>
      <c r="K200" s="2">
        <v>44347</v>
      </c>
      <c r="L200" s="2">
        <v>44359</v>
      </c>
      <c r="N200">
        <v>288</v>
      </c>
      <c r="O200">
        <f>IF(Tickets[[#This Row],[Ticket Priority]]="Critical",24,
IF(Tickets[[#This Row],[Ticket Priority]]="High",48,
IF(Tickets[[#This Row],[Ticket Priority]]="Medium",120,168)))</f>
        <v>168</v>
      </c>
      <c r="P200" t="str">
        <f>IF(Tickets[[#This Row],[Resolution Duration Hours]] &lt;= Tickets[[#This Row],[SLA_Target_Hours]], "Yes", "No")</f>
        <v>No</v>
      </c>
    </row>
    <row r="201" spans="1:16" hidden="1">
      <c r="A201">
        <v>200</v>
      </c>
      <c r="B201" t="s">
        <v>213</v>
      </c>
      <c r="C201" t="s">
        <v>2183</v>
      </c>
      <c r="D201" t="s">
        <v>3981</v>
      </c>
      <c r="E201" s="1">
        <v>44678</v>
      </c>
      <c r="F201" t="s">
        <v>3998</v>
      </c>
      <c r="G201" t="s">
        <v>4016</v>
      </c>
      <c r="H201" t="s">
        <v>4020</v>
      </c>
      <c r="I201" t="s">
        <v>4024</v>
      </c>
      <c r="J201" t="s">
        <v>4025</v>
      </c>
      <c r="K201" s="2">
        <v>44890</v>
      </c>
      <c r="L201" s="2">
        <v>44894</v>
      </c>
      <c r="N201">
        <v>96</v>
      </c>
      <c r="O201">
        <f>IF(Tickets[[#This Row],[Ticket Priority]]="Critical",24,
IF(Tickets[[#This Row],[Ticket Priority]]="High",48,
IF(Tickets[[#This Row],[Ticket Priority]]="Medium",120,168)))</f>
        <v>168</v>
      </c>
      <c r="P201" t="str">
        <f>IF(Tickets[[#This Row],[Resolution Duration Hours]] &lt;= Tickets[[#This Row],[SLA_Target_Hours]], "Yes", "No")</f>
        <v>Yes</v>
      </c>
    </row>
    <row r="202" spans="1:16" hidden="1">
      <c r="A202">
        <v>201</v>
      </c>
      <c r="B202" t="s">
        <v>214</v>
      </c>
      <c r="C202" t="s">
        <v>2184</v>
      </c>
      <c r="D202" t="s">
        <v>3988</v>
      </c>
      <c r="E202" s="1">
        <v>44902</v>
      </c>
      <c r="F202" t="s">
        <v>3998</v>
      </c>
      <c r="G202" t="s">
        <v>4005</v>
      </c>
      <c r="H202" t="s">
        <v>4018</v>
      </c>
      <c r="I202" t="s">
        <v>4024</v>
      </c>
      <c r="J202" t="s">
        <v>4028</v>
      </c>
      <c r="K202" s="2">
        <v>45171</v>
      </c>
      <c r="L202" s="2">
        <v>45178</v>
      </c>
      <c r="M202">
        <v>3</v>
      </c>
      <c r="N202">
        <v>168</v>
      </c>
      <c r="O202">
        <f>IF(Tickets[[#This Row],[Ticket Priority]]="Critical",24,
IF(Tickets[[#This Row],[Ticket Priority]]="High",48,
IF(Tickets[[#This Row],[Ticket Priority]]="Medium",120,168)))</f>
        <v>168</v>
      </c>
      <c r="P202" t="str">
        <f>IF(Tickets[[#This Row],[Resolution Duration Hours]] &lt;= Tickets[[#This Row],[SLA_Target_Hours]], "Yes", "No")</f>
        <v>Yes</v>
      </c>
    </row>
    <row r="203" spans="1:16" hidden="1">
      <c r="A203">
        <v>202</v>
      </c>
      <c r="B203" t="s">
        <v>215</v>
      </c>
      <c r="C203" t="s">
        <v>2185</v>
      </c>
      <c r="D203" t="s">
        <v>3985</v>
      </c>
      <c r="E203" s="1">
        <v>45060</v>
      </c>
      <c r="F203" t="s">
        <v>3998</v>
      </c>
      <c r="G203" t="s">
        <v>4011</v>
      </c>
      <c r="H203" t="s">
        <v>4018</v>
      </c>
      <c r="I203" t="s">
        <v>4023</v>
      </c>
      <c r="J203" t="s">
        <v>4026</v>
      </c>
      <c r="K203" s="2">
        <v>45144</v>
      </c>
      <c r="L203" s="2">
        <v>45149</v>
      </c>
      <c r="M203">
        <v>4</v>
      </c>
      <c r="N203">
        <v>120</v>
      </c>
      <c r="O203">
        <f>IF(Tickets[[#This Row],[Ticket Priority]]="Critical",24,
IF(Tickets[[#This Row],[Ticket Priority]]="High",48,
IF(Tickets[[#This Row],[Ticket Priority]]="Medium",120,168)))</f>
        <v>120</v>
      </c>
      <c r="P203" t="str">
        <f>IF(Tickets[[#This Row],[Resolution Duration Hours]] &lt;= Tickets[[#This Row],[SLA_Target_Hours]], "Yes", "No")</f>
        <v>Yes</v>
      </c>
    </row>
    <row r="204" spans="1:16" hidden="1">
      <c r="A204">
        <v>203</v>
      </c>
      <c r="B204" t="s">
        <v>216</v>
      </c>
      <c r="C204" t="s">
        <v>2186</v>
      </c>
      <c r="D204" t="s">
        <v>3984</v>
      </c>
      <c r="E204" s="1">
        <v>44774</v>
      </c>
      <c r="F204" t="s">
        <v>4000</v>
      </c>
      <c r="G204" t="s">
        <v>4012</v>
      </c>
      <c r="H204" t="s">
        <v>4020</v>
      </c>
      <c r="I204" t="s">
        <v>4023</v>
      </c>
      <c r="J204" t="s">
        <v>4025</v>
      </c>
      <c r="K204" s="2">
        <v>44841</v>
      </c>
      <c r="L204" s="2">
        <v>44843</v>
      </c>
      <c r="N204">
        <v>48</v>
      </c>
      <c r="O204">
        <f>IF(Tickets[[#This Row],[Ticket Priority]]="Critical",24,
IF(Tickets[[#This Row],[Ticket Priority]]="High",48,
IF(Tickets[[#This Row],[Ticket Priority]]="Medium",120,168)))</f>
        <v>120</v>
      </c>
      <c r="P204" t="str">
        <f>IF(Tickets[[#This Row],[Resolution Duration Hours]] &lt;= Tickets[[#This Row],[SLA_Target_Hours]], "Yes", "No")</f>
        <v>Yes</v>
      </c>
    </row>
    <row r="205" spans="1:16" hidden="1">
      <c r="A205">
        <v>204</v>
      </c>
      <c r="B205" t="s">
        <v>217</v>
      </c>
      <c r="C205" t="s">
        <v>2187</v>
      </c>
      <c r="D205" t="s">
        <v>3987</v>
      </c>
      <c r="E205" s="1">
        <v>44712</v>
      </c>
      <c r="F205" t="s">
        <v>4001</v>
      </c>
      <c r="G205" t="s">
        <v>4006</v>
      </c>
      <c r="H205" t="s">
        <v>4017</v>
      </c>
      <c r="I205" t="s">
        <v>4022</v>
      </c>
      <c r="J205" t="s">
        <v>4027</v>
      </c>
      <c r="K205" s="2">
        <v>44823</v>
      </c>
      <c r="L205" s="2">
        <v>44823</v>
      </c>
      <c r="N205">
        <v>0</v>
      </c>
      <c r="O205">
        <f>IF(Tickets[[#This Row],[Ticket Priority]]="Critical",24,
IF(Tickets[[#This Row],[Ticket Priority]]="High",48,
IF(Tickets[[#This Row],[Ticket Priority]]="Medium",120,168)))</f>
        <v>24</v>
      </c>
      <c r="P205" t="str">
        <f>IF(Tickets[[#This Row],[Resolution Duration Hours]] &lt;= Tickets[[#This Row],[SLA_Target_Hours]], "Yes", "No")</f>
        <v>Yes</v>
      </c>
    </row>
    <row r="206" spans="1:16" hidden="1">
      <c r="A206">
        <v>205</v>
      </c>
      <c r="B206" t="s">
        <v>218</v>
      </c>
      <c r="C206" t="s">
        <v>2188</v>
      </c>
      <c r="D206" t="s">
        <v>3992</v>
      </c>
      <c r="E206" s="1">
        <v>44653</v>
      </c>
      <c r="F206" t="s">
        <v>3999</v>
      </c>
      <c r="G206" t="s">
        <v>4006</v>
      </c>
      <c r="H206" t="s">
        <v>4018</v>
      </c>
      <c r="I206" t="s">
        <v>4021</v>
      </c>
      <c r="J206" t="s">
        <v>4027</v>
      </c>
      <c r="K206" s="2">
        <v>44669</v>
      </c>
      <c r="L206" s="2">
        <v>44671</v>
      </c>
      <c r="M206">
        <v>4</v>
      </c>
      <c r="N206">
        <v>48</v>
      </c>
      <c r="O206">
        <f>IF(Tickets[[#This Row],[Ticket Priority]]="Critical",24,
IF(Tickets[[#This Row],[Ticket Priority]]="High",48,
IF(Tickets[[#This Row],[Ticket Priority]]="Medium",120,168)))</f>
        <v>48</v>
      </c>
      <c r="P206" t="str">
        <f>IF(Tickets[[#This Row],[Resolution Duration Hours]] &lt;= Tickets[[#This Row],[SLA_Target_Hours]], "Yes", "No")</f>
        <v>Yes</v>
      </c>
    </row>
    <row r="207" spans="1:16" hidden="1">
      <c r="A207">
        <v>206</v>
      </c>
      <c r="B207" t="s">
        <v>219</v>
      </c>
      <c r="C207" t="s">
        <v>2189</v>
      </c>
      <c r="D207" t="s">
        <v>3996</v>
      </c>
      <c r="E207" s="1">
        <v>44432</v>
      </c>
      <c r="F207" t="s">
        <v>4001</v>
      </c>
      <c r="G207" t="s">
        <v>4014</v>
      </c>
      <c r="H207" t="s">
        <v>4017</v>
      </c>
      <c r="I207" t="s">
        <v>4024</v>
      </c>
      <c r="J207" t="s">
        <v>4027</v>
      </c>
      <c r="K207" s="2">
        <v>44624</v>
      </c>
      <c r="L207" s="2">
        <v>44628</v>
      </c>
      <c r="N207">
        <v>96</v>
      </c>
      <c r="O207">
        <f>IF(Tickets[[#This Row],[Ticket Priority]]="Critical",24,
IF(Tickets[[#This Row],[Ticket Priority]]="High",48,
IF(Tickets[[#This Row],[Ticket Priority]]="Medium",120,168)))</f>
        <v>168</v>
      </c>
      <c r="P207" t="str">
        <f>IF(Tickets[[#This Row],[Resolution Duration Hours]] &lt;= Tickets[[#This Row],[SLA_Target_Hours]], "Yes", "No")</f>
        <v>Yes</v>
      </c>
    </row>
    <row r="208" spans="1:16" hidden="1">
      <c r="A208">
        <v>207</v>
      </c>
      <c r="B208" t="s">
        <v>220</v>
      </c>
      <c r="C208" t="s">
        <v>2190</v>
      </c>
      <c r="D208" t="s">
        <v>3991</v>
      </c>
      <c r="E208" s="1">
        <v>44909</v>
      </c>
      <c r="F208" t="s">
        <v>3999</v>
      </c>
      <c r="G208" t="s">
        <v>4011</v>
      </c>
      <c r="H208" t="s">
        <v>4017</v>
      </c>
      <c r="I208" t="s">
        <v>4024</v>
      </c>
      <c r="J208" t="s">
        <v>4026</v>
      </c>
      <c r="K208" s="2">
        <v>45110</v>
      </c>
      <c r="L208" s="2">
        <v>45117</v>
      </c>
      <c r="N208">
        <v>168</v>
      </c>
      <c r="O208">
        <f>IF(Tickets[[#This Row],[Ticket Priority]]="Critical",24,
IF(Tickets[[#This Row],[Ticket Priority]]="High",48,
IF(Tickets[[#This Row],[Ticket Priority]]="Medium",120,168)))</f>
        <v>168</v>
      </c>
      <c r="P208" t="str">
        <f>IF(Tickets[[#This Row],[Resolution Duration Hours]] &lt;= Tickets[[#This Row],[SLA_Target_Hours]], "Yes", "No")</f>
        <v>Yes</v>
      </c>
    </row>
    <row r="209" spans="1:16" hidden="1">
      <c r="A209">
        <v>208</v>
      </c>
      <c r="B209" t="s">
        <v>221</v>
      </c>
      <c r="C209" t="s">
        <v>2191</v>
      </c>
      <c r="D209" t="s">
        <v>3991</v>
      </c>
      <c r="E209" s="1">
        <v>43967</v>
      </c>
      <c r="F209" t="s">
        <v>4001</v>
      </c>
      <c r="G209" t="s">
        <v>4010</v>
      </c>
      <c r="H209" t="s">
        <v>4018</v>
      </c>
      <c r="I209" t="s">
        <v>4024</v>
      </c>
      <c r="J209" t="s">
        <v>4027</v>
      </c>
      <c r="K209" s="2">
        <v>44184</v>
      </c>
      <c r="L209" s="2">
        <v>44191</v>
      </c>
      <c r="M209">
        <v>4</v>
      </c>
      <c r="N209">
        <v>168</v>
      </c>
      <c r="O209">
        <f>IF(Tickets[[#This Row],[Ticket Priority]]="Critical",24,
IF(Tickets[[#This Row],[Ticket Priority]]="High",48,
IF(Tickets[[#This Row],[Ticket Priority]]="Medium",120,168)))</f>
        <v>168</v>
      </c>
      <c r="P209" t="str">
        <f>IF(Tickets[[#This Row],[Resolution Duration Hours]] &lt;= Tickets[[#This Row],[SLA_Target_Hours]], "Yes", "No")</f>
        <v>Yes</v>
      </c>
    </row>
    <row r="210" spans="1:16">
      <c r="A210">
        <v>703</v>
      </c>
      <c r="B210" t="s">
        <v>713</v>
      </c>
      <c r="C210" t="s">
        <v>2685</v>
      </c>
      <c r="D210" t="s">
        <v>3979</v>
      </c>
      <c r="E210" s="1">
        <v>44871</v>
      </c>
      <c r="F210" t="s">
        <v>4000</v>
      </c>
      <c r="G210" t="s">
        <v>4011</v>
      </c>
      <c r="H210" t="s">
        <v>4017</v>
      </c>
      <c r="I210" t="s">
        <v>4024</v>
      </c>
      <c r="J210" t="s">
        <v>4028</v>
      </c>
      <c r="K210" s="2">
        <v>45072</v>
      </c>
      <c r="L210" s="2">
        <v>45084</v>
      </c>
      <c r="N210">
        <v>288</v>
      </c>
      <c r="O210">
        <f>IF(Tickets[[#This Row],[Ticket Priority]]="Critical",24,
IF(Tickets[[#This Row],[Ticket Priority]]="High",48,
IF(Tickets[[#This Row],[Ticket Priority]]="Medium",120,168)))</f>
        <v>168</v>
      </c>
      <c r="P210" t="str">
        <f>IF(Tickets[[#This Row],[Resolution Duration Hours]] &lt;= Tickets[[#This Row],[SLA_Target_Hours]], "Yes", "No")</f>
        <v>No</v>
      </c>
    </row>
    <row r="211" spans="1:16" hidden="1">
      <c r="A211">
        <v>210</v>
      </c>
      <c r="B211" t="s">
        <v>223</v>
      </c>
      <c r="C211" t="s">
        <v>2193</v>
      </c>
      <c r="D211" t="s">
        <v>3994</v>
      </c>
      <c r="E211" s="1">
        <v>44143</v>
      </c>
      <c r="F211" t="s">
        <v>3998</v>
      </c>
      <c r="G211" t="s">
        <v>4012</v>
      </c>
      <c r="H211" t="s">
        <v>4020</v>
      </c>
      <c r="I211" t="s">
        <v>4023</v>
      </c>
      <c r="J211" t="s">
        <v>4026</v>
      </c>
      <c r="K211" s="2">
        <v>44268</v>
      </c>
      <c r="L211" s="2">
        <v>44272</v>
      </c>
      <c r="N211">
        <v>96</v>
      </c>
      <c r="O211">
        <f>IF(Tickets[[#This Row],[Ticket Priority]]="Critical",24,
IF(Tickets[[#This Row],[Ticket Priority]]="High",48,
IF(Tickets[[#This Row],[Ticket Priority]]="Medium",120,168)))</f>
        <v>120</v>
      </c>
      <c r="P211" t="str">
        <f>IF(Tickets[[#This Row],[Resolution Duration Hours]] &lt;= Tickets[[#This Row],[SLA_Target_Hours]], "Yes", "No")</f>
        <v>Yes</v>
      </c>
    </row>
    <row r="212" spans="1:16" hidden="1">
      <c r="A212">
        <v>211</v>
      </c>
      <c r="B212" t="s">
        <v>224</v>
      </c>
      <c r="C212" t="s">
        <v>2194</v>
      </c>
      <c r="D212" t="s">
        <v>3993</v>
      </c>
      <c r="E212" s="1">
        <v>44032</v>
      </c>
      <c r="F212" t="s">
        <v>3998</v>
      </c>
      <c r="G212" t="s">
        <v>4005</v>
      </c>
      <c r="H212" t="s">
        <v>4018</v>
      </c>
      <c r="I212" t="s">
        <v>4023</v>
      </c>
      <c r="J212" t="s">
        <v>4026</v>
      </c>
      <c r="K212" s="2">
        <v>44326</v>
      </c>
      <c r="L212" s="2">
        <v>44327</v>
      </c>
      <c r="M212">
        <v>3</v>
      </c>
      <c r="N212">
        <v>24</v>
      </c>
      <c r="O212">
        <f>IF(Tickets[[#This Row],[Ticket Priority]]="Critical",24,
IF(Tickets[[#This Row],[Ticket Priority]]="High",48,
IF(Tickets[[#This Row],[Ticket Priority]]="Medium",120,168)))</f>
        <v>120</v>
      </c>
      <c r="P212" t="str">
        <f>IF(Tickets[[#This Row],[Resolution Duration Hours]] &lt;= Tickets[[#This Row],[SLA_Target_Hours]], "Yes", "No")</f>
        <v>Yes</v>
      </c>
    </row>
    <row r="213" spans="1:16" hidden="1">
      <c r="A213">
        <v>212</v>
      </c>
      <c r="B213" t="s">
        <v>225</v>
      </c>
      <c r="C213" t="s">
        <v>2195</v>
      </c>
      <c r="D213" t="s">
        <v>3990</v>
      </c>
      <c r="E213" s="1">
        <v>44724</v>
      </c>
      <c r="F213" t="s">
        <v>4001</v>
      </c>
      <c r="G213" t="s">
        <v>4007</v>
      </c>
      <c r="H213" t="s">
        <v>4018</v>
      </c>
      <c r="I213" t="s">
        <v>4023</v>
      </c>
      <c r="J213" t="s">
        <v>4028</v>
      </c>
      <c r="K213" s="2">
        <v>44755</v>
      </c>
      <c r="L213" s="2">
        <v>44757</v>
      </c>
      <c r="N213">
        <v>48</v>
      </c>
      <c r="O213">
        <f>IF(Tickets[[#This Row],[Ticket Priority]]="Critical",24,
IF(Tickets[[#This Row],[Ticket Priority]]="High",48,
IF(Tickets[[#This Row],[Ticket Priority]]="Medium",120,168)))</f>
        <v>120</v>
      </c>
      <c r="P213" t="str">
        <f>IF(Tickets[[#This Row],[Resolution Duration Hours]] &lt;= Tickets[[#This Row],[SLA_Target_Hours]], "Yes", "No")</f>
        <v>Yes</v>
      </c>
    </row>
    <row r="214" spans="1:16" hidden="1">
      <c r="A214">
        <v>213</v>
      </c>
      <c r="B214" t="s">
        <v>226</v>
      </c>
      <c r="C214" t="s">
        <v>2196</v>
      </c>
      <c r="D214" t="s">
        <v>3996</v>
      </c>
      <c r="E214" s="1">
        <v>44030</v>
      </c>
      <c r="F214" t="s">
        <v>4002</v>
      </c>
      <c r="G214" t="s">
        <v>4012</v>
      </c>
      <c r="H214" t="s">
        <v>4020</v>
      </c>
      <c r="I214" t="s">
        <v>4023</v>
      </c>
      <c r="J214" t="s">
        <v>4028</v>
      </c>
      <c r="K214" s="2">
        <v>44298</v>
      </c>
      <c r="L214" s="2">
        <v>44301</v>
      </c>
      <c r="N214">
        <v>72</v>
      </c>
      <c r="O214">
        <f>IF(Tickets[[#This Row],[Ticket Priority]]="Critical",24,
IF(Tickets[[#This Row],[Ticket Priority]]="High",48,
IF(Tickets[[#This Row],[Ticket Priority]]="Medium",120,168)))</f>
        <v>120</v>
      </c>
      <c r="P214" t="str">
        <f>IF(Tickets[[#This Row],[Resolution Duration Hours]] &lt;= Tickets[[#This Row],[SLA_Target_Hours]], "Yes", "No")</f>
        <v>Yes</v>
      </c>
    </row>
    <row r="215" spans="1:16" hidden="1">
      <c r="A215">
        <v>214</v>
      </c>
      <c r="B215" t="s">
        <v>227</v>
      </c>
      <c r="C215" t="s">
        <v>2197</v>
      </c>
      <c r="D215" t="s">
        <v>3985</v>
      </c>
      <c r="E215" s="1">
        <v>43917</v>
      </c>
      <c r="F215" t="s">
        <v>4002</v>
      </c>
      <c r="G215" t="s">
        <v>4007</v>
      </c>
      <c r="H215" t="s">
        <v>4018</v>
      </c>
      <c r="I215" t="s">
        <v>4023</v>
      </c>
      <c r="J215" t="s">
        <v>4026</v>
      </c>
      <c r="K215" s="2">
        <v>44154</v>
      </c>
      <c r="L215" s="2">
        <v>44158</v>
      </c>
      <c r="M215">
        <v>5</v>
      </c>
      <c r="N215">
        <v>96</v>
      </c>
      <c r="O215">
        <f>IF(Tickets[[#This Row],[Ticket Priority]]="Critical",24,
IF(Tickets[[#This Row],[Ticket Priority]]="High",48,
IF(Tickets[[#This Row],[Ticket Priority]]="Medium",120,168)))</f>
        <v>120</v>
      </c>
      <c r="P215" t="str">
        <f>IF(Tickets[[#This Row],[Resolution Duration Hours]] &lt;= Tickets[[#This Row],[SLA_Target_Hours]], "Yes", "No")</f>
        <v>Yes</v>
      </c>
    </row>
    <row r="216" spans="1:16">
      <c r="A216">
        <v>848</v>
      </c>
      <c r="B216" t="s">
        <v>856</v>
      </c>
      <c r="C216" t="s">
        <v>2830</v>
      </c>
      <c r="D216" t="s">
        <v>3986</v>
      </c>
      <c r="E216" s="1">
        <v>44242</v>
      </c>
      <c r="F216" t="s">
        <v>3999</v>
      </c>
      <c r="G216" t="s">
        <v>4015</v>
      </c>
      <c r="H216" t="s">
        <v>4018</v>
      </c>
      <c r="I216" t="s">
        <v>4024</v>
      </c>
      <c r="J216" t="s">
        <v>4026</v>
      </c>
      <c r="K216" s="2">
        <v>44246</v>
      </c>
      <c r="L216" s="2">
        <v>44258</v>
      </c>
      <c r="M216">
        <v>4</v>
      </c>
      <c r="N216">
        <v>288</v>
      </c>
      <c r="O216">
        <f>IF(Tickets[[#This Row],[Ticket Priority]]="Critical",24,
IF(Tickets[[#This Row],[Ticket Priority]]="High",48,
IF(Tickets[[#This Row],[Ticket Priority]]="Medium",120,168)))</f>
        <v>168</v>
      </c>
      <c r="P216" t="str">
        <f>IF(Tickets[[#This Row],[Resolution Duration Hours]] &lt;= Tickets[[#This Row],[SLA_Target_Hours]], "Yes", "No")</f>
        <v>No</v>
      </c>
    </row>
    <row r="217" spans="1:16" hidden="1">
      <c r="A217">
        <v>216</v>
      </c>
      <c r="B217" t="s">
        <v>229</v>
      </c>
      <c r="C217" t="s">
        <v>2199</v>
      </c>
      <c r="D217" t="s">
        <v>3980</v>
      </c>
      <c r="E217" s="1">
        <v>43976</v>
      </c>
      <c r="F217" t="s">
        <v>4002</v>
      </c>
      <c r="G217" t="s">
        <v>4015</v>
      </c>
      <c r="H217" t="s">
        <v>4019</v>
      </c>
      <c r="I217" t="s">
        <v>4023</v>
      </c>
      <c r="J217" t="s">
        <v>4026</v>
      </c>
      <c r="K217" s="2">
        <v>44319</v>
      </c>
      <c r="L217" s="2">
        <v>44322</v>
      </c>
      <c r="M217">
        <v>3</v>
      </c>
      <c r="N217">
        <v>72</v>
      </c>
      <c r="O217">
        <f>IF(Tickets[[#This Row],[Ticket Priority]]="Critical",24,
IF(Tickets[[#This Row],[Ticket Priority]]="High",48,
IF(Tickets[[#This Row],[Ticket Priority]]="Medium",120,168)))</f>
        <v>120</v>
      </c>
      <c r="P217" t="str">
        <f>IF(Tickets[[#This Row],[Resolution Duration Hours]] &lt;= Tickets[[#This Row],[SLA_Target_Hours]], "Yes", "No")</f>
        <v>Yes</v>
      </c>
    </row>
    <row r="218" spans="1:16" hidden="1">
      <c r="A218">
        <v>217</v>
      </c>
      <c r="B218" t="s">
        <v>230</v>
      </c>
      <c r="C218" t="s">
        <v>2200</v>
      </c>
      <c r="D218" t="s">
        <v>3992</v>
      </c>
      <c r="E218" s="1">
        <v>44355</v>
      </c>
      <c r="F218" t="s">
        <v>4000</v>
      </c>
      <c r="G218" t="s">
        <v>4004</v>
      </c>
      <c r="H218" t="s">
        <v>4018</v>
      </c>
      <c r="I218" t="s">
        <v>4024</v>
      </c>
      <c r="J218" t="s">
        <v>4026</v>
      </c>
      <c r="K218" s="2">
        <v>44479</v>
      </c>
      <c r="L218" s="2">
        <v>44485</v>
      </c>
      <c r="M218">
        <v>4</v>
      </c>
      <c r="N218">
        <v>144</v>
      </c>
      <c r="O218">
        <f>IF(Tickets[[#This Row],[Ticket Priority]]="Critical",24,
IF(Tickets[[#This Row],[Ticket Priority]]="High",48,
IF(Tickets[[#This Row],[Ticket Priority]]="Medium",120,168)))</f>
        <v>168</v>
      </c>
      <c r="P218" t="str">
        <f>IF(Tickets[[#This Row],[Resolution Duration Hours]] &lt;= Tickets[[#This Row],[SLA_Target_Hours]], "Yes", "No")</f>
        <v>Yes</v>
      </c>
    </row>
    <row r="219" spans="1:16" hidden="1">
      <c r="A219">
        <v>218</v>
      </c>
      <c r="B219" t="s">
        <v>231</v>
      </c>
      <c r="C219" t="s">
        <v>2201</v>
      </c>
      <c r="D219" t="s">
        <v>3986</v>
      </c>
      <c r="E219" s="1">
        <v>44242</v>
      </c>
      <c r="F219" t="s">
        <v>3999</v>
      </c>
      <c r="G219" t="s">
        <v>4006</v>
      </c>
      <c r="H219" t="s">
        <v>4018</v>
      </c>
      <c r="I219" t="s">
        <v>4024</v>
      </c>
      <c r="J219" t="s">
        <v>4025</v>
      </c>
      <c r="K219" s="2">
        <v>44375</v>
      </c>
      <c r="L219" s="2">
        <v>44382</v>
      </c>
      <c r="M219">
        <v>3</v>
      </c>
      <c r="N219">
        <v>168</v>
      </c>
      <c r="O219">
        <f>IF(Tickets[[#This Row],[Ticket Priority]]="Critical",24,
IF(Tickets[[#This Row],[Ticket Priority]]="High",48,
IF(Tickets[[#This Row],[Ticket Priority]]="Medium",120,168)))</f>
        <v>168</v>
      </c>
      <c r="P219" t="str">
        <f>IF(Tickets[[#This Row],[Resolution Duration Hours]] &lt;= Tickets[[#This Row],[SLA_Target_Hours]], "Yes", "No")</f>
        <v>Yes</v>
      </c>
    </row>
    <row r="220" spans="1:16">
      <c r="A220">
        <v>876</v>
      </c>
      <c r="B220" t="s">
        <v>884</v>
      </c>
      <c r="C220" t="s">
        <v>2858</v>
      </c>
      <c r="D220" t="s">
        <v>3988</v>
      </c>
      <c r="E220" s="1">
        <v>43908</v>
      </c>
      <c r="F220" t="s">
        <v>4001</v>
      </c>
      <c r="G220" t="s">
        <v>4003</v>
      </c>
      <c r="H220" t="s">
        <v>4018</v>
      </c>
      <c r="I220" t="s">
        <v>4024</v>
      </c>
      <c r="J220" t="s">
        <v>4026</v>
      </c>
      <c r="K220" s="2">
        <v>44145</v>
      </c>
      <c r="L220" s="2">
        <v>44157</v>
      </c>
      <c r="M220">
        <v>5</v>
      </c>
      <c r="N220">
        <v>288</v>
      </c>
      <c r="O220">
        <f>IF(Tickets[[#This Row],[Ticket Priority]]="Critical",24,
IF(Tickets[[#This Row],[Ticket Priority]]="High",48,
IF(Tickets[[#This Row],[Ticket Priority]]="Medium",120,168)))</f>
        <v>168</v>
      </c>
      <c r="P220" t="str">
        <f>IF(Tickets[[#This Row],[Resolution Duration Hours]] &lt;= Tickets[[#This Row],[SLA_Target_Hours]], "Yes", "No")</f>
        <v>No</v>
      </c>
    </row>
    <row r="221" spans="1:16">
      <c r="A221">
        <v>1726</v>
      </c>
      <c r="B221" t="s">
        <v>1720</v>
      </c>
      <c r="C221" t="s">
        <v>3705</v>
      </c>
      <c r="D221" t="s">
        <v>3993</v>
      </c>
      <c r="E221" s="1">
        <v>44915</v>
      </c>
      <c r="F221" t="s">
        <v>4000</v>
      </c>
      <c r="G221" t="s">
        <v>4003</v>
      </c>
      <c r="H221" t="s">
        <v>4020</v>
      </c>
      <c r="I221" t="s">
        <v>4024</v>
      </c>
      <c r="J221" t="s">
        <v>4026</v>
      </c>
      <c r="K221" s="2">
        <v>45098</v>
      </c>
      <c r="L221" s="2">
        <v>45110</v>
      </c>
      <c r="N221">
        <v>288</v>
      </c>
      <c r="O221">
        <f>IF(Tickets[[#This Row],[Ticket Priority]]="Critical",24,
IF(Tickets[[#This Row],[Ticket Priority]]="High",48,
IF(Tickets[[#This Row],[Ticket Priority]]="Medium",120,168)))</f>
        <v>168</v>
      </c>
      <c r="P221" t="str">
        <f>IF(Tickets[[#This Row],[Resolution Duration Hours]] &lt;= Tickets[[#This Row],[SLA_Target_Hours]], "Yes", "No")</f>
        <v>No</v>
      </c>
    </row>
    <row r="222" spans="1:16" hidden="1">
      <c r="A222">
        <v>221</v>
      </c>
      <c r="B222" t="s">
        <v>234</v>
      </c>
      <c r="C222" t="s">
        <v>2204</v>
      </c>
      <c r="D222" t="s">
        <v>3992</v>
      </c>
      <c r="E222" s="1">
        <v>44367</v>
      </c>
      <c r="F222" t="s">
        <v>4002</v>
      </c>
      <c r="G222" t="s">
        <v>4006</v>
      </c>
      <c r="H222" t="s">
        <v>4018</v>
      </c>
      <c r="I222" t="s">
        <v>4023</v>
      </c>
      <c r="J222" t="s">
        <v>4028</v>
      </c>
      <c r="K222" s="2">
        <v>44695</v>
      </c>
      <c r="L222" s="2">
        <v>44699</v>
      </c>
      <c r="N222">
        <v>96</v>
      </c>
      <c r="O222">
        <f>IF(Tickets[[#This Row],[Ticket Priority]]="Critical",24,
IF(Tickets[[#This Row],[Ticket Priority]]="High",48,
IF(Tickets[[#This Row],[Ticket Priority]]="Medium",120,168)))</f>
        <v>120</v>
      </c>
      <c r="P222" t="str">
        <f>IF(Tickets[[#This Row],[Resolution Duration Hours]] &lt;= Tickets[[#This Row],[SLA_Target_Hours]], "Yes", "No")</f>
        <v>Yes</v>
      </c>
    </row>
    <row r="223" spans="1:16">
      <c r="A223">
        <v>1818</v>
      </c>
      <c r="B223" t="s">
        <v>1810</v>
      </c>
      <c r="C223" t="s">
        <v>3797</v>
      </c>
      <c r="D223" t="s">
        <v>3989</v>
      </c>
      <c r="E223" s="1">
        <v>44362</v>
      </c>
      <c r="F223" t="s">
        <v>4001</v>
      </c>
      <c r="G223" t="s">
        <v>4010</v>
      </c>
      <c r="H223" t="s">
        <v>4019</v>
      </c>
      <c r="I223" t="s">
        <v>4024</v>
      </c>
      <c r="J223" t="s">
        <v>4027</v>
      </c>
      <c r="K223" s="2">
        <v>44701</v>
      </c>
      <c r="L223" s="2">
        <v>44713</v>
      </c>
      <c r="M223">
        <v>5</v>
      </c>
      <c r="N223">
        <v>288</v>
      </c>
      <c r="O223">
        <f>IF(Tickets[[#This Row],[Ticket Priority]]="Critical",24,
IF(Tickets[[#This Row],[Ticket Priority]]="High",48,
IF(Tickets[[#This Row],[Ticket Priority]]="Medium",120,168)))</f>
        <v>168</v>
      </c>
      <c r="P223" t="str">
        <f>IF(Tickets[[#This Row],[Resolution Duration Hours]] &lt;= Tickets[[#This Row],[SLA_Target_Hours]], "Yes", "No")</f>
        <v>No</v>
      </c>
    </row>
    <row r="224" spans="1:16" hidden="1">
      <c r="A224">
        <v>223</v>
      </c>
      <c r="B224" t="s">
        <v>236</v>
      </c>
      <c r="C224" t="s">
        <v>2206</v>
      </c>
      <c r="D224" t="s">
        <v>3985</v>
      </c>
      <c r="E224" s="1">
        <v>44079</v>
      </c>
      <c r="F224" t="s">
        <v>4000</v>
      </c>
      <c r="G224" t="s">
        <v>4010</v>
      </c>
      <c r="H224" t="s">
        <v>4019</v>
      </c>
      <c r="I224" t="s">
        <v>4023</v>
      </c>
      <c r="J224" t="s">
        <v>4027</v>
      </c>
      <c r="K224" s="2">
        <v>44083</v>
      </c>
      <c r="L224" s="2">
        <v>44086</v>
      </c>
      <c r="M224">
        <v>4</v>
      </c>
      <c r="N224">
        <v>72</v>
      </c>
      <c r="O224">
        <f>IF(Tickets[[#This Row],[Ticket Priority]]="Critical",24,
IF(Tickets[[#This Row],[Ticket Priority]]="High",48,
IF(Tickets[[#This Row],[Ticket Priority]]="Medium",120,168)))</f>
        <v>120</v>
      </c>
      <c r="P224" t="str">
        <f>IF(Tickets[[#This Row],[Resolution Duration Hours]] &lt;= Tickets[[#This Row],[SLA_Target_Hours]], "Yes", "No")</f>
        <v>Yes</v>
      </c>
    </row>
    <row r="225" spans="1:16" hidden="1">
      <c r="A225">
        <v>224</v>
      </c>
      <c r="B225" t="s">
        <v>237</v>
      </c>
      <c r="C225" t="s">
        <v>2207</v>
      </c>
      <c r="D225" t="s">
        <v>3991</v>
      </c>
      <c r="E225" s="1">
        <v>44556</v>
      </c>
      <c r="F225" t="s">
        <v>4000</v>
      </c>
      <c r="G225" t="s">
        <v>4008</v>
      </c>
      <c r="H225" t="s">
        <v>4017</v>
      </c>
      <c r="I225" t="s">
        <v>4023</v>
      </c>
      <c r="J225" t="s">
        <v>4025</v>
      </c>
      <c r="K225" s="2">
        <v>44766</v>
      </c>
      <c r="L225" s="2">
        <v>44770</v>
      </c>
      <c r="N225">
        <v>96</v>
      </c>
      <c r="O225">
        <f>IF(Tickets[[#This Row],[Ticket Priority]]="Critical",24,
IF(Tickets[[#This Row],[Ticket Priority]]="High",48,
IF(Tickets[[#This Row],[Ticket Priority]]="Medium",120,168)))</f>
        <v>120</v>
      </c>
      <c r="P225" t="str">
        <f>IF(Tickets[[#This Row],[Resolution Duration Hours]] &lt;= Tickets[[#This Row],[SLA_Target_Hours]], "Yes", "No")</f>
        <v>Yes</v>
      </c>
    </row>
    <row r="226" spans="1:16" hidden="1">
      <c r="A226">
        <v>225</v>
      </c>
      <c r="B226" t="s">
        <v>238</v>
      </c>
      <c r="C226" t="s">
        <v>2208</v>
      </c>
      <c r="D226" t="s">
        <v>3982</v>
      </c>
      <c r="E226" s="1">
        <v>44268</v>
      </c>
      <c r="F226" t="s">
        <v>4000</v>
      </c>
      <c r="G226" t="s">
        <v>4003</v>
      </c>
      <c r="H226" t="s">
        <v>4018</v>
      </c>
      <c r="I226" t="s">
        <v>4023</v>
      </c>
      <c r="J226" t="s">
        <v>4026</v>
      </c>
      <c r="K226" s="2">
        <v>44322</v>
      </c>
      <c r="L226" s="2">
        <v>44326</v>
      </c>
      <c r="M226">
        <v>3</v>
      </c>
      <c r="N226">
        <v>96</v>
      </c>
      <c r="O226">
        <f>IF(Tickets[[#This Row],[Ticket Priority]]="Critical",24,
IF(Tickets[[#This Row],[Ticket Priority]]="High",48,
IF(Tickets[[#This Row],[Ticket Priority]]="Medium",120,168)))</f>
        <v>120</v>
      </c>
      <c r="P226" t="str">
        <f>IF(Tickets[[#This Row],[Resolution Duration Hours]] &lt;= Tickets[[#This Row],[SLA_Target_Hours]], "Yes", "No")</f>
        <v>Yes</v>
      </c>
    </row>
    <row r="227" spans="1:16" hidden="1">
      <c r="A227">
        <v>226</v>
      </c>
      <c r="B227" t="s">
        <v>239</v>
      </c>
      <c r="C227" t="s">
        <v>2209</v>
      </c>
      <c r="D227" t="s">
        <v>3996</v>
      </c>
      <c r="E227" s="1">
        <v>44961</v>
      </c>
      <c r="F227" t="s">
        <v>4001</v>
      </c>
      <c r="G227" t="s">
        <v>4003</v>
      </c>
      <c r="H227" t="s">
        <v>4020</v>
      </c>
      <c r="I227" t="s">
        <v>4024</v>
      </c>
      <c r="J227" t="s">
        <v>4028</v>
      </c>
      <c r="K227" s="2">
        <v>45196</v>
      </c>
      <c r="L227" s="2">
        <v>45203</v>
      </c>
      <c r="N227">
        <v>168</v>
      </c>
      <c r="O227">
        <f>IF(Tickets[[#This Row],[Ticket Priority]]="Critical",24,
IF(Tickets[[#This Row],[Ticket Priority]]="High",48,
IF(Tickets[[#This Row],[Ticket Priority]]="Medium",120,168)))</f>
        <v>168</v>
      </c>
      <c r="P227" t="str">
        <f>IF(Tickets[[#This Row],[Resolution Duration Hours]] &lt;= Tickets[[#This Row],[SLA_Target_Hours]], "Yes", "No")</f>
        <v>Yes</v>
      </c>
    </row>
    <row r="228" spans="1:16" hidden="1">
      <c r="A228">
        <v>227</v>
      </c>
      <c r="B228" t="s">
        <v>240</v>
      </c>
      <c r="C228" t="s">
        <v>2210</v>
      </c>
      <c r="D228" t="s">
        <v>3996</v>
      </c>
      <c r="E228" s="1">
        <v>44279</v>
      </c>
      <c r="F228" t="s">
        <v>3999</v>
      </c>
      <c r="G228" t="s">
        <v>4009</v>
      </c>
      <c r="H228" t="s">
        <v>4018</v>
      </c>
      <c r="I228" t="s">
        <v>4023</v>
      </c>
      <c r="J228" t="s">
        <v>4025</v>
      </c>
      <c r="K228" s="2">
        <v>44473</v>
      </c>
      <c r="L228" s="2">
        <v>44477</v>
      </c>
      <c r="N228">
        <v>96</v>
      </c>
      <c r="O228">
        <f>IF(Tickets[[#This Row],[Ticket Priority]]="Critical",24,
IF(Tickets[[#This Row],[Ticket Priority]]="High",48,
IF(Tickets[[#This Row],[Ticket Priority]]="Medium",120,168)))</f>
        <v>120</v>
      </c>
      <c r="P228" t="str">
        <f>IF(Tickets[[#This Row],[Resolution Duration Hours]] &lt;= Tickets[[#This Row],[SLA_Target_Hours]], "Yes", "No")</f>
        <v>Yes</v>
      </c>
    </row>
    <row r="229" spans="1:16">
      <c r="A229">
        <v>50</v>
      </c>
      <c r="B229" t="s">
        <v>63</v>
      </c>
      <c r="C229" t="s">
        <v>2033</v>
      </c>
      <c r="D229" t="s">
        <v>3989</v>
      </c>
      <c r="E229" s="1">
        <v>43899</v>
      </c>
      <c r="F229" t="s">
        <v>3998</v>
      </c>
      <c r="G229" t="s">
        <v>4000</v>
      </c>
      <c r="H229" t="s">
        <v>4017</v>
      </c>
      <c r="I229" t="s">
        <v>4024</v>
      </c>
      <c r="J229" t="s">
        <v>4027</v>
      </c>
      <c r="K229" s="2">
        <v>44114</v>
      </c>
      <c r="L229" s="2">
        <v>44125</v>
      </c>
      <c r="N229">
        <v>264</v>
      </c>
      <c r="O229">
        <f>IF(Tickets[[#This Row],[Ticket Priority]]="Critical",24,
IF(Tickets[[#This Row],[Ticket Priority]]="High",48,
IF(Tickets[[#This Row],[Ticket Priority]]="Medium",120,168)))</f>
        <v>168</v>
      </c>
      <c r="P229" t="str">
        <f>IF(Tickets[[#This Row],[Resolution Duration Hours]] &lt;= Tickets[[#This Row],[SLA_Target_Hours]], "Yes", "No")</f>
        <v>No</v>
      </c>
    </row>
    <row r="230" spans="1:16" hidden="1">
      <c r="A230">
        <v>229</v>
      </c>
      <c r="B230" t="s">
        <v>242</v>
      </c>
      <c r="C230" t="s">
        <v>2212</v>
      </c>
      <c r="D230" t="s">
        <v>3991</v>
      </c>
      <c r="E230" s="1">
        <v>44766</v>
      </c>
      <c r="F230" t="s">
        <v>4002</v>
      </c>
      <c r="G230" t="s">
        <v>4008</v>
      </c>
      <c r="H230" t="s">
        <v>4017</v>
      </c>
      <c r="I230" t="s">
        <v>4021</v>
      </c>
      <c r="J230" t="s">
        <v>4026</v>
      </c>
      <c r="K230" s="2">
        <v>45054</v>
      </c>
      <c r="L230" s="2">
        <v>45056</v>
      </c>
      <c r="N230">
        <v>48</v>
      </c>
      <c r="O230">
        <f>IF(Tickets[[#This Row],[Ticket Priority]]="Critical",24,
IF(Tickets[[#This Row],[Ticket Priority]]="High",48,
IF(Tickets[[#This Row],[Ticket Priority]]="Medium",120,168)))</f>
        <v>48</v>
      </c>
      <c r="P230" t="str">
        <f>IF(Tickets[[#This Row],[Resolution Duration Hours]] &lt;= Tickets[[#This Row],[SLA_Target_Hours]], "Yes", "No")</f>
        <v>Yes</v>
      </c>
    </row>
    <row r="231" spans="1:16">
      <c r="A231">
        <v>161</v>
      </c>
      <c r="B231" t="s">
        <v>174</v>
      </c>
      <c r="C231" t="s">
        <v>2144</v>
      </c>
      <c r="D231" t="s">
        <v>3983</v>
      </c>
      <c r="E231" s="1">
        <v>44317</v>
      </c>
      <c r="F231" t="s">
        <v>4001</v>
      </c>
      <c r="G231" t="s">
        <v>4012</v>
      </c>
      <c r="H231" t="s">
        <v>4018</v>
      </c>
      <c r="I231" t="s">
        <v>4024</v>
      </c>
      <c r="J231" t="s">
        <v>4027</v>
      </c>
      <c r="K231" s="2">
        <v>44649</v>
      </c>
      <c r="L231" s="2">
        <v>44660</v>
      </c>
      <c r="M231">
        <v>3</v>
      </c>
      <c r="N231">
        <v>264</v>
      </c>
      <c r="O231">
        <f>IF(Tickets[[#This Row],[Ticket Priority]]="Critical",24,
IF(Tickets[[#This Row],[Ticket Priority]]="High",48,
IF(Tickets[[#This Row],[Ticket Priority]]="Medium",120,168)))</f>
        <v>168</v>
      </c>
      <c r="P231" t="str">
        <f>IF(Tickets[[#This Row],[Resolution Duration Hours]] &lt;= Tickets[[#This Row],[SLA_Target_Hours]], "Yes", "No")</f>
        <v>No</v>
      </c>
    </row>
    <row r="232" spans="1:16" hidden="1">
      <c r="A232">
        <v>231</v>
      </c>
      <c r="B232" t="s">
        <v>244</v>
      </c>
      <c r="C232" t="s">
        <v>2214</v>
      </c>
      <c r="D232" t="s">
        <v>3988</v>
      </c>
      <c r="E232" s="1">
        <v>44353</v>
      </c>
      <c r="F232" t="s">
        <v>3998</v>
      </c>
      <c r="G232" t="s">
        <v>4009</v>
      </c>
      <c r="H232" t="s">
        <v>4018</v>
      </c>
      <c r="I232" t="s">
        <v>4023</v>
      </c>
      <c r="J232" t="s">
        <v>4028</v>
      </c>
      <c r="K232" s="2">
        <v>44609</v>
      </c>
      <c r="L232" s="2">
        <v>44614</v>
      </c>
      <c r="M232">
        <v>4</v>
      </c>
      <c r="N232">
        <v>120</v>
      </c>
      <c r="O232">
        <f>IF(Tickets[[#This Row],[Ticket Priority]]="Critical",24,
IF(Tickets[[#This Row],[Ticket Priority]]="High",48,
IF(Tickets[[#This Row],[Ticket Priority]]="Medium",120,168)))</f>
        <v>120</v>
      </c>
      <c r="P232" t="str">
        <f>IF(Tickets[[#This Row],[Resolution Duration Hours]] &lt;= Tickets[[#This Row],[SLA_Target_Hours]], "Yes", "No")</f>
        <v>Yes</v>
      </c>
    </row>
    <row r="233" spans="1:16">
      <c r="A233">
        <v>171</v>
      </c>
      <c r="B233" t="s">
        <v>184</v>
      </c>
      <c r="C233" t="s">
        <v>2154</v>
      </c>
      <c r="D233" t="s">
        <v>3980</v>
      </c>
      <c r="E233" s="1">
        <v>44940</v>
      </c>
      <c r="F233" t="s">
        <v>3999</v>
      </c>
      <c r="G233" t="s">
        <v>4013</v>
      </c>
      <c r="H233" t="s">
        <v>4018</v>
      </c>
      <c r="I233" t="s">
        <v>4024</v>
      </c>
      <c r="J233" t="s">
        <v>4028</v>
      </c>
      <c r="K233" s="2">
        <v>45075</v>
      </c>
      <c r="L233" s="2">
        <v>45086</v>
      </c>
      <c r="N233">
        <v>264</v>
      </c>
      <c r="O233">
        <f>IF(Tickets[[#This Row],[Ticket Priority]]="Critical",24,
IF(Tickets[[#This Row],[Ticket Priority]]="High",48,
IF(Tickets[[#This Row],[Ticket Priority]]="Medium",120,168)))</f>
        <v>168</v>
      </c>
      <c r="P233" t="str">
        <f>IF(Tickets[[#This Row],[Resolution Duration Hours]] &lt;= Tickets[[#This Row],[SLA_Target_Hours]], "Yes", "No")</f>
        <v>No</v>
      </c>
    </row>
    <row r="234" spans="1:16" hidden="1">
      <c r="A234">
        <v>233</v>
      </c>
      <c r="B234" t="s">
        <v>246</v>
      </c>
      <c r="C234" t="s">
        <v>2216</v>
      </c>
      <c r="D234" t="s">
        <v>3996</v>
      </c>
      <c r="E234" s="1">
        <v>45047</v>
      </c>
      <c r="F234" t="s">
        <v>4000</v>
      </c>
      <c r="G234" t="s">
        <v>4015</v>
      </c>
      <c r="H234" t="s">
        <v>4017</v>
      </c>
      <c r="I234" t="s">
        <v>4023</v>
      </c>
      <c r="J234" t="s">
        <v>4026</v>
      </c>
      <c r="K234" s="2">
        <v>45090</v>
      </c>
      <c r="L234" s="2">
        <v>45092</v>
      </c>
      <c r="N234">
        <v>48</v>
      </c>
      <c r="O234">
        <f>IF(Tickets[[#This Row],[Ticket Priority]]="Critical",24,
IF(Tickets[[#This Row],[Ticket Priority]]="High",48,
IF(Tickets[[#This Row],[Ticket Priority]]="Medium",120,168)))</f>
        <v>120</v>
      </c>
      <c r="P234" t="str">
        <f>IF(Tickets[[#This Row],[Resolution Duration Hours]] &lt;= Tickets[[#This Row],[SLA_Target_Hours]], "Yes", "No")</f>
        <v>Yes</v>
      </c>
    </row>
    <row r="235" spans="1:16">
      <c r="A235">
        <v>306</v>
      </c>
      <c r="B235" t="s">
        <v>319</v>
      </c>
      <c r="C235" t="s">
        <v>2289</v>
      </c>
      <c r="D235" t="s">
        <v>3991</v>
      </c>
      <c r="E235" s="1">
        <v>44143</v>
      </c>
      <c r="F235" t="s">
        <v>4002</v>
      </c>
      <c r="G235" t="s">
        <v>4014</v>
      </c>
      <c r="H235" t="s">
        <v>4018</v>
      </c>
      <c r="I235" t="s">
        <v>4024</v>
      </c>
      <c r="J235" t="s">
        <v>4027</v>
      </c>
      <c r="K235" s="2">
        <v>44171</v>
      </c>
      <c r="L235" s="2">
        <v>44182</v>
      </c>
      <c r="M235">
        <v>4</v>
      </c>
      <c r="N235">
        <v>264</v>
      </c>
      <c r="O235">
        <f>IF(Tickets[[#This Row],[Ticket Priority]]="Critical",24,
IF(Tickets[[#This Row],[Ticket Priority]]="High",48,
IF(Tickets[[#This Row],[Ticket Priority]]="Medium",120,168)))</f>
        <v>168</v>
      </c>
      <c r="P235" t="str">
        <f>IF(Tickets[[#This Row],[Resolution Duration Hours]] &lt;= Tickets[[#This Row],[SLA_Target_Hours]], "Yes", "No")</f>
        <v>No</v>
      </c>
    </row>
    <row r="236" spans="1:16" hidden="1">
      <c r="A236">
        <v>235</v>
      </c>
      <c r="B236" t="s">
        <v>248</v>
      </c>
      <c r="C236" t="s">
        <v>2218</v>
      </c>
      <c r="D236" t="s">
        <v>3995</v>
      </c>
      <c r="E236" s="1">
        <v>44127</v>
      </c>
      <c r="F236" t="s">
        <v>3998</v>
      </c>
      <c r="G236" t="s">
        <v>4009</v>
      </c>
      <c r="H236" t="s">
        <v>4017</v>
      </c>
      <c r="I236" t="s">
        <v>4023</v>
      </c>
      <c r="J236" t="s">
        <v>4028</v>
      </c>
      <c r="K236" s="2">
        <v>44356</v>
      </c>
      <c r="L236" s="2">
        <v>44356</v>
      </c>
      <c r="N236">
        <v>0</v>
      </c>
      <c r="O236">
        <f>IF(Tickets[[#This Row],[Ticket Priority]]="Critical",24,
IF(Tickets[[#This Row],[Ticket Priority]]="High",48,
IF(Tickets[[#This Row],[Ticket Priority]]="Medium",120,168)))</f>
        <v>120</v>
      </c>
      <c r="P236" t="str">
        <f>IF(Tickets[[#This Row],[Resolution Duration Hours]] &lt;= Tickets[[#This Row],[SLA_Target_Hours]], "Yes", "No")</f>
        <v>Yes</v>
      </c>
    </row>
    <row r="237" spans="1:16" hidden="1">
      <c r="A237">
        <v>236</v>
      </c>
      <c r="B237" t="s">
        <v>249</v>
      </c>
      <c r="C237" t="s">
        <v>2219</v>
      </c>
      <c r="D237" t="s">
        <v>3983</v>
      </c>
      <c r="E237" s="1">
        <v>44974</v>
      </c>
      <c r="F237" t="s">
        <v>4002</v>
      </c>
      <c r="G237" t="s">
        <v>4009</v>
      </c>
      <c r="H237" t="s">
        <v>4018</v>
      </c>
      <c r="I237" t="s">
        <v>4023</v>
      </c>
      <c r="J237" t="s">
        <v>4027</v>
      </c>
      <c r="K237" s="2">
        <v>45171</v>
      </c>
      <c r="L237" s="2">
        <v>45174</v>
      </c>
      <c r="M237">
        <v>3</v>
      </c>
      <c r="N237">
        <v>72</v>
      </c>
      <c r="O237">
        <f>IF(Tickets[[#This Row],[Ticket Priority]]="Critical",24,
IF(Tickets[[#This Row],[Ticket Priority]]="High",48,
IF(Tickets[[#This Row],[Ticket Priority]]="Medium",120,168)))</f>
        <v>120</v>
      </c>
      <c r="P237" t="str">
        <f>IF(Tickets[[#This Row],[Resolution Duration Hours]] &lt;= Tickets[[#This Row],[SLA_Target_Hours]], "Yes", "No")</f>
        <v>Yes</v>
      </c>
    </row>
    <row r="238" spans="1:16" hidden="1">
      <c r="A238">
        <v>237</v>
      </c>
      <c r="B238" t="s">
        <v>250</v>
      </c>
      <c r="C238" t="s">
        <v>2220</v>
      </c>
      <c r="D238" t="s">
        <v>3996</v>
      </c>
      <c r="E238" s="1">
        <v>44318</v>
      </c>
      <c r="F238" t="s">
        <v>4000</v>
      </c>
      <c r="G238" t="s">
        <v>4012</v>
      </c>
      <c r="H238" t="s">
        <v>4017</v>
      </c>
      <c r="I238" t="s">
        <v>4023</v>
      </c>
      <c r="J238" t="s">
        <v>4026</v>
      </c>
      <c r="K238" s="2">
        <v>44404</v>
      </c>
      <c r="L238" s="2">
        <v>44408</v>
      </c>
      <c r="N238">
        <v>96</v>
      </c>
      <c r="O238">
        <f>IF(Tickets[[#This Row],[Ticket Priority]]="Critical",24,
IF(Tickets[[#This Row],[Ticket Priority]]="High",48,
IF(Tickets[[#This Row],[Ticket Priority]]="Medium",120,168)))</f>
        <v>120</v>
      </c>
      <c r="P238" t="str">
        <f>IF(Tickets[[#This Row],[Resolution Duration Hours]] &lt;= Tickets[[#This Row],[SLA_Target_Hours]], "Yes", "No")</f>
        <v>Yes</v>
      </c>
    </row>
    <row r="239" spans="1:16" hidden="1">
      <c r="A239">
        <v>238</v>
      </c>
      <c r="B239" t="s">
        <v>251</v>
      </c>
      <c r="C239" t="s">
        <v>2221</v>
      </c>
      <c r="D239" t="s">
        <v>3992</v>
      </c>
      <c r="E239" s="1">
        <v>44129</v>
      </c>
      <c r="F239" t="s">
        <v>4002</v>
      </c>
      <c r="G239" t="s">
        <v>4012</v>
      </c>
      <c r="H239" t="s">
        <v>4018</v>
      </c>
      <c r="I239" t="s">
        <v>4024</v>
      </c>
      <c r="J239" t="s">
        <v>4028</v>
      </c>
      <c r="K239" s="2">
        <v>44168</v>
      </c>
      <c r="L239" s="2">
        <v>44175</v>
      </c>
      <c r="M239">
        <v>5</v>
      </c>
      <c r="N239">
        <v>168</v>
      </c>
      <c r="O239">
        <f>IF(Tickets[[#This Row],[Ticket Priority]]="Critical",24,
IF(Tickets[[#This Row],[Ticket Priority]]="High",48,
IF(Tickets[[#This Row],[Ticket Priority]]="Medium",120,168)))</f>
        <v>168</v>
      </c>
      <c r="P239" t="str">
        <f>IF(Tickets[[#This Row],[Resolution Duration Hours]] &lt;= Tickets[[#This Row],[SLA_Target_Hours]], "Yes", "No")</f>
        <v>Yes</v>
      </c>
    </row>
    <row r="240" spans="1:16" hidden="1">
      <c r="A240">
        <v>239</v>
      </c>
      <c r="B240" t="s">
        <v>252</v>
      </c>
      <c r="C240" t="s">
        <v>2222</v>
      </c>
      <c r="D240" t="s">
        <v>3996</v>
      </c>
      <c r="E240" s="1">
        <v>44576</v>
      </c>
      <c r="F240" t="s">
        <v>3998</v>
      </c>
      <c r="G240" t="s">
        <v>4014</v>
      </c>
      <c r="H240" t="s">
        <v>4018</v>
      </c>
      <c r="I240" t="s">
        <v>4023</v>
      </c>
      <c r="J240" t="s">
        <v>4025</v>
      </c>
      <c r="K240" s="2">
        <v>44746</v>
      </c>
      <c r="L240" s="2">
        <v>44751</v>
      </c>
      <c r="M240">
        <v>4</v>
      </c>
      <c r="N240">
        <v>120</v>
      </c>
      <c r="O240">
        <f>IF(Tickets[[#This Row],[Ticket Priority]]="Critical",24,
IF(Tickets[[#This Row],[Ticket Priority]]="High",48,
IF(Tickets[[#This Row],[Ticket Priority]]="Medium",120,168)))</f>
        <v>120</v>
      </c>
      <c r="P240" t="str">
        <f>IF(Tickets[[#This Row],[Resolution Duration Hours]] &lt;= Tickets[[#This Row],[SLA_Target_Hours]], "Yes", "No")</f>
        <v>Yes</v>
      </c>
    </row>
    <row r="241" spans="1:16" hidden="1">
      <c r="A241">
        <v>240</v>
      </c>
      <c r="B241" t="s">
        <v>253</v>
      </c>
      <c r="C241" t="s">
        <v>2223</v>
      </c>
      <c r="D241" t="s">
        <v>3989</v>
      </c>
      <c r="E241" s="1">
        <v>44443</v>
      </c>
      <c r="F241" t="s">
        <v>3998</v>
      </c>
      <c r="G241" t="s">
        <v>4008</v>
      </c>
      <c r="H241" t="s">
        <v>4018</v>
      </c>
      <c r="I241" t="s">
        <v>4024</v>
      </c>
      <c r="J241" t="s">
        <v>4028</v>
      </c>
      <c r="K241" s="2">
        <v>44688</v>
      </c>
      <c r="L241" s="2">
        <v>44692</v>
      </c>
      <c r="M241">
        <v>4</v>
      </c>
      <c r="N241">
        <v>96</v>
      </c>
      <c r="O241">
        <f>IF(Tickets[[#This Row],[Ticket Priority]]="Critical",24,
IF(Tickets[[#This Row],[Ticket Priority]]="High",48,
IF(Tickets[[#This Row],[Ticket Priority]]="Medium",120,168)))</f>
        <v>168</v>
      </c>
      <c r="P241" t="str">
        <f>IF(Tickets[[#This Row],[Resolution Duration Hours]] &lt;= Tickets[[#This Row],[SLA_Target_Hours]], "Yes", "No")</f>
        <v>Yes</v>
      </c>
    </row>
    <row r="242" spans="1:16" hidden="1">
      <c r="A242">
        <v>241</v>
      </c>
      <c r="B242" t="s">
        <v>254</v>
      </c>
      <c r="C242" t="s">
        <v>2224</v>
      </c>
      <c r="D242" t="s">
        <v>3996</v>
      </c>
      <c r="E242" s="1">
        <v>44850</v>
      </c>
      <c r="F242" t="s">
        <v>3998</v>
      </c>
      <c r="G242" t="s">
        <v>4010</v>
      </c>
      <c r="H242" t="s">
        <v>4018</v>
      </c>
      <c r="I242" t="s">
        <v>4023</v>
      </c>
      <c r="J242" t="s">
        <v>4028</v>
      </c>
      <c r="K242" s="2">
        <v>44993</v>
      </c>
      <c r="L242" s="2">
        <v>44994</v>
      </c>
      <c r="N242">
        <v>24</v>
      </c>
      <c r="O242">
        <f>IF(Tickets[[#This Row],[Ticket Priority]]="Critical",24,
IF(Tickets[[#This Row],[Ticket Priority]]="High",48,
IF(Tickets[[#This Row],[Ticket Priority]]="Medium",120,168)))</f>
        <v>120</v>
      </c>
      <c r="P242" t="str">
        <f>IF(Tickets[[#This Row],[Resolution Duration Hours]] &lt;= Tickets[[#This Row],[SLA_Target_Hours]], "Yes", "No")</f>
        <v>Yes</v>
      </c>
    </row>
    <row r="243" spans="1:16">
      <c r="A243">
        <v>338</v>
      </c>
      <c r="B243" t="s">
        <v>351</v>
      </c>
      <c r="C243" t="s">
        <v>2321</v>
      </c>
      <c r="D243" t="s">
        <v>3994</v>
      </c>
      <c r="E243" s="1">
        <v>45013</v>
      </c>
      <c r="F243" t="s">
        <v>4000</v>
      </c>
      <c r="G243" t="s">
        <v>4004</v>
      </c>
      <c r="H243" t="s">
        <v>4018</v>
      </c>
      <c r="I243" t="s">
        <v>4024</v>
      </c>
      <c r="J243" t="s">
        <v>4026</v>
      </c>
      <c r="K243" s="2">
        <v>45096</v>
      </c>
      <c r="L243" s="2">
        <v>45107</v>
      </c>
      <c r="M243">
        <v>2</v>
      </c>
      <c r="N243">
        <v>264</v>
      </c>
      <c r="O243">
        <f>IF(Tickets[[#This Row],[Ticket Priority]]="Critical",24,
IF(Tickets[[#This Row],[Ticket Priority]]="High",48,
IF(Tickets[[#This Row],[Ticket Priority]]="Medium",120,168)))</f>
        <v>168</v>
      </c>
      <c r="P243" t="str">
        <f>IF(Tickets[[#This Row],[Resolution Duration Hours]] &lt;= Tickets[[#This Row],[SLA_Target_Hours]], "Yes", "No")</f>
        <v>No</v>
      </c>
    </row>
    <row r="244" spans="1:16" hidden="1">
      <c r="A244">
        <v>243</v>
      </c>
      <c r="B244" t="s">
        <v>256</v>
      </c>
      <c r="C244" t="s">
        <v>2226</v>
      </c>
      <c r="D244" t="s">
        <v>3992</v>
      </c>
      <c r="E244" s="1">
        <v>44344</v>
      </c>
      <c r="F244" t="s">
        <v>3998</v>
      </c>
      <c r="G244" t="s">
        <v>4011</v>
      </c>
      <c r="H244" t="s">
        <v>4020</v>
      </c>
      <c r="I244" t="s">
        <v>4021</v>
      </c>
      <c r="J244" t="s">
        <v>4026</v>
      </c>
      <c r="K244" s="2">
        <v>44415</v>
      </c>
      <c r="L244" s="2">
        <v>44417</v>
      </c>
      <c r="N244">
        <v>48</v>
      </c>
      <c r="O244">
        <f>IF(Tickets[[#This Row],[Ticket Priority]]="Critical",24,
IF(Tickets[[#This Row],[Ticket Priority]]="High",48,
IF(Tickets[[#This Row],[Ticket Priority]]="Medium",120,168)))</f>
        <v>48</v>
      </c>
      <c r="P244" t="str">
        <f>IF(Tickets[[#This Row],[Resolution Duration Hours]] &lt;= Tickets[[#This Row],[SLA_Target_Hours]], "Yes", "No")</f>
        <v>Yes</v>
      </c>
    </row>
    <row r="245" spans="1:16" hidden="1">
      <c r="A245">
        <v>244</v>
      </c>
      <c r="B245" t="s">
        <v>257</v>
      </c>
      <c r="C245" t="s">
        <v>2227</v>
      </c>
      <c r="D245" t="s">
        <v>3980</v>
      </c>
      <c r="E245" s="1">
        <v>44463</v>
      </c>
      <c r="F245" t="s">
        <v>3998</v>
      </c>
      <c r="G245" t="s">
        <v>4009</v>
      </c>
      <c r="H245" t="s">
        <v>4017</v>
      </c>
      <c r="I245" t="s">
        <v>4024</v>
      </c>
      <c r="J245" t="s">
        <v>4027</v>
      </c>
      <c r="K245" s="2">
        <v>44668</v>
      </c>
      <c r="L245" s="2">
        <v>44673</v>
      </c>
      <c r="N245">
        <v>120</v>
      </c>
      <c r="O245">
        <f>IF(Tickets[[#This Row],[Ticket Priority]]="Critical",24,
IF(Tickets[[#This Row],[Ticket Priority]]="High",48,
IF(Tickets[[#This Row],[Ticket Priority]]="Medium",120,168)))</f>
        <v>168</v>
      </c>
      <c r="P245" t="str">
        <f>IF(Tickets[[#This Row],[Resolution Duration Hours]] &lt;= Tickets[[#This Row],[SLA_Target_Hours]], "Yes", "No")</f>
        <v>Yes</v>
      </c>
    </row>
    <row r="246" spans="1:16" hidden="1">
      <c r="A246">
        <v>245</v>
      </c>
      <c r="B246" t="s">
        <v>258</v>
      </c>
      <c r="C246" t="s">
        <v>2228</v>
      </c>
      <c r="D246" t="s">
        <v>3988</v>
      </c>
      <c r="E246" s="1">
        <v>44834</v>
      </c>
      <c r="F246" t="s">
        <v>4000</v>
      </c>
      <c r="G246" t="s">
        <v>4008</v>
      </c>
      <c r="H246" t="s">
        <v>4017</v>
      </c>
      <c r="I246" t="s">
        <v>4024</v>
      </c>
      <c r="J246" t="s">
        <v>4027</v>
      </c>
      <c r="K246" s="2">
        <v>44889</v>
      </c>
      <c r="L246" s="2">
        <v>44891</v>
      </c>
      <c r="N246">
        <v>48</v>
      </c>
      <c r="O246">
        <f>IF(Tickets[[#This Row],[Ticket Priority]]="Critical",24,
IF(Tickets[[#This Row],[Ticket Priority]]="High",48,
IF(Tickets[[#This Row],[Ticket Priority]]="Medium",120,168)))</f>
        <v>168</v>
      </c>
      <c r="P246" t="str">
        <f>IF(Tickets[[#This Row],[Resolution Duration Hours]] &lt;= Tickets[[#This Row],[SLA_Target_Hours]], "Yes", "No")</f>
        <v>Yes</v>
      </c>
    </row>
    <row r="247" spans="1:16">
      <c r="A247">
        <v>445</v>
      </c>
      <c r="B247" t="s">
        <v>458</v>
      </c>
      <c r="C247" t="s">
        <v>2428</v>
      </c>
      <c r="D247" t="s">
        <v>3994</v>
      </c>
      <c r="E247" s="1">
        <v>44065</v>
      </c>
      <c r="F247" t="s">
        <v>3999</v>
      </c>
      <c r="G247" t="s">
        <v>4015</v>
      </c>
      <c r="H247" t="s">
        <v>4018</v>
      </c>
      <c r="I247" t="s">
        <v>4024</v>
      </c>
      <c r="J247" t="s">
        <v>4028</v>
      </c>
      <c r="K247" s="2">
        <v>44322</v>
      </c>
      <c r="L247" s="2">
        <v>44333</v>
      </c>
      <c r="M247">
        <v>2</v>
      </c>
      <c r="N247">
        <v>264</v>
      </c>
      <c r="O247">
        <f>IF(Tickets[[#This Row],[Ticket Priority]]="Critical",24,
IF(Tickets[[#This Row],[Ticket Priority]]="High",48,
IF(Tickets[[#This Row],[Ticket Priority]]="Medium",120,168)))</f>
        <v>168</v>
      </c>
      <c r="P247" t="str">
        <f>IF(Tickets[[#This Row],[Resolution Duration Hours]] &lt;= Tickets[[#This Row],[SLA_Target_Hours]], "Yes", "No")</f>
        <v>No</v>
      </c>
    </row>
    <row r="248" spans="1:16" hidden="1">
      <c r="A248">
        <v>247</v>
      </c>
      <c r="B248" t="s">
        <v>260</v>
      </c>
      <c r="C248" t="s">
        <v>2230</v>
      </c>
      <c r="D248" t="s">
        <v>3984</v>
      </c>
      <c r="E248" s="1">
        <v>44120</v>
      </c>
      <c r="F248" t="s">
        <v>4000</v>
      </c>
      <c r="G248" t="s">
        <v>4006</v>
      </c>
      <c r="H248" t="s">
        <v>4017</v>
      </c>
      <c r="I248" t="s">
        <v>4023</v>
      </c>
      <c r="J248" t="s">
        <v>4026</v>
      </c>
      <c r="K248" s="2">
        <v>44467</v>
      </c>
      <c r="L248" s="2">
        <v>44472</v>
      </c>
      <c r="N248">
        <v>120</v>
      </c>
      <c r="O248">
        <f>IF(Tickets[[#This Row],[Ticket Priority]]="Critical",24,
IF(Tickets[[#This Row],[Ticket Priority]]="High",48,
IF(Tickets[[#This Row],[Ticket Priority]]="Medium",120,168)))</f>
        <v>120</v>
      </c>
      <c r="P248" t="str">
        <f>IF(Tickets[[#This Row],[Resolution Duration Hours]] &lt;= Tickets[[#This Row],[SLA_Target_Hours]], "Yes", "No")</f>
        <v>Yes</v>
      </c>
    </row>
    <row r="249" spans="1:16" hidden="1">
      <c r="A249">
        <v>248</v>
      </c>
      <c r="B249" t="s">
        <v>261</v>
      </c>
      <c r="C249" t="s">
        <v>2231</v>
      </c>
      <c r="D249" t="s">
        <v>3988</v>
      </c>
      <c r="E249" s="1">
        <v>44351</v>
      </c>
      <c r="F249" t="s">
        <v>3999</v>
      </c>
      <c r="G249" t="s">
        <v>4011</v>
      </c>
      <c r="H249" t="s">
        <v>4020</v>
      </c>
      <c r="I249" t="s">
        <v>4024</v>
      </c>
      <c r="J249" t="s">
        <v>4028</v>
      </c>
      <c r="K249" s="2">
        <v>44410</v>
      </c>
      <c r="L249" s="2">
        <v>44412</v>
      </c>
      <c r="N249">
        <v>48</v>
      </c>
      <c r="O249">
        <f>IF(Tickets[[#This Row],[Ticket Priority]]="Critical",24,
IF(Tickets[[#This Row],[Ticket Priority]]="High",48,
IF(Tickets[[#This Row],[Ticket Priority]]="Medium",120,168)))</f>
        <v>168</v>
      </c>
      <c r="P249" t="str">
        <f>IF(Tickets[[#This Row],[Resolution Duration Hours]] &lt;= Tickets[[#This Row],[SLA_Target_Hours]], "Yes", "No")</f>
        <v>Yes</v>
      </c>
    </row>
    <row r="250" spans="1:16" hidden="1">
      <c r="A250">
        <v>249</v>
      </c>
      <c r="B250" t="s">
        <v>262</v>
      </c>
      <c r="C250" t="s">
        <v>2232</v>
      </c>
      <c r="D250" t="s">
        <v>3979</v>
      </c>
      <c r="E250" s="1">
        <v>44558</v>
      </c>
      <c r="F250" t="s">
        <v>4001</v>
      </c>
      <c r="G250" t="s">
        <v>4016</v>
      </c>
      <c r="H250" t="s">
        <v>4017</v>
      </c>
      <c r="I250" t="s">
        <v>4023</v>
      </c>
      <c r="J250" t="s">
        <v>4025</v>
      </c>
      <c r="K250" s="2">
        <v>44782</v>
      </c>
      <c r="L250" s="2">
        <v>44785</v>
      </c>
      <c r="N250">
        <v>72</v>
      </c>
      <c r="O250">
        <f>IF(Tickets[[#This Row],[Ticket Priority]]="Critical",24,
IF(Tickets[[#This Row],[Ticket Priority]]="High",48,
IF(Tickets[[#This Row],[Ticket Priority]]="Medium",120,168)))</f>
        <v>120</v>
      </c>
      <c r="P250" t="str">
        <f>IF(Tickets[[#This Row],[Resolution Duration Hours]] &lt;= Tickets[[#This Row],[SLA_Target_Hours]], "Yes", "No")</f>
        <v>Yes</v>
      </c>
    </row>
    <row r="251" spans="1:16" hidden="1">
      <c r="A251">
        <v>250</v>
      </c>
      <c r="B251" t="s">
        <v>263</v>
      </c>
      <c r="C251" t="s">
        <v>2233</v>
      </c>
      <c r="D251" t="s">
        <v>3983</v>
      </c>
      <c r="E251" s="1">
        <v>43852</v>
      </c>
      <c r="F251" t="s">
        <v>3999</v>
      </c>
      <c r="G251" t="s">
        <v>4004</v>
      </c>
      <c r="H251" t="s">
        <v>4018</v>
      </c>
      <c r="I251" t="s">
        <v>4024</v>
      </c>
      <c r="J251" t="s">
        <v>4028</v>
      </c>
      <c r="K251" s="2">
        <v>44183</v>
      </c>
      <c r="L251" s="2">
        <v>44190</v>
      </c>
      <c r="M251">
        <v>4</v>
      </c>
      <c r="N251">
        <v>168</v>
      </c>
      <c r="O251">
        <f>IF(Tickets[[#This Row],[Ticket Priority]]="Critical",24,
IF(Tickets[[#This Row],[Ticket Priority]]="High",48,
IF(Tickets[[#This Row],[Ticket Priority]]="Medium",120,168)))</f>
        <v>168</v>
      </c>
      <c r="P251" t="str">
        <f>IF(Tickets[[#This Row],[Resolution Duration Hours]] &lt;= Tickets[[#This Row],[SLA_Target_Hours]], "Yes", "No")</f>
        <v>Yes</v>
      </c>
    </row>
    <row r="252" spans="1:16" hidden="1">
      <c r="A252">
        <v>251</v>
      </c>
      <c r="B252" t="s">
        <v>264</v>
      </c>
      <c r="C252" t="s">
        <v>2234</v>
      </c>
      <c r="D252" t="s">
        <v>3984</v>
      </c>
      <c r="E252" s="1">
        <v>44495</v>
      </c>
      <c r="F252" t="s">
        <v>4002</v>
      </c>
      <c r="G252" t="s">
        <v>4011</v>
      </c>
      <c r="H252" t="s">
        <v>4018</v>
      </c>
      <c r="I252" t="s">
        <v>4023</v>
      </c>
      <c r="J252" t="s">
        <v>4025</v>
      </c>
      <c r="K252" s="2">
        <v>44613</v>
      </c>
      <c r="L252" s="2">
        <v>44616</v>
      </c>
      <c r="M252">
        <v>4</v>
      </c>
      <c r="N252">
        <v>72</v>
      </c>
      <c r="O252">
        <f>IF(Tickets[[#This Row],[Ticket Priority]]="Critical",24,
IF(Tickets[[#This Row],[Ticket Priority]]="High",48,
IF(Tickets[[#This Row],[Ticket Priority]]="Medium",120,168)))</f>
        <v>120</v>
      </c>
      <c r="P252" t="str">
        <f>IF(Tickets[[#This Row],[Resolution Duration Hours]] &lt;= Tickets[[#This Row],[SLA_Target_Hours]], "Yes", "No")</f>
        <v>Yes</v>
      </c>
    </row>
    <row r="253" spans="1:16" hidden="1">
      <c r="A253">
        <v>252</v>
      </c>
      <c r="B253" t="s">
        <v>265</v>
      </c>
      <c r="C253" t="s">
        <v>2235</v>
      </c>
      <c r="D253" t="s">
        <v>3996</v>
      </c>
      <c r="E253" s="1">
        <v>43841</v>
      </c>
      <c r="F253" t="s">
        <v>3998</v>
      </c>
      <c r="G253" t="s">
        <v>4014</v>
      </c>
      <c r="H253" t="s">
        <v>4018</v>
      </c>
      <c r="I253" t="s">
        <v>4021</v>
      </c>
      <c r="J253" t="s">
        <v>4026</v>
      </c>
      <c r="K253" s="2">
        <v>43843</v>
      </c>
      <c r="L253" s="2">
        <v>43844</v>
      </c>
      <c r="M253">
        <v>4</v>
      </c>
      <c r="N253">
        <v>24</v>
      </c>
      <c r="O253">
        <f>IF(Tickets[[#This Row],[Ticket Priority]]="Critical",24,
IF(Tickets[[#This Row],[Ticket Priority]]="High",48,
IF(Tickets[[#This Row],[Ticket Priority]]="Medium",120,168)))</f>
        <v>48</v>
      </c>
      <c r="P253" t="str">
        <f>IF(Tickets[[#This Row],[Resolution Duration Hours]] &lt;= Tickets[[#This Row],[SLA_Target_Hours]], "Yes", "No")</f>
        <v>Yes</v>
      </c>
    </row>
    <row r="254" spans="1:16" hidden="1">
      <c r="A254">
        <v>253</v>
      </c>
      <c r="B254" t="s">
        <v>266</v>
      </c>
      <c r="C254" t="s">
        <v>2236</v>
      </c>
      <c r="D254" t="s">
        <v>3989</v>
      </c>
      <c r="E254" s="1">
        <v>44846</v>
      </c>
      <c r="F254" t="s">
        <v>4000</v>
      </c>
      <c r="G254" t="s">
        <v>4009</v>
      </c>
      <c r="H254" t="s">
        <v>4018</v>
      </c>
      <c r="I254" t="s">
        <v>4024</v>
      </c>
      <c r="J254" t="s">
        <v>4026</v>
      </c>
      <c r="K254" s="2">
        <v>45080</v>
      </c>
      <c r="L254" s="2">
        <v>45087</v>
      </c>
      <c r="M254">
        <v>4</v>
      </c>
      <c r="N254">
        <v>168</v>
      </c>
      <c r="O254">
        <f>IF(Tickets[[#This Row],[Ticket Priority]]="Critical",24,
IF(Tickets[[#This Row],[Ticket Priority]]="High",48,
IF(Tickets[[#This Row],[Ticket Priority]]="Medium",120,168)))</f>
        <v>168</v>
      </c>
      <c r="P254" t="str">
        <f>IF(Tickets[[#This Row],[Resolution Duration Hours]] &lt;= Tickets[[#This Row],[SLA_Target_Hours]], "Yes", "No")</f>
        <v>Yes</v>
      </c>
    </row>
    <row r="255" spans="1:16">
      <c r="A255">
        <v>584</v>
      </c>
      <c r="B255" t="s">
        <v>594</v>
      </c>
      <c r="C255" t="s">
        <v>2567</v>
      </c>
      <c r="D255" t="s">
        <v>3988</v>
      </c>
      <c r="E255" s="1">
        <v>44570</v>
      </c>
      <c r="F255" t="s">
        <v>4002</v>
      </c>
      <c r="G255" t="s">
        <v>4004</v>
      </c>
      <c r="H255" t="s">
        <v>4020</v>
      </c>
      <c r="I255" t="s">
        <v>4024</v>
      </c>
      <c r="J255" t="s">
        <v>4028</v>
      </c>
      <c r="K255" s="2">
        <v>44757</v>
      </c>
      <c r="L255" s="2">
        <v>44768</v>
      </c>
      <c r="N255">
        <v>264</v>
      </c>
      <c r="O255">
        <f>IF(Tickets[[#This Row],[Ticket Priority]]="Critical",24,
IF(Tickets[[#This Row],[Ticket Priority]]="High",48,
IF(Tickets[[#This Row],[Ticket Priority]]="Medium",120,168)))</f>
        <v>168</v>
      </c>
      <c r="P255" t="str">
        <f>IF(Tickets[[#This Row],[Resolution Duration Hours]] &lt;= Tickets[[#This Row],[SLA_Target_Hours]], "Yes", "No")</f>
        <v>No</v>
      </c>
    </row>
    <row r="256" spans="1:16" hidden="1">
      <c r="A256">
        <v>255</v>
      </c>
      <c r="B256" t="s">
        <v>268</v>
      </c>
      <c r="C256" t="s">
        <v>2238</v>
      </c>
      <c r="D256" t="s">
        <v>3986</v>
      </c>
      <c r="E256" s="1">
        <v>44785</v>
      </c>
      <c r="F256" t="s">
        <v>4002</v>
      </c>
      <c r="G256" t="s">
        <v>4011</v>
      </c>
      <c r="H256" t="s">
        <v>4018</v>
      </c>
      <c r="I256" t="s">
        <v>4024</v>
      </c>
      <c r="J256" t="s">
        <v>4026</v>
      </c>
      <c r="K256" s="2">
        <v>44844</v>
      </c>
      <c r="L256" s="2">
        <v>44846</v>
      </c>
      <c r="M256">
        <v>5</v>
      </c>
      <c r="N256">
        <v>48</v>
      </c>
      <c r="O256">
        <f>IF(Tickets[[#This Row],[Ticket Priority]]="Critical",24,
IF(Tickets[[#This Row],[Ticket Priority]]="High",48,
IF(Tickets[[#This Row],[Ticket Priority]]="Medium",120,168)))</f>
        <v>168</v>
      </c>
      <c r="P256" t="str">
        <f>IF(Tickets[[#This Row],[Resolution Duration Hours]] &lt;= Tickets[[#This Row],[SLA_Target_Hours]], "Yes", "No")</f>
        <v>Yes</v>
      </c>
    </row>
    <row r="257" spans="1:16" hidden="1">
      <c r="A257">
        <v>256</v>
      </c>
      <c r="B257" t="s">
        <v>269</v>
      </c>
      <c r="C257" t="s">
        <v>2239</v>
      </c>
      <c r="D257" t="s">
        <v>3982</v>
      </c>
      <c r="E257" s="1">
        <v>44476</v>
      </c>
      <c r="F257" t="s">
        <v>4001</v>
      </c>
      <c r="G257" t="s">
        <v>4011</v>
      </c>
      <c r="H257" t="s">
        <v>4018</v>
      </c>
      <c r="I257" t="s">
        <v>4023</v>
      </c>
      <c r="J257" t="s">
        <v>4027</v>
      </c>
      <c r="K257" s="2">
        <v>44760</v>
      </c>
      <c r="L257" s="2">
        <v>44764</v>
      </c>
      <c r="M257">
        <v>3</v>
      </c>
      <c r="N257">
        <v>96</v>
      </c>
      <c r="O257">
        <f>IF(Tickets[[#This Row],[Ticket Priority]]="Critical",24,
IF(Tickets[[#This Row],[Ticket Priority]]="High",48,
IF(Tickets[[#This Row],[Ticket Priority]]="Medium",120,168)))</f>
        <v>120</v>
      </c>
      <c r="P257" t="str">
        <f>IF(Tickets[[#This Row],[Resolution Duration Hours]] &lt;= Tickets[[#This Row],[SLA_Target_Hours]], "Yes", "No")</f>
        <v>Yes</v>
      </c>
    </row>
    <row r="258" spans="1:16">
      <c r="A258">
        <v>593</v>
      </c>
      <c r="B258" t="s">
        <v>603</v>
      </c>
      <c r="C258" t="s">
        <v>2576</v>
      </c>
      <c r="D258" t="s">
        <v>3996</v>
      </c>
      <c r="E258" s="1">
        <v>43908</v>
      </c>
      <c r="F258" t="s">
        <v>3999</v>
      </c>
      <c r="G258" t="s">
        <v>4000</v>
      </c>
      <c r="H258" t="s">
        <v>4018</v>
      </c>
      <c r="I258" t="s">
        <v>4023</v>
      </c>
      <c r="J258" t="s">
        <v>4028</v>
      </c>
      <c r="K258" s="2">
        <v>43988</v>
      </c>
      <c r="L258" s="2">
        <v>43999</v>
      </c>
      <c r="M258">
        <v>5</v>
      </c>
      <c r="N258">
        <v>264</v>
      </c>
      <c r="O258">
        <f>IF(Tickets[[#This Row],[Ticket Priority]]="Critical",24,
IF(Tickets[[#This Row],[Ticket Priority]]="High",48,
IF(Tickets[[#This Row],[Ticket Priority]]="Medium",120,168)))</f>
        <v>120</v>
      </c>
      <c r="P258" t="str">
        <f>IF(Tickets[[#This Row],[Resolution Duration Hours]] &lt;= Tickets[[#This Row],[SLA_Target_Hours]], "Yes", "No")</f>
        <v>No</v>
      </c>
    </row>
    <row r="259" spans="1:16" hidden="1">
      <c r="A259">
        <v>258</v>
      </c>
      <c r="B259" t="s">
        <v>271</v>
      </c>
      <c r="C259" t="s">
        <v>2241</v>
      </c>
      <c r="D259" t="s">
        <v>3987</v>
      </c>
      <c r="E259" s="1">
        <v>44616</v>
      </c>
      <c r="F259" t="s">
        <v>4000</v>
      </c>
      <c r="G259" t="s">
        <v>4004</v>
      </c>
      <c r="H259" t="s">
        <v>4018</v>
      </c>
      <c r="I259" t="s">
        <v>4023</v>
      </c>
      <c r="J259" t="s">
        <v>4025</v>
      </c>
      <c r="K259" s="2">
        <v>44728</v>
      </c>
      <c r="L259" s="2">
        <v>44732</v>
      </c>
      <c r="M259">
        <v>5</v>
      </c>
      <c r="N259">
        <v>96</v>
      </c>
      <c r="O259">
        <f>IF(Tickets[[#This Row],[Ticket Priority]]="Critical",24,
IF(Tickets[[#This Row],[Ticket Priority]]="High",48,
IF(Tickets[[#This Row],[Ticket Priority]]="Medium",120,168)))</f>
        <v>120</v>
      </c>
      <c r="P259" t="str">
        <f>IF(Tickets[[#This Row],[Resolution Duration Hours]] &lt;= Tickets[[#This Row],[SLA_Target_Hours]], "Yes", "No")</f>
        <v>Yes</v>
      </c>
    </row>
    <row r="260" spans="1:16" hidden="1">
      <c r="A260">
        <v>259</v>
      </c>
      <c r="B260" t="s">
        <v>272</v>
      </c>
      <c r="C260" t="s">
        <v>2242</v>
      </c>
      <c r="D260" t="s">
        <v>3980</v>
      </c>
      <c r="E260" s="1">
        <v>44736</v>
      </c>
      <c r="F260" t="s">
        <v>4000</v>
      </c>
      <c r="G260" t="s">
        <v>4004</v>
      </c>
      <c r="H260" t="s">
        <v>4020</v>
      </c>
      <c r="I260" t="s">
        <v>4023</v>
      </c>
      <c r="J260" t="s">
        <v>4025</v>
      </c>
      <c r="K260" s="2">
        <v>44794</v>
      </c>
      <c r="L260" s="2">
        <v>44798</v>
      </c>
      <c r="N260">
        <v>96</v>
      </c>
      <c r="O260">
        <f>IF(Tickets[[#This Row],[Ticket Priority]]="Critical",24,
IF(Tickets[[#This Row],[Ticket Priority]]="High",48,
IF(Tickets[[#This Row],[Ticket Priority]]="Medium",120,168)))</f>
        <v>120</v>
      </c>
      <c r="P260" t="str">
        <f>IF(Tickets[[#This Row],[Resolution Duration Hours]] &lt;= Tickets[[#This Row],[SLA_Target_Hours]], "Yes", "No")</f>
        <v>Yes</v>
      </c>
    </row>
    <row r="261" spans="1:16">
      <c r="A261">
        <v>653</v>
      </c>
      <c r="B261" t="s">
        <v>663</v>
      </c>
      <c r="C261" t="s">
        <v>2636</v>
      </c>
      <c r="D261" t="s">
        <v>3989</v>
      </c>
      <c r="E261" s="1">
        <v>44044</v>
      </c>
      <c r="F261" t="s">
        <v>3998</v>
      </c>
      <c r="G261" t="s">
        <v>4009</v>
      </c>
      <c r="H261" t="s">
        <v>4018</v>
      </c>
      <c r="I261" t="s">
        <v>4024</v>
      </c>
      <c r="J261" t="s">
        <v>4028</v>
      </c>
      <c r="K261" s="2">
        <v>44217</v>
      </c>
      <c r="L261" s="2">
        <v>44228</v>
      </c>
      <c r="M261">
        <v>3</v>
      </c>
      <c r="N261">
        <v>264</v>
      </c>
      <c r="O261">
        <f>IF(Tickets[[#This Row],[Ticket Priority]]="Critical",24,
IF(Tickets[[#This Row],[Ticket Priority]]="High",48,
IF(Tickets[[#This Row],[Ticket Priority]]="Medium",120,168)))</f>
        <v>168</v>
      </c>
      <c r="P261" t="str">
        <f>IF(Tickets[[#This Row],[Resolution Duration Hours]] &lt;= Tickets[[#This Row],[SLA_Target_Hours]], "Yes", "No")</f>
        <v>No</v>
      </c>
    </row>
    <row r="262" spans="1:16" hidden="1">
      <c r="A262">
        <v>261</v>
      </c>
      <c r="B262" t="s">
        <v>274</v>
      </c>
      <c r="C262" t="s">
        <v>2244</v>
      </c>
      <c r="D262" t="s">
        <v>3984</v>
      </c>
      <c r="E262" s="1">
        <v>44169</v>
      </c>
      <c r="F262" t="s">
        <v>4000</v>
      </c>
      <c r="G262" t="s">
        <v>4014</v>
      </c>
      <c r="H262" t="s">
        <v>4018</v>
      </c>
      <c r="I262" t="s">
        <v>4021</v>
      </c>
      <c r="J262" t="s">
        <v>4025</v>
      </c>
      <c r="K262" s="2">
        <v>44229</v>
      </c>
      <c r="L262" s="2">
        <v>44230</v>
      </c>
      <c r="M262">
        <v>5</v>
      </c>
      <c r="N262">
        <v>24</v>
      </c>
      <c r="O262">
        <f>IF(Tickets[[#This Row],[Ticket Priority]]="Critical",24,
IF(Tickets[[#This Row],[Ticket Priority]]="High",48,
IF(Tickets[[#This Row],[Ticket Priority]]="Medium",120,168)))</f>
        <v>48</v>
      </c>
      <c r="P262" t="str">
        <f>IF(Tickets[[#This Row],[Resolution Duration Hours]] &lt;= Tickets[[#This Row],[SLA_Target_Hours]], "Yes", "No")</f>
        <v>Yes</v>
      </c>
    </row>
    <row r="263" spans="1:16" hidden="1">
      <c r="A263">
        <v>262</v>
      </c>
      <c r="B263" t="s">
        <v>275</v>
      </c>
      <c r="C263" t="s">
        <v>2245</v>
      </c>
      <c r="D263" t="s">
        <v>3989</v>
      </c>
      <c r="E263" s="1">
        <v>44564</v>
      </c>
      <c r="F263" t="s">
        <v>3999</v>
      </c>
      <c r="G263" t="s">
        <v>4012</v>
      </c>
      <c r="H263" t="s">
        <v>4018</v>
      </c>
      <c r="I263" t="s">
        <v>4023</v>
      </c>
      <c r="J263" t="s">
        <v>4027</v>
      </c>
      <c r="K263" s="2">
        <v>44669</v>
      </c>
      <c r="L263" s="2">
        <v>44674</v>
      </c>
      <c r="M263">
        <v>5</v>
      </c>
      <c r="N263">
        <v>120</v>
      </c>
      <c r="O263">
        <f>IF(Tickets[[#This Row],[Ticket Priority]]="Critical",24,
IF(Tickets[[#This Row],[Ticket Priority]]="High",48,
IF(Tickets[[#This Row],[Ticket Priority]]="Medium",120,168)))</f>
        <v>120</v>
      </c>
      <c r="P263" t="str">
        <f>IF(Tickets[[#This Row],[Resolution Duration Hours]] &lt;= Tickets[[#This Row],[SLA_Target_Hours]], "Yes", "No")</f>
        <v>Yes</v>
      </c>
    </row>
    <row r="264" spans="1:16" hidden="1">
      <c r="A264">
        <v>263</v>
      </c>
      <c r="B264" t="s">
        <v>276</v>
      </c>
      <c r="C264" t="s">
        <v>2246</v>
      </c>
      <c r="D264" t="s">
        <v>3997</v>
      </c>
      <c r="E264" s="1">
        <v>44417</v>
      </c>
      <c r="F264" t="s">
        <v>4002</v>
      </c>
      <c r="G264" t="s">
        <v>4015</v>
      </c>
      <c r="H264" t="s">
        <v>4018</v>
      </c>
      <c r="I264" t="s">
        <v>4021</v>
      </c>
      <c r="J264" t="s">
        <v>4026</v>
      </c>
      <c r="K264" s="2">
        <v>44764</v>
      </c>
      <c r="L264" s="2">
        <v>44765</v>
      </c>
      <c r="N264">
        <v>24</v>
      </c>
      <c r="O264">
        <f>IF(Tickets[[#This Row],[Ticket Priority]]="Critical",24,
IF(Tickets[[#This Row],[Ticket Priority]]="High",48,
IF(Tickets[[#This Row],[Ticket Priority]]="Medium",120,168)))</f>
        <v>48</v>
      </c>
      <c r="P264" t="str">
        <f>IF(Tickets[[#This Row],[Resolution Duration Hours]] &lt;= Tickets[[#This Row],[SLA_Target_Hours]], "Yes", "No")</f>
        <v>Yes</v>
      </c>
    </row>
    <row r="265" spans="1:16">
      <c r="A265">
        <v>768</v>
      </c>
      <c r="B265" t="s">
        <v>777</v>
      </c>
      <c r="C265" t="s">
        <v>2750</v>
      </c>
      <c r="D265" t="s">
        <v>3988</v>
      </c>
      <c r="E265" s="1">
        <v>44132</v>
      </c>
      <c r="F265" t="s">
        <v>3998</v>
      </c>
      <c r="G265" t="s">
        <v>4007</v>
      </c>
      <c r="H265" t="s">
        <v>4018</v>
      </c>
      <c r="I265" t="s">
        <v>4024</v>
      </c>
      <c r="J265" t="s">
        <v>4025</v>
      </c>
      <c r="K265" s="2">
        <v>44407</v>
      </c>
      <c r="L265" s="2">
        <v>44418</v>
      </c>
      <c r="M265">
        <v>3</v>
      </c>
      <c r="N265">
        <v>264</v>
      </c>
      <c r="O265">
        <f>IF(Tickets[[#This Row],[Ticket Priority]]="Critical",24,
IF(Tickets[[#This Row],[Ticket Priority]]="High",48,
IF(Tickets[[#This Row],[Ticket Priority]]="Medium",120,168)))</f>
        <v>168</v>
      </c>
      <c r="P265" t="str">
        <f>IF(Tickets[[#This Row],[Resolution Duration Hours]] &lt;= Tickets[[#This Row],[SLA_Target_Hours]], "Yes", "No")</f>
        <v>No</v>
      </c>
    </row>
    <row r="266" spans="1:16" hidden="1">
      <c r="A266">
        <v>265</v>
      </c>
      <c r="B266" t="s">
        <v>278</v>
      </c>
      <c r="C266" t="s">
        <v>2248</v>
      </c>
      <c r="D266" t="s">
        <v>3984</v>
      </c>
      <c r="E266" s="1">
        <v>44877</v>
      </c>
      <c r="F266" t="s">
        <v>3999</v>
      </c>
      <c r="G266" t="s">
        <v>4011</v>
      </c>
      <c r="H266" t="s">
        <v>4018</v>
      </c>
      <c r="I266" t="s">
        <v>4024</v>
      </c>
      <c r="J266" t="s">
        <v>4027</v>
      </c>
      <c r="K266" s="2">
        <v>44915</v>
      </c>
      <c r="L266" s="2">
        <v>44917</v>
      </c>
      <c r="N266">
        <v>48</v>
      </c>
      <c r="O266">
        <f>IF(Tickets[[#This Row],[Ticket Priority]]="Critical",24,
IF(Tickets[[#This Row],[Ticket Priority]]="High",48,
IF(Tickets[[#This Row],[Ticket Priority]]="Medium",120,168)))</f>
        <v>168</v>
      </c>
      <c r="P266" t="str">
        <f>IF(Tickets[[#This Row],[Resolution Duration Hours]] &lt;= Tickets[[#This Row],[SLA_Target_Hours]], "Yes", "No")</f>
        <v>Yes</v>
      </c>
    </row>
    <row r="267" spans="1:16" hidden="1">
      <c r="A267">
        <v>266</v>
      </c>
      <c r="B267" t="s">
        <v>279</v>
      </c>
      <c r="C267" t="s">
        <v>2249</v>
      </c>
      <c r="D267" t="s">
        <v>3983</v>
      </c>
      <c r="E267" s="1">
        <v>44123</v>
      </c>
      <c r="F267" t="s">
        <v>3999</v>
      </c>
      <c r="G267" t="s">
        <v>4016</v>
      </c>
      <c r="H267" t="s">
        <v>4018</v>
      </c>
      <c r="I267" t="s">
        <v>4024</v>
      </c>
      <c r="J267" t="s">
        <v>4028</v>
      </c>
      <c r="K267" s="2">
        <v>44420</v>
      </c>
      <c r="L267" s="2">
        <v>44423</v>
      </c>
      <c r="M267">
        <v>2</v>
      </c>
      <c r="N267">
        <v>72</v>
      </c>
      <c r="O267">
        <f>IF(Tickets[[#This Row],[Ticket Priority]]="Critical",24,
IF(Tickets[[#This Row],[Ticket Priority]]="High",48,
IF(Tickets[[#This Row],[Ticket Priority]]="Medium",120,168)))</f>
        <v>168</v>
      </c>
      <c r="P267" t="str">
        <f>IF(Tickets[[#This Row],[Resolution Duration Hours]] &lt;= Tickets[[#This Row],[SLA_Target_Hours]], "Yes", "No")</f>
        <v>Yes</v>
      </c>
    </row>
    <row r="268" spans="1:16" hidden="1">
      <c r="A268">
        <v>267</v>
      </c>
      <c r="B268" t="s">
        <v>280</v>
      </c>
      <c r="C268" t="s">
        <v>2250</v>
      </c>
      <c r="D268" t="s">
        <v>3991</v>
      </c>
      <c r="E268" s="1">
        <v>44151</v>
      </c>
      <c r="F268" t="s">
        <v>3998</v>
      </c>
      <c r="G268" t="s">
        <v>4014</v>
      </c>
      <c r="H268" t="s">
        <v>4020</v>
      </c>
      <c r="I268" t="s">
        <v>4023</v>
      </c>
      <c r="J268" t="s">
        <v>4026</v>
      </c>
      <c r="K268" s="2">
        <v>44354</v>
      </c>
      <c r="L268" s="2">
        <v>44357</v>
      </c>
      <c r="N268">
        <v>72</v>
      </c>
      <c r="O268">
        <f>IF(Tickets[[#This Row],[Ticket Priority]]="Critical",24,
IF(Tickets[[#This Row],[Ticket Priority]]="High",48,
IF(Tickets[[#This Row],[Ticket Priority]]="Medium",120,168)))</f>
        <v>120</v>
      </c>
      <c r="P268" t="str">
        <f>IF(Tickets[[#This Row],[Resolution Duration Hours]] &lt;= Tickets[[#This Row],[SLA_Target_Hours]], "Yes", "No")</f>
        <v>Yes</v>
      </c>
    </row>
    <row r="269" spans="1:16">
      <c r="A269">
        <v>787</v>
      </c>
      <c r="B269" t="s">
        <v>796</v>
      </c>
      <c r="C269" t="s">
        <v>2769</v>
      </c>
      <c r="D269" t="s">
        <v>3989</v>
      </c>
      <c r="E269" s="1">
        <v>44638</v>
      </c>
      <c r="F269" t="s">
        <v>3998</v>
      </c>
      <c r="G269" t="s">
        <v>4009</v>
      </c>
      <c r="H269" t="s">
        <v>4018</v>
      </c>
      <c r="I269" t="s">
        <v>4024</v>
      </c>
      <c r="J269" t="s">
        <v>4026</v>
      </c>
      <c r="K269" s="2">
        <v>44673</v>
      </c>
      <c r="L269" s="2">
        <v>44684</v>
      </c>
      <c r="N269">
        <v>264</v>
      </c>
      <c r="O269">
        <f>IF(Tickets[[#This Row],[Ticket Priority]]="Critical",24,
IF(Tickets[[#This Row],[Ticket Priority]]="High",48,
IF(Tickets[[#This Row],[Ticket Priority]]="Medium",120,168)))</f>
        <v>168</v>
      </c>
      <c r="P269" t="str">
        <f>IF(Tickets[[#This Row],[Resolution Duration Hours]] &lt;= Tickets[[#This Row],[SLA_Target_Hours]], "Yes", "No")</f>
        <v>No</v>
      </c>
    </row>
    <row r="270" spans="1:16" hidden="1">
      <c r="A270">
        <v>269</v>
      </c>
      <c r="B270" t="s">
        <v>282</v>
      </c>
      <c r="C270" t="s">
        <v>2252</v>
      </c>
      <c r="D270" t="s">
        <v>3979</v>
      </c>
      <c r="E270" s="1">
        <v>44725</v>
      </c>
      <c r="F270" t="s">
        <v>3999</v>
      </c>
      <c r="G270" t="s">
        <v>4014</v>
      </c>
      <c r="H270" t="s">
        <v>4018</v>
      </c>
      <c r="I270" t="s">
        <v>4022</v>
      </c>
      <c r="J270" t="s">
        <v>4026</v>
      </c>
      <c r="K270" s="2">
        <v>44805</v>
      </c>
      <c r="L270" s="2">
        <v>44806</v>
      </c>
      <c r="N270">
        <v>24</v>
      </c>
      <c r="O270">
        <f>IF(Tickets[[#This Row],[Ticket Priority]]="Critical",24,
IF(Tickets[[#This Row],[Ticket Priority]]="High",48,
IF(Tickets[[#This Row],[Ticket Priority]]="Medium",120,168)))</f>
        <v>24</v>
      </c>
      <c r="P270" t="str">
        <f>IF(Tickets[[#This Row],[Resolution Duration Hours]] &lt;= Tickets[[#This Row],[SLA_Target_Hours]], "Yes", "No")</f>
        <v>Yes</v>
      </c>
    </row>
    <row r="271" spans="1:16" hidden="1">
      <c r="A271">
        <v>270</v>
      </c>
      <c r="B271" t="s">
        <v>283</v>
      </c>
      <c r="C271" t="s">
        <v>2253</v>
      </c>
      <c r="D271" t="s">
        <v>3990</v>
      </c>
      <c r="E271" s="1">
        <v>44473</v>
      </c>
      <c r="F271" t="s">
        <v>3999</v>
      </c>
      <c r="G271" t="s">
        <v>4015</v>
      </c>
      <c r="H271" t="s">
        <v>4018</v>
      </c>
      <c r="I271" t="s">
        <v>4023</v>
      </c>
      <c r="J271" t="s">
        <v>4026</v>
      </c>
      <c r="K271" s="2">
        <v>44520</v>
      </c>
      <c r="L271" s="2">
        <v>44524</v>
      </c>
      <c r="M271">
        <v>5</v>
      </c>
      <c r="N271">
        <v>96</v>
      </c>
      <c r="O271">
        <f>IF(Tickets[[#This Row],[Ticket Priority]]="Critical",24,
IF(Tickets[[#This Row],[Ticket Priority]]="High",48,
IF(Tickets[[#This Row],[Ticket Priority]]="Medium",120,168)))</f>
        <v>120</v>
      </c>
      <c r="P271" t="str">
        <f>IF(Tickets[[#This Row],[Resolution Duration Hours]] &lt;= Tickets[[#This Row],[SLA_Target_Hours]], "Yes", "No")</f>
        <v>Yes</v>
      </c>
    </row>
    <row r="272" spans="1:16">
      <c r="A272">
        <v>892</v>
      </c>
      <c r="B272" t="s">
        <v>900</v>
      </c>
      <c r="C272" t="s">
        <v>2874</v>
      </c>
      <c r="D272" t="s">
        <v>3981</v>
      </c>
      <c r="E272" s="1">
        <v>44861</v>
      </c>
      <c r="F272" t="s">
        <v>4000</v>
      </c>
      <c r="G272" t="s">
        <v>4004</v>
      </c>
      <c r="H272" t="s">
        <v>4018</v>
      </c>
      <c r="I272" t="s">
        <v>4024</v>
      </c>
      <c r="J272" t="s">
        <v>4026</v>
      </c>
      <c r="K272" s="2">
        <v>45223</v>
      </c>
      <c r="L272" s="2">
        <v>45234</v>
      </c>
      <c r="M272">
        <v>4</v>
      </c>
      <c r="N272">
        <v>264</v>
      </c>
      <c r="O272">
        <f>IF(Tickets[[#This Row],[Ticket Priority]]="Critical",24,
IF(Tickets[[#This Row],[Ticket Priority]]="High",48,
IF(Tickets[[#This Row],[Ticket Priority]]="Medium",120,168)))</f>
        <v>168</v>
      </c>
      <c r="P272" t="str">
        <f>IF(Tickets[[#This Row],[Resolution Duration Hours]] &lt;= Tickets[[#This Row],[SLA_Target_Hours]], "Yes", "No")</f>
        <v>No</v>
      </c>
    </row>
    <row r="273" spans="1:16" hidden="1">
      <c r="A273">
        <v>272</v>
      </c>
      <c r="B273" t="s">
        <v>285</v>
      </c>
      <c r="C273" t="s">
        <v>2255</v>
      </c>
      <c r="D273" t="s">
        <v>3984</v>
      </c>
      <c r="E273" s="1">
        <v>44415</v>
      </c>
      <c r="F273" t="s">
        <v>4002</v>
      </c>
      <c r="G273" t="s">
        <v>4000</v>
      </c>
      <c r="H273" t="s">
        <v>4018</v>
      </c>
      <c r="I273" t="s">
        <v>4023</v>
      </c>
      <c r="J273" t="s">
        <v>4028</v>
      </c>
      <c r="K273" s="2">
        <v>44419</v>
      </c>
      <c r="L273" s="2">
        <v>44420</v>
      </c>
      <c r="M273">
        <v>4</v>
      </c>
      <c r="N273">
        <v>24</v>
      </c>
      <c r="O273">
        <f>IF(Tickets[[#This Row],[Ticket Priority]]="Critical",24,
IF(Tickets[[#This Row],[Ticket Priority]]="High",48,
IF(Tickets[[#This Row],[Ticket Priority]]="Medium",120,168)))</f>
        <v>120</v>
      </c>
      <c r="P273" t="str">
        <f>IF(Tickets[[#This Row],[Resolution Duration Hours]] &lt;= Tickets[[#This Row],[SLA_Target_Hours]], "Yes", "No")</f>
        <v>Yes</v>
      </c>
    </row>
    <row r="274" spans="1:16">
      <c r="A274">
        <v>911</v>
      </c>
      <c r="B274" t="s">
        <v>919</v>
      </c>
      <c r="C274" t="s">
        <v>2893</v>
      </c>
      <c r="D274" t="s">
        <v>3987</v>
      </c>
      <c r="E274" s="1">
        <v>44040</v>
      </c>
      <c r="F274" t="s">
        <v>4002</v>
      </c>
      <c r="G274" t="s">
        <v>4007</v>
      </c>
      <c r="H274" t="s">
        <v>4018</v>
      </c>
      <c r="I274" t="s">
        <v>4024</v>
      </c>
      <c r="J274" t="s">
        <v>4027</v>
      </c>
      <c r="K274" s="2">
        <v>44355</v>
      </c>
      <c r="L274" s="2">
        <v>44366</v>
      </c>
      <c r="M274">
        <v>4</v>
      </c>
      <c r="N274">
        <v>264</v>
      </c>
      <c r="O274">
        <f>IF(Tickets[[#This Row],[Ticket Priority]]="Critical",24,
IF(Tickets[[#This Row],[Ticket Priority]]="High",48,
IF(Tickets[[#This Row],[Ticket Priority]]="Medium",120,168)))</f>
        <v>168</v>
      </c>
      <c r="P274" t="str">
        <f>IF(Tickets[[#This Row],[Resolution Duration Hours]] &lt;= Tickets[[#This Row],[SLA_Target_Hours]], "Yes", "No")</f>
        <v>No</v>
      </c>
    </row>
    <row r="275" spans="1:16" hidden="1">
      <c r="A275">
        <v>274</v>
      </c>
      <c r="B275" t="s">
        <v>287</v>
      </c>
      <c r="C275" t="s">
        <v>2257</v>
      </c>
      <c r="D275" t="s">
        <v>3997</v>
      </c>
      <c r="E275" s="1">
        <v>44835</v>
      </c>
      <c r="F275" t="s">
        <v>4000</v>
      </c>
      <c r="G275" t="s">
        <v>4009</v>
      </c>
      <c r="H275" t="s">
        <v>4018</v>
      </c>
      <c r="I275" t="s">
        <v>4024</v>
      </c>
      <c r="J275" t="s">
        <v>4026</v>
      </c>
      <c r="K275" s="2">
        <v>45123</v>
      </c>
      <c r="L275" s="2">
        <v>45129</v>
      </c>
      <c r="M275">
        <v>2</v>
      </c>
      <c r="N275">
        <v>144</v>
      </c>
      <c r="O275">
        <f>IF(Tickets[[#This Row],[Ticket Priority]]="Critical",24,
IF(Tickets[[#This Row],[Ticket Priority]]="High",48,
IF(Tickets[[#This Row],[Ticket Priority]]="Medium",120,168)))</f>
        <v>168</v>
      </c>
      <c r="P275" t="str">
        <f>IF(Tickets[[#This Row],[Resolution Duration Hours]] &lt;= Tickets[[#This Row],[SLA_Target_Hours]], "Yes", "No")</f>
        <v>Yes</v>
      </c>
    </row>
    <row r="276" spans="1:16" hidden="1">
      <c r="A276">
        <v>275</v>
      </c>
      <c r="B276" t="s">
        <v>288</v>
      </c>
      <c r="C276" t="s">
        <v>2258</v>
      </c>
      <c r="D276" t="s">
        <v>3989</v>
      </c>
      <c r="E276" s="1">
        <v>44767</v>
      </c>
      <c r="F276" t="s">
        <v>4002</v>
      </c>
      <c r="G276" t="s">
        <v>4005</v>
      </c>
      <c r="H276" t="s">
        <v>4018</v>
      </c>
      <c r="I276" t="s">
        <v>4021</v>
      </c>
      <c r="J276" t="s">
        <v>4026</v>
      </c>
      <c r="K276" s="2">
        <v>44811</v>
      </c>
      <c r="L276" s="2">
        <v>44812</v>
      </c>
      <c r="M276">
        <v>3</v>
      </c>
      <c r="N276">
        <v>24</v>
      </c>
      <c r="O276">
        <f>IF(Tickets[[#This Row],[Ticket Priority]]="Critical",24,
IF(Tickets[[#This Row],[Ticket Priority]]="High",48,
IF(Tickets[[#This Row],[Ticket Priority]]="Medium",120,168)))</f>
        <v>48</v>
      </c>
      <c r="P276" t="str">
        <f>IF(Tickets[[#This Row],[Resolution Duration Hours]] &lt;= Tickets[[#This Row],[SLA_Target_Hours]], "Yes", "No")</f>
        <v>Yes</v>
      </c>
    </row>
    <row r="277" spans="1:16" hidden="1">
      <c r="A277">
        <v>276</v>
      </c>
      <c r="B277" t="s">
        <v>289</v>
      </c>
      <c r="C277" t="s">
        <v>2259</v>
      </c>
      <c r="D277" t="s">
        <v>3988</v>
      </c>
      <c r="E277" s="1">
        <v>44301</v>
      </c>
      <c r="F277" t="s">
        <v>3999</v>
      </c>
      <c r="G277" t="s">
        <v>4005</v>
      </c>
      <c r="H277" t="s">
        <v>4018</v>
      </c>
      <c r="I277" t="s">
        <v>4023</v>
      </c>
      <c r="J277" t="s">
        <v>4025</v>
      </c>
      <c r="K277" s="2">
        <v>44428</v>
      </c>
      <c r="L277" s="2">
        <v>44433</v>
      </c>
      <c r="M277">
        <v>4</v>
      </c>
      <c r="N277">
        <v>120</v>
      </c>
      <c r="O277">
        <f>IF(Tickets[[#This Row],[Ticket Priority]]="Critical",24,
IF(Tickets[[#This Row],[Ticket Priority]]="High",48,
IF(Tickets[[#This Row],[Ticket Priority]]="Medium",120,168)))</f>
        <v>120</v>
      </c>
      <c r="P277" t="str">
        <f>IF(Tickets[[#This Row],[Resolution Duration Hours]] &lt;= Tickets[[#This Row],[SLA_Target_Hours]], "Yes", "No")</f>
        <v>Yes</v>
      </c>
    </row>
    <row r="278" spans="1:16" hidden="1">
      <c r="A278">
        <v>277</v>
      </c>
      <c r="B278" t="s">
        <v>290</v>
      </c>
      <c r="C278" t="s">
        <v>2260</v>
      </c>
      <c r="D278" t="s">
        <v>3997</v>
      </c>
      <c r="E278" s="1">
        <v>44911</v>
      </c>
      <c r="F278" t="s">
        <v>4001</v>
      </c>
      <c r="G278" t="s">
        <v>4005</v>
      </c>
      <c r="H278" t="s">
        <v>4019</v>
      </c>
      <c r="I278" t="s">
        <v>4023</v>
      </c>
      <c r="J278" t="s">
        <v>4028</v>
      </c>
      <c r="K278" s="2">
        <v>45007</v>
      </c>
      <c r="L278" s="2">
        <v>45009</v>
      </c>
      <c r="M278">
        <v>4</v>
      </c>
      <c r="N278">
        <v>48</v>
      </c>
      <c r="O278">
        <f>IF(Tickets[[#This Row],[Ticket Priority]]="Critical",24,
IF(Tickets[[#This Row],[Ticket Priority]]="High",48,
IF(Tickets[[#This Row],[Ticket Priority]]="Medium",120,168)))</f>
        <v>120</v>
      </c>
      <c r="P278" t="str">
        <f>IF(Tickets[[#This Row],[Resolution Duration Hours]] &lt;= Tickets[[#This Row],[SLA_Target_Hours]], "Yes", "No")</f>
        <v>Yes</v>
      </c>
    </row>
    <row r="279" spans="1:16" hidden="1">
      <c r="A279">
        <v>278</v>
      </c>
      <c r="B279" t="s">
        <v>291</v>
      </c>
      <c r="C279" t="s">
        <v>2261</v>
      </c>
      <c r="D279" t="s">
        <v>3988</v>
      </c>
      <c r="E279" s="1">
        <v>44838</v>
      </c>
      <c r="F279" t="s">
        <v>4000</v>
      </c>
      <c r="G279" t="s">
        <v>4007</v>
      </c>
      <c r="H279" t="s">
        <v>4018</v>
      </c>
      <c r="I279" t="s">
        <v>4022</v>
      </c>
      <c r="J279" t="s">
        <v>4025</v>
      </c>
      <c r="K279" s="2">
        <v>45108</v>
      </c>
      <c r="L279" s="2">
        <v>45108</v>
      </c>
      <c r="M279">
        <v>4</v>
      </c>
      <c r="N279">
        <v>0</v>
      </c>
      <c r="O279">
        <f>IF(Tickets[[#This Row],[Ticket Priority]]="Critical",24,
IF(Tickets[[#This Row],[Ticket Priority]]="High",48,
IF(Tickets[[#This Row],[Ticket Priority]]="Medium",120,168)))</f>
        <v>24</v>
      </c>
      <c r="P279" t="str">
        <f>IF(Tickets[[#This Row],[Resolution Duration Hours]] &lt;= Tickets[[#This Row],[SLA_Target_Hours]], "Yes", "No")</f>
        <v>Yes</v>
      </c>
    </row>
    <row r="280" spans="1:16">
      <c r="A280">
        <v>941</v>
      </c>
      <c r="B280" t="s">
        <v>948</v>
      </c>
      <c r="C280" t="s">
        <v>2923</v>
      </c>
      <c r="D280" t="s">
        <v>3983</v>
      </c>
      <c r="E280" s="1">
        <v>44528</v>
      </c>
      <c r="F280" t="s">
        <v>3998</v>
      </c>
      <c r="G280" t="s">
        <v>4004</v>
      </c>
      <c r="H280" t="s">
        <v>4018</v>
      </c>
      <c r="I280" t="s">
        <v>4024</v>
      </c>
      <c r="J280" t="s">
        <v>4028</v>
      </c>
      <c r="K280" s="2">
        <v>44598</v>
      </c>
      <c r="L280" s="2">
        <v>44609</v>
      </c>
      <c r="M280">
        <v>4</v>
      </c>
      <c r="N280">
        <v>264</v>
      </c>
      <c r="O280">
        <f>IF(Tickets[[#This Row],[Ticket Priority]]="Critical",24,
IF(Tickets[[#This Row],[Ticket Priority]]="High",48,
IF(Tickets[[#This Row],[Ticket Priority]]="Medium",120,168)))</f>
        <v>168</v>
      </c>
      <c r="P280" t="str">
        <f>IF(Tickets[[#This Row],[Resolution Duration Hours]] &lt;= Tickets[[#This Row],[SLA_Target_Hours]], "Yes", "No")</f>
        <v>No</v>
      </c>
    </row>
    <row r="281" spans="1:16" hidden="1">
      <c r="A281">
        <v>280</v>
      </c>
      <c r="B281" t="s">
        <v>293</v>
      </c>
      <c r="C281" t="s">
        <v>2263</v>
      </c>
      <c r="D281" t="s">
        <v>3996</v>
      </c>
      <c r="E281" s="1">
        <v>44057</v>
      </c>
      <c r="F281" t="s">
        <v>3998</v>
      </c>
      <c r="G281" t="s">
        <v>4009</v>
      </c>
      <c r="H281" t="s">
        <v>4018</v>
      </c>
      <c r="I281" t="s">
        <v>4024</v>
      </c>
      <c r="J281" t="s">
        <v>4028</v>
      </c>
      <c r="K281" s="2">
        <v>44316</v>
      </c>
      <c r="L281" s="2">
        <v>44320</v>
      </c>
      <c r="M281">
        <v>4</v>
      </c>
      <c r="N281">
        <v>96</v>
      </c>
      <c r="O281">
        <f>IF(Tickets[[#This Row],[Ticket Priority]]="Critical",24,
IF(Tickets[[#This Row],[Ticket Priority]]="High",48,
IF(Tickets[[#This Row],[Ticket Priority]]="Medium",120,168)))</f>
        <v>168</v>
      </c>
      <c r="P281" t="str">
        <f>IF(Tickets[[#This Row],[Resolution Duration Hours]] &lt;= Tickets[[#This Row],[SLA_Target_Hours]], "Yes", "No")</f>
        <v>Yes</v>
      </c>
    </row>
    <row r="282" spans="1:16" hidden="1">
      <c r="A282">
        <v>281</v>
      </c>
      <c r="B282" t="s">
        <v>294</v>
      </c>
      <c r="C282" t="s">
        <v>2264</v>
      </c>
      <c r="D282" t="s">
        <v>3988</v>
      </c>
      <c r="E282" s="1">
        <v>44188</v>
      </c>
      <c r="F282" t="s">
        <v>4001</v>
      </c>
      <c r="G282" t="s">
        <v>4012</v>
      </c>
      <c r="H282" t="s">
        <v>4018</v>
      </c>
      <c r="I282" t="s">
        <v>4024</v>
      </c>
      <c r="J282" t="s">
        <v>4028</v>
      </c>
      <c r="K282" s="2">
        <v>44346</v>
      </c>
      <c r="L282" s="2">
        <v>44351</v>
      </c>
      <c r="M282">
        <v>3</v>
      </c>
      <c r="N282">
        <v>120</v>
      </c>
      <c r="O282">
        <f>IF(Tickets[[#This Row],[Ticket Priority]]="Critical",24,
IF(Tickets[[#This Row],[Ticket Priority]]="High",48,
IF(Tickets[[#This Row],[Ticket Priority]]="Medium",120,168)))</f>
        <v>168</v>
      </c>
      <c r="P282" t="str">
        <f>IF(Tickets[[#This Row],[Resolution Duration Hours]] &lt;= Tickets[[#This Row],[SLA_Target_Hours]], "Yes", "No")</f>
        <v>Yes</v>
      </c>
    </row>
    <row r="283" spans="1:16" hidden="1">
      <c r="A283">
        <v>282</v>
      </c>
      <c r="B283" t="s">
        <v>295</v>
      </c>
      <c r="C283" t="s">
        <v>2265</v>
      </c>
      <c r="D283" t="s">
        <v>3993</v>
      </c>
      <c r="E283" s="1">
        <v>44092</v>
      </c>
      <c r="F283" t="s">
        <v>4002</v>
      </c>
      <c r="G283" t="s">
        <v>4003</v>
      </c>
      <c r="H283" t="s">
        <v>4018</v>
      </c>
      <c r="I283" t="s">
        <v>4024</v>
      </c>
      <c r="J283" t="s">
        <v>4028</v>
      </c>
      <c r="K283" s="2">
        <v>44121</v>
      </c>
      <c r="L283" s="2">
        <v>44127</v>
      </c>
      <c r="M283">
        <v>3</v>
      </c>
      <c r="N283">
        <v>144</v>
      </c>
      <c r="O283">
        <f>IF(Tickets[[#This Row],[Ticket Priority]]="Critical",24,
IF(Tickets[[#This Row],[Ticket Priority]]="High",48,
IF(Tickets[[#This Row],[Ticket Priority]]="Medium",120,168)))</f>
        <v>168</v>
      </c>
      <c r="P283" t="str">
        <f>IF(Tickets[[#This Row],[Resolution Duration Hours]] &lt;= Tickets[[#This Row],[SLA_Target_Hours]], "Yes", "No")</f>
        <v>Yes</v>
      </c>
    </row>
    <row r="284" spans="1:16" hidden="1">
      <c r="A284">
        <v>283</v>
      </c>
      <c r="B284" t="s">
        <v>296</v>
      </c>
      <c r="C284" t="s">
        <v>2266</v>
      </c>
      <c r="D284" t="s">
        <v>3985</v>
      </c>
      <c r="E284" s="1">
        <v>43922</v>
      </c>
      <c r="F284" t="s">
        <v>3999</v>
      </c>
      <c r="G284" t="s">
        <v>4014</v>
      </c>
      <c r="H284" t="s">
        <v>4020</v>
      </c>
      <c r="I284" t="s">
        <v>4023</v>
      </c>
      <c r="J284" t="s">
        <v>4026</v>
      </c>
      <c r="K284" s="2">
        <v>44281</v>
      </c>
      <c r="L284" s="2">
        <v>44284</v>
      </c>
      <c r="N284">
        <v>72</v>
      </c>
      <c r="O284">
        <f>IF(Tickets[[#This Row],[Ticket Priority]]="Critical",24,
IF(Tickets[[#This Row],[Ticket Priority]]="High",48,
IF(Tickets[[#This Row],[Ticket Priority]]="Medium",120,168)))</f>
        <v>120</v>
      </c>
      <c r="P284" t="str">
        <f>IF(Tickets[[#This Row],[Resolution Duration Hours]] &lt;= Tickets[[#This Row],[SLA_Target_Hours]], "Yes", "No")</f>
        <v>Yes</v>
      </c>
    </row>
    <row r="285" spans="1:16" hidden="1">
      <c r="A285">
        <v>284</v>
      </c>
      <c r="B285" t="s">
        <v>297</v>
      </c>
      <c r="C285" t="s">
        <v>2267</v>
      </c>
      <c r="D285" t="s">
        <v>3990</v>
      </c>
      <c r="E285" s="1">
        <v>44190</v>
      </c>
      <c r="F285" t="s">
        <v>3998</v>
      </c>
      <c r="G285" t="s">
        <v>4013</v>
      </c>
      <c r="H285" t="s">
        <v>4018</v>
      </c>
      <c r="I285" t="s">
        <v>4022</v>
      </c>
      <c r="J285" t="s">
        <v>4025</v>
      </c>
      <c r="K285" s="2">
        <v>44250</v>
      </c>
      <c r="L285" s="2">
        <v>44250</v>
      </c>
      <c r="M285">
        <v>5</v>
      </c>
      <c r="N285">
        <v>0</v>
      </c>
      <c r="O285">
        <f>IF(Tickets[[#This Row],[Ticket Priority]]="Critical",24,
IF(Tickets[[#This Row],[Ticket Priority]]="High",48,
IF(Tickets[[#This Row],[Ticket Priority]]="Medium",120,168)))</f>
        <v>24</v>
      </c>
      <c r="P285" t="str">
        <f>IF(Tickets[[#This Row],[Resolution Duration Hours]] &lt;= Tickets[[#This Row],[SLA_Target_Hours]], "Yes", "No")</f>
        <v>Yes</v>
      </c>
    </row>
    <row r="286" spans="1:16" hidden="1">
      <c r="A286">
        <v>285</v>
      </c>
      <c r="B286" t="s">
        <v>298</v>
      </c>
      <c r="C286" t="s">
        <v>2268</v>
      </c>
      <c r="D286" t="s">
        <v>3984</v>
      </c>
      <c r="E286" s="1">
        <v>44866</v>
      </c>
      <c r="F286" t="s">
        <v>3998</v>
      </c>
      <c r="G286" t="s">
        <v>4013</v>
      </c>
      <c r="H286" t="s">
        <v>4018</v>
      </c>
      <c r="I286" t="s">
        <v>4023</v>
      </c>
      <c r="J286" t="s">
        <v>4026</v>
      </c>
      <c r="K286" s="2">
        <v>45127</v>
      </c>
      <c r="L286" s="2">
        <v>45131</v>
      </c>
      <c r="M286">
        <v>3</v>
      </c>
      <c r="N286">
        <v>96</v>
      </c>
      <c r="O286">
        <f>IF(Tickets[[#This Row],[Ticket Priority]]="Critical",24,
IF(Tickets[[#This Row],[Ticket Priority]]="High",48,
IF(Tickets[[#This Row],[Ticket Priority]]="Medium",120,168)))</f>
        <v>120</v>
      </c>
      <c r="P286" t="str">
        <f>IF(Tickets[[#This Row],[Resolution Duration Hours]] &lt;= Tickets[[#This Row],[SLA_Target_Hours]], "Yes", "No")</f>
        <v>Yes</v>
      </c>
    </row>
    <row r="287" spans="1:16">
      <c r="A287">
        <v>959</v>
      </c>
      <c r="B287" t="s">
        <v>966</v>
      </c>
      <c r="C287" t="s">
        <v>2941</v>
      </c>
      <c r="D287" t="s">
        <v>3988</v>
      </c>
      <c r="E287" s="1">
        <v>43962</v>
      </c>
      <c r="F287" t="s">
        <v>3999</v>
      </c>
      <c r="G287" t="s">
        <v>4004</v>
      </c>
      <c r="H287" t="s">
        <v>4017</v>
      </c>
      <c r="I287" t="s">
        <v>4024</v>
      </c>
      <c r="J287" t="s">
        <v>4025</v>
      </c>
      <c r="K287" s="2">
        <v>44040</v>
      </c>
      <c r="L287" s="2">
        <v>44051</v>
      </c>
      <c r="N287">
        <v>264</v>
      </c>
      <c r="O287">
        <f>IF(Tickets[[#This Row],[Ticket Priority]]="Critical",24,
IF(Tickets[[#This Row],[Ticket Priority]]="High",48,
IF(Tickets[[#This Row],[Ticket Priority]]="Medium",120,168)))</f>
        <v>168</v>
      </c>
      <c r="P287" t="str">
        <f>IF(Tickets[[#This Row],[Resolution Duration Hours]] &lt;= Tickets[[#This Row],[SLA_Target_Hours]], "Yes", "No")</f>
        <v>No</v>
      </c>
    </row>
    <row r="288" spans="1:16" hidden="1">
      <c r="A288">
        <v>287</v>
      </c>
      <c r="B288" t="s">
        <v>300</v>
      </c>
      <c r="C288" t="s">
        <v>2270</v>
      </c>
      <c r="D288" t="s">
        <v>3995</v>
      </c>
      <c r="E288" s="1">
        <v>44109</v>
      </c>
      <c r="F288" t="s">
        <v>3998</v>
      </c>
      <c r="G288" t="s">
        <v>4013</v>
      </c>
      <c r="H288" t="s">
        <v>4018</v>
      </c>
      <c r="I288" t="s">
        <v>4023</v>
      </c>
      <c r="J288" t="s">
        <v>4026</v>
      </c>
      <c r="K288" s="2">
        <v>44223</v>
      </c>
      <c r="L288" s="2">
        <v>44226</v>
      </c>
      <c r="N288">
        <v>72</v>
      </c>
      <c r="O288">
        <f>IF(Tickets[[#This Row],[Ticket Priority]]="Critical",24,
IF(Tickets[[#This Row],[Ticket Priority]]="High",48,
IF(Tickets[[#This Row],[Ticket Priority]]="Medium",120,168)))</f>
        <v>120</v>
      </c>
      <c r="P288" t="str">
        <f>IF(Tickets[[#This Row],[Resolution Duration Hours]] &lt;= Tickets[[#This Row],[SLA_Target_Hours]], "Yes", "No")</f>
        <v>Yes</v>
      </c>
    </row>
    <row r="289" spans="1:16">
      <c r="A289">
        <v>1022</v>
      </c>
      <c r="B289" t="s">
        <v>1029</v>
      </c>
      <c r="C289" t="s">
        <v>3004</v>
      </c>
      <c r="D289" t="s">
        <v>3988</v>
      </c>
      <c r="E289" s="1">
        <v>44994</v>
      </c>
      <c r="F289" t="s">
        <v>3999</v>
      </c>
      <c r="G289" t="s">
        <v>4010</v>
      </c>
      <c r="H289" t="s">
        <v>4017</v>
      </c>
      <c r="I289" t="s">
        <v>4024</v>
      </c>
      <c r="J289" t="s">
        <v>4028</v>
      </c>
      <c r="K289" s="2">
        <v>45079</v>
      </c>
      <c r="L289" s="2">
        <v>45090</v>
      </c>
      <c r="N289">
        <v>264</v>
      </c>
      <c r="O289">
        <f>IF(Tickets[[#This Row],[Ticket Priority]]="Critical",24,
IF(Tickets[[#This Row],[Ticket Priority]]="High",48,
IF(Tickets[[#This Row],[Ticket Priority]]="Medium",120,168)))</f>
        <v>168</v>
      </c>
      <c r="P289" t="str">
        <f>IF(Tickets[[#This Row],[Resolution Duration Hours]] &lt;= Tickets[[#This Row],[SLA_Target_Hours]], "Yes", "No")</f>
        <v>No</v>
      </c>
    </row>
    <row r="290" spans="1:16" hidden="1">
      <c r="A290">
        <v>289</v>
      </c>
      <c r="B290" t="s">
        <v>302</v>
      </c>
      <c r="C290" t="s">
        <v>2272</v>
      </c>
      <c r="D290" t="s">
        <v>3986</v>
      </c>
      <c r="E290" s="1">
        <v>44296</v>
      </c>
      <c r="F290" t="s">
        <v>4002</v>
      </c>
      <c r="G290" t="s">
        <v>4011</v>
      </c>
      <c r="H290" t="s">
        <v>4020</v>
      </c>
      <c r="I290" t="s">
        <v>4023</v>
      </c>
      <c r="J290" t="s">
        <v>4025</v>
      </c>
      <c r="K290" s="2">
        <v>44463</v>
      </c>
      <c r="L290" s="2">
        <v>44468</v>
      </c>
      <c r="N290">
        <v>120</v>
      </c>
      <c r="O290">
        <f>IF(Tickets[[#This Row],[Ticket Priority]]="Critical",24,
IF(Tickets[[#This Row],[Ticket Priority]]="High",48,
IF(Tickets[[#This Row],[Ticket Priority]]="Medium",120,168)))</f>
        <v>120</v>
      </c>
      <c r="P290" t="str">
        <f>IF(Tickets[[#This Row],[Resolution Duration Hours]] &lt;= Tickets[[#This Row],[SLA_Target_Hours]], "Yes", "No")</f>
        <v>Yes</v>
      </c>
    </row>
    <row r="291" spans="1:16" hidden="1">
      <c r="A291">
        <v>290</v>
      </c>
      <c r="B291" t="s">
        <v>303</v>
      </c>
      <c r="C291" t="s">
        <v>2273</v>
      </c>
      <c r="D291" t="s">
        <v>3981</v>
      </c>
      <c r="E291" s="1">
        <v>44570</v>
      </c>
      <c r="F291" t="s">
        <v>4002</v>
      </c>
      <c r="G291" t="s">
        <v>4010</v>
      </c>
      <c r="H291" t="s">
        <v>4018</v>
      </c>
      <c r="I291" t="s">
        <v>4024</v>
      </c>
      <c r="J291" t="s">
        <v>4025</v>
      </c>
      <c r="K291" s="2">
        <v>44873</v>
      </c>
      <c r="L291" s="2">
        <v>44878</v>
      </c>
      <c r="N291">
        <v>120</v>
      </c>
      <c r="O291">
        <f>IF(Tickets[[#This Row],[Ticket Priority]]="Critical",24,
IF(Tickets[[#This Row],[Ticket Priority]]="High",48,
IF(Tickets[[#This Row],[Ticket Priority]]="Medium",120,168)))</f>
        <v>168</v>
      </c>
      <c r="P291" t="str">
        <f>IF(Tickets[[#This Row],[Resolution Duration Hours]] &lt;= Tickets[[#This Row],[SLA_Target_Hours]], "Yes", "No")</f>
        <v>Yes</v>
      </c>
    </row>
    <row r="292" spans="1:16" hidden="1">
      <c r="A292">
        <v>291</v>
      </c>
      <c r="B292" t="s">
        <v>304</v>
      </c>
      <c r="C292" t="s">
        <v>2274</v>
      </c>
      <c r="D292" t="s">
        <v>3987</v>
      </c>
      <c r="E292" s="1">
        <v>44710</v>
      </c>
      <c r="F292" t="s">
        <v>4000</v>
      </c>
      <c r="G292" t="s">
        <v>4016</v>
      </c>
      <c r="H292" t="s">
        <v>4017</v>
      </c>
      <c r="I292" t="s">
        <v>4023</v>
      </c>
      <c r="J292" t="s">
        <v>4026</v>
      </c>
      <c r="K292" s="2">
        <v>44829</v>
      </c>
      <c r="L292" s="2">
        <v>44832</v>
      </c>
      <c r="N292">
        <v>72</v>
      </c>
      <c r="O292">
        <f>IF(Tickets[[#This Row],[Ticket Priority]]="Critical",24,
IF(Tickets[[#This Row],[Ticket Priority]]="High",48,
IF(Tickets[[#This Row],[Ticket Priority]]="Medium",120,168)))</f>
        <v>120</v>
      </c>
      <c r="P292" t="str">
        <f>IF(Tickets[[#This Row],[Resolution Duration Hours]] &lt;= Tickets[[#This Row],[SLA_Target_Hours]], "Yes", "No")</f>
        <v>Yes</v>
      </c>
    </row>
    <row r="293" spans="1:16" hidden="1">
      <c r="A293">
        <v>292</v>
      </c>
      <c r="B293" t="s">
        <v>305</v>
      </c>
      <c r="C293" t="s">
        <v>2275</v>
      </c>
      <c r="D293" t="s">
        <v>3986</v>
      </c>
      <c r="E293" s="1">
        <v>44711</v>
      </c>
      <c r="F293" t="s">
        <v>3999</v>
      </c>
      <c r="G293" t="s">
        <v>4003</v>
      </c>
      <c r="H293" t="s">
        <v>4019</v>
      </c>
      <c r="I293" t="s">
        <v>4024</v>
      </c>
      <c r="J293" t="s">
        <v>4026</v>
      </c>
      <c r="K293" s="2">
        <v>44764</v>
      </c>
      <c r="L293" s="2">
        <v>44770</v>
      </c>
      <c r="M293">
        <v>2</v>
      </c>
      <c r="N293">
        <v>144</v>
      </c>
      <c r="O293">
        <f>IF(Tickets[[#This Row],[Ticket Priority]]="Critical",24,
IF(Tickets[[#This Row],[Ticket Priority]]="High",48,
IF(Tickets[[#This Row],[Ticket Priority]]="Medium",120,168)))</f>
        <v>168</v>
      </c>
      <c r="P293" t="str">
        <f>IF(Tickets[[#This Row],[Resolution Duration Hours]] &lt;= Tickets[[#This Row],[SLA_Target_Hours]], "Yes", "No")</f>
        <v>Yes</v>
      </c>
    </row>
    <row r="294" spans="1:16" hidden="1">
      <c r="A294">
        <v>293</v>
      </c>
      <c r="B294" t="s">
        <v>306</v>
      </c>
      <c r="C294" t="s">
        <v>2276</v>
      </c>
      <c r="D294" t="s">
        <v>3993</v>
      </c>
      <c r="E294" s="1">
        <v>44319</v>
      </c>
      <c r="F294" t="s">
        <v>4000</v>
      </c>
      <c r="G294" t="s">
        <v>4003</v>
      </c>
      <c r="H294" t="s">
        <v>4018</v>
      </c>
      <c r="I294" t="s">
        <v>4024</v>
      </c>
      <c r="J294" t="s">
        <v>4028</v>
      </c>
      <c r="K294" s="2">
        <v>44585</v>
      </c>
      <c r="L294" s="2">
        <v>44587</v>
      </c>
      <c r="M294">
        <v>5</v>
      </c>
      <c r="N294">
        <v>48</v>
      </c>
      <c r="O294">
        <f>IF(Tickets[[#This Row],[Ticket Priority]]="Critical",24,
IF(Tickets[[#This Row],[Ticket Priority]]="High",48,
IF(Tickets[[#This Row],[Ticket Priority]]="Medium",120,168)))</f>
        <v>168</v>
      </c>
      <c r="P294" t="str">
        <f>IF(Tickets[[#This Row],[Resolution Duration Hours]] &lt;= Tickets[[#This Row],[SLA_Target_Hours]], "Yes", "No")</f>
        <v>Yes</v>
      </c>
    </row>
    <row r="295" spans="1:16">
      <c r="A295">
        <v>1068</v>
      </c>
      <c r="B295" t="s">
        <v>1073</v>
      </c>
      <c r="C295" t="s">
        <v>3049</v>
      </c>
      <c r="D295" t="s">
        <v>3996</v>
      </c>
      <c r="E295" s="1">
        <v>44348</v>
      </c>
      <c r="F295" t="s">
        <v>3998</v>
      </c>
      <c r="G295" t="s">
        <v>4006</v>
      </c>
      <c r="H295" t="s">
        <v>4017</v>
      </c>
      <c r="I295" t="s">
        <v>4024</v>
      </c>
      <c r="J295" t="s">
        <v>4026</v>
      </c>
      <c r="K295" s="2">
        <v>44704</v>
      </c>
      <c r="L295" s="2">
        <v>44715</v>
      </c>
      <c r="N295">
        <v>264</v>
      </c>
      <c r="O295">
        <f>IF(Tickets[[#This Row],[Ticket Priority]]="Critical",24,
IF(Tickets[[#This Row],[Ticket Priority]]="High",48,
IF(Tickets[[#This Row],[Ticket Priority]]="Medium",120,168)))</f>
        <v>168</v>
      </c>
      <c r="P295" t="str">
        <f>IF(Tickets[[#This Row],[Resolution Duration Hours]] &lt;= Tickets[[#This Row],[SLA_Target_Hours]], "Yes", "No")</f>
        <v>No</v>
      </c>
    </row>
    <row r="296" spans="1:16" hidden="1">
      <c r="A296">
        <v>295</v>
      </c>
      <c r="B296" t="s">
        <v>308</v>
      </c>
      <c r="C296" t="s">
        <v>2278</v>
      </c>
      <c r="D296" t="s">
        <v>3984</v>
      </c>
      <c r="E296" s="1">
        <v>44989</v>
      </c>
      <c r="F296" t="s">
        <v>4000</v>
      </c>
      <c r="G296" t="s">
        <v>4011</v>
      </c>
      <c r="H296" t="s">
        <v>4018</v>
      </c>
      <c r="I296" t="s">
        <v>4024</v>
      </c>
      <c r="J296" t="s">
        <v>4026</v>
      </c>
      <c r="K296" s="2">
        <v>45128</v>
      </c>
      <c r="L296" s="2">
        <v>45134</v>
      </c>
      <c r="M296">
        <v>4</v>
      </c>
      <c r="N296">
        <v>144</v>
      </c>
      <c r="O296">
        <f>IF(Tickets[[#This Row],[Ticket Priority]]="Critical",24,
IF(Tickets[[#This Row],[Ticket Priority]]="High",48,
IF(Tickets[[#This Row],[Ticket Priority]]="Medium",120,168)))</f>
        <v>168</v>
      </c>
      <c r="P296" t="str">
        <f>IF(Tickets[[#This Row],[Resolution Duration Hours]] &lt;= Tickets[[#This Row],[SLA_Target_Hours]], "Yes", "No")</f>
        <v>Yes</v>
      </c>
    </row>
    <row r="297" spans="1:16" hidden="1">
      <c r="A297">
        <v>296</v>
      </c>
      <c r="B297" t="s">
        <v>309</v>
      </c>
      <c r="C297" t="s">
        <v>2279</v>
      </c>
      <c r="D297" t="s">
        <v>3979</v>
      </c>
      <c r="E297" s="1">
        <v>44447</v>
      </c>
      <c r="F297" t="s">
        <v>3999</v>
      </c>
      <c r="G297" t="s">
        <v>4016</v>
      </c>
      <c r="H297" t="s">
        <v>4020</v>
      </c>
      <c r="I297" t="s">
        <v>4024</v>
      </c>
      <c r="J297" t="s">
        <v>4026</v>
      </c>
      <c r="K297" s="2">
        <v>44721</v>
      </c>
      <c r="L297" s="2">
        <v>44728</v>
      </c>
      <c r="N297">
        <v>168</v>
      </c>
      <c r="O297">
        <f>IF(Tickets[[#This Row],[Ticket Priority]]="Critical",24,
IF(Tickets[[#This Row],[Ticket Priority]]="High",48,
IF(Tickets[[#This Row],[Ticket Priority]]="Medium",120,168)))</f>
        <v>168</v>
      </c>
      <c r="P297" t="str">
        <f>IF(Tickets[[#This Row],[Resolution Duration Hours]] &lt;= Tickets[[#This Row],[SLA_Target_Hours]], "Yes", "No")</f>
        <v>Yes</v>
      </c>
    </row>
    <row r="298" spans="1:16">
      <c r="A298">
        <v>1125</v>
      </c>
      <c r="B298" t="s">
        <v>1130</v>
      </c>
      <c r="C298" t="s">
        <v>3105</v>
      </c>
      <c r="D298" t="s">
        <v>3986</v>
      </c>
      <c r="E298" s="1">
        <v>44766</v>
      </c>
      <c r="F298" t="s">
        <v>3998</v>
      </c>
      <c r="G298" t="s">
        <v>4011</v>
      </c>
      <c r="H298" t="s">
        <v>4018</v>
      </c>
      <c r="I298" t="s">
        <v>4024</v>
      </c>
      <c r="J298" t="s">
        <v>4027</v>
      </c>
      <c r="K298" s="2">
        <v>44931</v>
      </c>
      <c r="L298" s="2">
        <v>44942</v>
      </c>
      <c r="M298">
        <v>5</v>
      </c>
      <c r="N298">
        <v>264</v>
      </c>
      <c r="O298">
        <f>IF(Tickets[[#This Row],[Ticket Priority]]="Critical",24,
IF(Tickets[[#This Row],[Ticket Priority]]="High",48,
IF(Tickets[[#This Row],[Ticket Priority]]="Medium",120,168)))</f>
        <v>168</v>
      </c>
      <c r="P298" t="str">
        <f>IF(Tickets[[#This Row],[Resolution Duration Hours]] &lt;= Tickets[[#This Row],[SLA_Target_Hours]], "Yes", "No")</f>
        <v>No</v>
      </c>
    </row>
    <row r="299" spans="1:16" hidden="1">
      <c r="A299">
        <v>298</v>
      </c>
      <c r="B299" t="s">
        <v>311</v>
      </c>
      <c r="C299" t="s">
        <v>2281</v>
      </c>
      <c r="D299" t="s">
        <v>3982</v>
      </c>
      <c r="E299" s="1">
        <v>44938</v>
      </c>
      <c r="F299" t="s">
        <v>4002</v>
      </c>
      <c r="G299" t="s">
        <v>4003</v>
      </c>
      <c r="H299" t="s">
        <v>4018</v>
      </c>
      <c r="I299" t="s">
        <v>4024</v>
      </c>
      <c r="J299" t="s">
        <v>4026</v>
      </c>
      <c r="K299" s="2">
        <v>44954</v>
      </c>
      <c r="L299" s="2">
        <v>44960</v>
      </c>
      <c r="M299">
        <v>3</v>
      </c>
      <c r="N299">
        <v>144</v>
      </c>
      <c r="O299">
        <f>IF(Tickets[[#This Row],[Ticket Priority]]="Critical",24,
IF(Tickets[[#This Row],[Ticket Priority]]="High",48,
IF(Tickets[[#This Row],[Ticket Priority]]="Medium",120,168)))</f>
        <v>168</v>
      </c>
      <c r="P299" t="str">
        <f>IF(Tickets[[#This Row],[Resolution Duration Hours]] &lt;= Tickets[[#This Row],[SLA_Target_Hours]], "Yes", "No")</f>
        <v>Yes</v>
      </c>
    </row>
    <row r="300" spans="1:16" hidden="1">
      <c r="A300">
        <v>299</v>
      </c>
      <c r="B300" t="s">
        <v>312</v>
      </c>
      <c r="C300" t="s">
        <v>2282</v>
      </c>
      <c r="D300" t="s">
        <v>3993</v>
      </c>
      <c r="E300" s="1">
        <v>43973</v>
      </c>
      <c r="F300" t="s">
        <v>4001</v>
      </c>
      <c r="G300" t="s">
        <v>4010</v>
      </c>
      <c r="H300" t="s">
        <v>4018</v>
      </c>
      <c r="I300" t="s">
        <v>4023</v>
      </c>
      <c r="J300" t="s">
        <v>4028</v>
      </c>
      <c r="K300" s="2">
        <v>44039</v>
      </c>
      <c r="L300" s="2">
        <v>44040</v>
      </c>
      <c r="N300">
        <v>24</v>
      </c>
      <c r="O300">
        <f>IF(Tickets[[#This Row],[Ticket Priority]]="Critical",24,
IF(Tickets[[#This Row],[Ticket Priority]]="High",48,
IF(Tickets[[#This Row],[Ticket Priority]]="Medium",120,168)))</f>
        <v>120</v>
      </c>
      <c r="P300" t="str">
        <f>IF(Tickets[[#This Row],[Resolution Duration Hours]] &lt;= Tickets[[#This Row],[SLA_Target_Hours]], "Yes", "No")</f>
        <v>Yes</v>
      </c>
    </row>
    <row r="301" spans="1:16" hidden="1">
      <c r="A301">
        <v>300</v>
      </c>
      <c r="B301" t="s">
        <v>313</v>
      </c>
      <c r="C301" t="s">
        <v>2283</v>
      </c>
      <c r="D301" t="s">
        <v>3989</v>
      </c>
      <c r="E301" s="1">
        <v>44528</v>
      </c>
      <c r="F301" t="s">
        <v>4000</v>
      </c>
      <c r="G301" t="s">
        <v>4010</v>
      </c>
      <c r="H301" t="s">
        <v>4018</v>
      </c>
      <c r="I301" t="s">
        <v>4021</v>
      </c>
      <c r="J301" t="s">
        <v>4026</v>
      </c>
      <c r="K301" s="2">
        <v>44858</v>
      </c>
      <c r="L301" s="2">
        <v>44860</v>
      </c>
      <c r="M301">
        <v>3</v>
      </c>
      <c r="N301">
        <v>48</v>
      </c>
      <c r="O301">
        <f>IF(Tickets[[#This Row],[Ticket Priority]]="Critical",24,
IF(Tickets[[#This Row],[Ticket Priority]]="High",48,
IF(Tickets[[#This Row],[Ticket Priority]]="Medium",120,168)))</f>
        <v>48</v>
      </c>
      <c r="P301" t="str">
        <f>IF(Tickets[[#This Row],[Resolution Duration Hours]] &lt;= Tickets[[#This Row],[SLA_Target_Hours]], "Yes", "No")</f>
        <v>Yes</v>
      </c>
    </row>
    <row r="302" spans="1:16" hidden="1">
      <c r="A302">
        <v>301</v>
      </c>
      <c r="B302" t="s">
        <v>314</v>
      </c>
      <c r="C302" t="s">
        <v>2284</v>
      </c>
      <c r="D302" t="s">
        <v>3980</v>
      </c>
      <c r="E302" s="1">
        <v>45049</v>
      </c>
      <c r="F302" t="s">
        <v>4002</v>
      </c>
      <c r="G302" t="s">
        <v>4012</v>
      </c>
      <c r="H302" t="s">
        <v>4018</v>
      </c>
      <c r="I302" t="s">
        <v>4023</v>
      </c>
      <c r="J302" t="s">
        <v>4026</v>
      </c>
      <c r="K302" s="2">
        <v>45270</v>
      </c>
      <c r="L302" s="2">
        <v>45271</v>
      </c>
      <c r="M302">
        <v>3</v>
      </c>
      <c r="N302">
        <v>24</v>
      </c>
      <c r="O302">
        <f>IF(Tickets[[#This Row],[Ticket Priority]]="Critical",24,
IF(Tickets[[#This Row],[Ticket Priority]]="High",48,
IF(Tickets[[#This Row],[Ticket Priority]]="Medium",120,168)))</f>
        <v>120</v>
      </c>
      <c r="P302" t="str">
        <f>IF(Tickets[[#This Row],[Resolution Duration Hours]] &lt;= Tickets[[#This Row],[SLA_Target_Hours]], "Yes", "No")</f>
        <v>Yes</v>
      </c>
    </row>
    <row r="303" spans="1:16" hidden="1">
      <c r="A303">
        <v>302</v>
      </c>
      <c r="B303" t="s">
        <v>315</v>
      </c>
      <c r="C303" t="s">
        <v>2285</v>
      </c>
      <c r="D303" t="s">
        <v>3985</v>
      </c>
      <c r="E303" s="1">
        <v>44208</v>
      </c>
      <c r="F303" t="s">
        <v>4001</v>
      </c>
      <c r="G303" t="s">
        <v>4012</v>
      </c>
      <c r="H303" t="s">
        <v>4020</v>
      </c>
      <c r="I303" t="s">
        <v>4023</v>
      </c>
      <c r="J303" t="s">
        <v>4028</v>
      </c>
      <c r="K303" s="2">
        <v>44225</v>
      </c>
      <c r="L303" s="2">
        <v>44227</v>
      </c>
      <c r="N303">
        <v>48</v>
      </c>
      <c r="O303">
        <f>IF(Tickets[[#This Row],[Ticket Priority]]="Critical",24,
IF(Tickets[[#This Row],[Ticket Priority]]="High",48,
IF(Tickets[[#This Row],[Ticket Priority]]="Medium",120,168)))</f>
        <v>120</v>
      </c>
      <c r="P303" t="str">
        <f>IF(Tickets[[#This Row],[Resolution Duration Hours]] &lt;= Tickets[[#This Row],[SLA_Target_Hours]], "Yes", "No")</f>
        <v>Yes</v>
      </c>
    </row>
    <row r="304" spans="1:16">
      <c r="A304">
        <v>1135</v>
      </c>
      <c r="B304" t="s">
        <v>1140</v>
      </c>
      <c r="C304" t="s">
        <v>3115</v>
      </c>
      <c r="D304" t="s">
        <v>3990</v>
      </c>
      <c r="E304" s="1">
        <v>44957</v>
      </c>
      <c r="F304" t="s">
        <v>3998</v>
      </c>
      <c r="G304" t="s">
        <v>4015</v>
      </c>
      <c r="H304" t="s">
        <v>4018</v>
      </c>
      <c r="I304" t="s">
        <v>4024</v>
      </c>
      <c r="J304" t="s">
        <v>4028</v>
      </c>
      <c r="K304" s="2">
        <v>45224</v>
      </c>
      <c r="L304" s="2">
        <v>45235</v>
      </c>
      <c r="M304">
        <v>4</v>
      </c>
      <c r="N304">
        <v>264</v>
      </c>
      <c r="O304">
        <f>IF(Tickets[[#This Row],[Ticket Priority]]="Critical",24,
IF(Tickets[[#This Row],[Ticket Priority]]="High",48,
IF(Tickets[[#This Row],[Ticket Priority]]="Medium",120,168)))</f>
        <v>168</v>
      </c>
      <c r="P304" t="str">
        <f>IF(Tickets[[#This Row],[Resolution Duration Hours]] &lt;= Tickets[[#This Row],[SLA_Target_Hours]], "Yes", "No")</f>
        <v>No</v>
      </c>
    </row>
    <row r="305" spans="1:16" hidden="1">
      <c r="A305">
        <v>304</v>
      </c>
      <c r="B305" t="s">
        <v>317</v>
      </c>
      <c r="C305" t="s">
        <v>2287</v>
      </c>
      <c r="D305" t="s">
        <v>3981</v>
      </c>
      <c r="E305" s="1">
        <v>44801</v>
      </c>
      <c r="F305" t="s">
        <v>3999</v>
      </c>
      <c r="G305" t="s">
        <v>4009</v>
      </c>
      <c r="H305" t="s">
        <v>4018</v>
      </c>
      <c r="I305" t="s">
        <v>4023</v>
      </c>
      <c r="J305" t="s">
        <v>4026</v>
      </c>
      <c r="K305" s="2">
        <v>45046</v>
      </c>
      <c r="L305" s="2">
        <v>45049</v>
      </c>
      <c r="M305">
        <v>5</v>
      </c>
      <c r="N305">
        <v>72</v>
      </c>
      <c r="O305">
        <f>IF(Tickets[[#This Row],[Ticket Priority]]="Critical",24,
IF(Tickets[[#This Row],[Ticket Priority]]="High",48,
IF(Tickets[[#This Row],[Ticket Priority]]="Medium",120,168)))</f>
        <v>120</v>
      </c>
      <c r="P305" t="str">
        <f>IF(Tickets[[#This Row],[Resolution Duration Hours]] &lt;= Tickets[[#This Row],[SLA_Target_Hours]], "Yes", "No")</f>
        <v>Yes</v>
      </c>
    </row>
    <row r="306" spans="1:16" hidden="1">
      <c r="A306">
        <v>305</v>
      </c>
      <c r="B306" t="s">
        <v>318</v>
      </c>
      <c r="C306" t="s">
        <v>2288</v>
      </c>
      <c r="D306" t="s">
        <v>3990</v>
      </c>
      <c r="E306" s="1">
        <v>44421</v>
      </c>
      <c r="F306" t="s">
        <v>4002</v>
      </c>
      <c r="G306" t="s">
        <v>4013</v>
      </c>
      <c r="H306" t="s">
        <v>4018</v>
      </c>
      <c r="I306" t="s">
        <v>4023</v>
      </c>
      <c r="J306" t="s">
        <v>4026</v>
      </c>
      <c r="K306" s="2">
        <v>44450</v>
      </c>
      <c r="L306" s="2">
        <v>44454</v>
      </c>
      <c r="M306">
        <v>3</v>
      </c>
      <c r="N306">
        <v>96</v>
      </c>
      <c r="O306">
        <f>IF(Tickets[[#This Row],[Ticket Priority]]="Critical",24,
IF(Tickets[[#This Row],[Ticket Priority]]="High",48,
IF(Tickets[[#This Row],[Ticket Priority]]="Medium",120,168)))</f>
        <v>120</v>
      </c>
      <c r="P306" t="str">
        <f>IF(Tickets[[#This Row],[Resolution Duration Hours]] &lt;= Tickets[[#This Row],[SLA_Target_Hours]], "Yes", "No")</f>
        <v>Yes</v>
      </c>
    </row>
    <row r="307" spans="1:16">
      <c r="A307">
        <v>1373</v>
      </c>
      <c r="B307" t="s">
        <v>1374</v>
      </c>
      <c r="C307" t="s">
        <v>3353</v>
      </c>
      <c r="D307" t="s">
        <v>3991</v>
      </c>
      <c r="E307" s="1">
        <v>44443</v>
      </c>
      <c r="F307" t="s">
        <v>4002</v>
      </c>
      <c r="G307" t="s">
        <v>4006</v>
      </c>
      <c r="H307" t="s">
        <v>4020</v>
      </c>
      <c r="I307" t="s">
        <v>4024</v>
      </c>
      <c r="J307" t="s">
        <v>4026</v>
      </c>
      <c r="K307" s="2">
        <v>44517</v>
      </c>
      <c r="L307" s="2">
        <v>44528</v>
      </c>
      <c r="N307">
        <v>264</v>
      </c>
      <c r="O307">
        <f>IF(Tickets[[#This Row],[Ticket Priority]]="Critical",24,
IF(Tickets[[#This Row],[Ticket Priority]]="High",48,
IF(Tickets[[#This Row],[Ticket Priority]]="Medium",120,168)))</f>
        <v>168</v>
      </c>
      <c r="P307" t="str">
        <f>IF(Tickets[[#This Row],[Resolution Duration Hours]] &lt;= Tickets[[#This Row],[SLA_Target_Hours]], "Yes", "No")</f>
        <v>No</v>
      </c>
    </row>
    <row r="308" spans="1:16" hidden="1">
      <c r="A308">
        <v>307</v>
      </c>
      <c r="B308" t="s">
        <v>320</v>
      </c>
      <c r="C308" t="s">
        <v>2290</v>
      </c>
      <c r="D308" t="s">
        <v>3983</v>
      </c>
      <c r="E308" s="1">
        <v>44337</v>
      </c>
      <c r="F308" t="s">
        <v>4002</v>
      </c>
      <c r="G308" t="s">
        <v>4016</v>
      </c>
      <c r="H308" t="s">
        <v>4018</v>
      </c>
      <c r="I308" t="s">
        <v>4023</v>
      </c>
      <c r="J308" t="s">
        <v>4026</v>
      </c>
      <c r="K308" s="2">
        <v>44694</v>
      </c>
      <c r="L308" s="2">
        <v>44696</v>
      </c>
      <c r="N308">
        <v>48</v>
      </c>
      <c r="O308">
        <f>IF(Tickets[[#This Row],[Ticket Priority]]="Critical",24,
IF(Tickets[[#This Row],[Ticket Priority]]="High",48,
IF(Tickets[[#This Row],[Ticket Priority]]="Medium",120,168)))</f>
        <v>120</v>
      </c>
      <c r="P308" t="str">
        <f>IF(Tickets[[#This Row],[Resolution Duration Hours]] &lt;= Tickets[[#This Row],[SLA_Target_Hours]], "Yes", "No")</f>
        <v>Yes</v>
      </c>
    </row>
    <row r="309" spans="1:16" hidden="1">
      <c r="A309">
        <v>308</v>
      </c>
      <c r="B309" t="s">
        <v>321</v>
      </c>
      <c r="C309" t="s">
        <v>2291</v>
      </c>
      <c r="D309" t="s">
        <v>3992</v>
      </c>
      <c r="E309" s="1">
        <v>44110</v>
      </c>
      <c r="F309" t="s">
        <v>4001</v>
      </c>
      <c r="G309" t="s">
        <v>4007</v>
      </c>
      <c r="H309" t="s">
        <v>4018</v>
      </c>
      <c r="I309" t="s">
        <v>4023</v>
      </c>
      <c r="J309" t="s">
        <v>4028</v>
      </c>
      <c r="K309" s="2">
        <v>44387</v>
      </c>
      <c r="L309" s="2">
        <v>44390</v>
      </c>
      <c r="N309">
        <v>72</v>
      </c>
      <c r="O309">
        <f>IF(Tickets[[#This Row],[Ticket Priority]]="Critical",24,
IF(Tickets[[#This Row],[Ticket Priority]]="High",48,
IF(Tickets[[#This Row],[Ticket Priority]]="Medium",120,168)))</f>
        <v>120</v>
      </c>
      <c r="P309" t="str">
        <f>IF(Tickets[[#This Row],[Resolution Duration Hours]] &lt;= Tickets[[#This Row],[SLA_Target_Hours]], "Yes", "No")</f>
        <v>Yes</v>
      </c>
    </row>
    <row r="310" spans="1:16" hidden="1">
      <c r="A310">
        <v>309</v>
      </c>
      <c r="B310" t="s">
        <v>322</v>
      </c>
      <c r="C310" t="s">
        <v>2292</v>
      </c>
      <c r="D310" t="s">
        <v>3989</v>
      </c>
      <c r="E310" s="1">
        <v>45070</v>
      </c>
      <c r="F310" t="s">
        <v>4002</v>
      </c>
      <c r="G310" t="s">
        <v>4008</v>
      </c>
      <c r="H310" t="s">
        <v>4018</v>
      </c>
      <c r="I310" t="s">
        <v>4021</v>
      </c>
      <c r="J310" t="s">
        <v>4026</v>
      </c>
      <c r="K310" s="2">
        <v>45136</v>
      </c>
      <c r="L310" s="2">
        <v>45137</v>
      </c>
      <c r="M310">
        <v>3</v>
      </c>
      <c r="N310">
        <v>24</v>
      </c>
      <c r="O310">
        <f>IF(Tickets[[#This Row],[Ticket Priority]]="Critical",24,
IF(Tickets[[#This Row],[Ticket Priority]]="High",48,
IF(Tickets[[#This Row],[Ticket Priority]]="Medium",120,168)))</f>
        <v>48</v>
      </c>
      <c r="P310" t="str">
        <f>IF(Tickets[[#This Row],[Resolution Duration Hours]] &lt;= Tickets[[#This Row],[SLA_Target_Hours]], "Yes", "No")</f>
        <v>Yes</v>
      </c>
    </row>
    <row r="311" spans="1:16" hidden="1">
      <c r="A311">
        <v>310</v>
      </c>
      <c r="B311" t="s">
        <v>323</v>
      </c>
      <c r="C311" t="s">
        <v>2293</v>
      </c>
      <c r="D311" t="s">
        <v>3997</v>
      </c>
      <c r="E311" s="1">
        <v>44301</v>
      </c>
      <c r="F311" t="s">
        <v>4002</v>
      </c>
      <c r="G311" t="s">
        <v>4014</v>
      </c>
      <c r="H311" t="s">
        <v>4018</v>
      </c>
      <c r="I311" t="s">
        <v>4023</v>
      </c>
      <c r="J311" t="s">
        <v>4026</v>
      </c>
      <c r="K311" s="2">
        <v>44488</v>
      </c>
      <c r="L311" s="2">
        <v>44493</v>
      </c>
      <c r="M311">
        <v>5</v>
      </c>
      <c r="N311">
        <v>120</v>
      </c>
      <c r="O311">
        <f>IF(Tickets[[#This Row],[Ticket Priority]]="Critical",24,
IF(Tickets[[#This Row],[Ticket Priority]]="High",48,
IF(Tickets[[#This Row],[Ticket Priority]]="Medium",120,168)))</f>
        <v>120</v>
      </c>
      <c r="P311" t="str">
        <f>IF(Tickets[[#This Row],[Resolution Duration Hours]] &lt;= Tickets[[#This Row],[SLA_Target_Hours]], "Yes", "No")</f>
        <v>Yes</v>
      </c>
    </row>
    <row r="312" spans="1:16" hidden="1">
      <c r="A312">
        <v>311</v>
      </c>
      <c r="B312" t="s">
        <v>324</v>
      </c>
      <c r="C312" t="s">
        <v>2294</v>
      </c>
      <c r="D312" t="s">
        <v>3995</v>
      </c>
      <c r="E312" s="1">
        <v>44735</v>
      </c>
      <c r="F312" t="s">
        <v>3999</v>
      </c>
      <c r="G312" t="s">
        <v>4005</v>
      </c>
      <c r="H312" t="s">
        <v>4018</v>
      </c>
      <c r="I312" t="s">
        <v>4023</v>
      </c>
      <c r="J312" t="s">
        <v>4027</v>
      </c>
      <c r="K312" s="2">
        <v>45063</v>
      </c>
      <c r="L312" s="2">
        <v>45064</v>
      </c>
      <c r="M312">
        <v>4</v>
      </c>
      <c r="N312">
        <v>24</v>
      </c>
      <c r="O312">
        <f>IF(Tickets[[#This Row],[Ticket Priority]]="Critical",24,
IF(Tickets[[#This Row],[Ticket Priority]]="High",48,
IF(Tickets[[#This Row],[Ticket Priority]]="Medium",120,168)))</f>
        <v>120</v>
      </c>
      <c r="P312" t="str">
        <f>IF(Tickets[[#This Row],[Resolution Duration Hours]] &lt;= Tickets[[#This Row],[SLA_Target_Hours]], "Yes", "No")</f>
        <v>Yes</v>
      </c>
    </row>
    <row r="313" spans="1:16" hidden="1">
      <c r="A313">
        <v>312</v>
      </c>
      <c r="B313" t="s">
        <v>325</v>
      </c>
      <c r="C313" t="s">
        <v>2295</v>
      </c>
      <c r="D313" t="s">
        <v>3982</v>
      </c>
      <c r="E313" s="1">
        <v>44920</v>
      </c>
      <c r="F313" t="s">
        <v>4000</v>
      </c>
      <c r="G313" t="s">
        <v>4016</v>
      </c>
      <c r="H313" t="s">
        <v>4019</v>
      </c>
      <c r="I313" t="s">
        <v>4024</v>
      </c>
      <c r="J313" t="s">
        <v>4027</v>
      </c>
      <c r="K313" s="2">
        <v>45113</v>
      </c>
      <c r="L313" s="2">
        <v>45118</v>
      </c>
      <c r="N313">
        <v>120</v>
      </c>
      <c r="O313">
        <f>IF(Tickets[[#This Row],[Ticket Priority]]="Critical",24,
IF(Tickets[[#This Row],[Ticket Priority]]="High",48,
IF(Tickets[[#This Row],[Ticket Priority]]="Medium",120,168)))</f>
        <v>168</v>
      </c>
      <c r="P313" t="str">
        <f>IF(Tickets[[#This Row],[Resolution Duration Hours]] &lt;= Tickets[[#This Row],[SLA_Target_Hours]], "Yes", "No")</f>
        <v>Yes</v>
      </c>
    </row>
    <row r="314" spans="1:16" hidden="1">
      <c r="A314">
        <v>313</v>
      </c>
      <c r="B314" t="s">
        <v>326</v>
      </c>
      <c r="C314" t="s">
        <v>2296</v>
      </c>
      <c r="D314" t="s">
        <v>3980</v>
      </c>
      <c r="E314" s="1">
        <v>44382</v>
      </c>
      <c r="F314" t="s">
        <v>4000</v>
      </c>
      <c r="G314" t="s">
        <v>4014</v>
      </c>
      <c r="H314" t="s">
        <v>4018</v>
      </c>
      <c r="I314" t="s">
        <v>4023</v>
      </c>
      <c r="J314" t="s">
        <v>4026</v>
      </c>
      <c r="K314" s="2">
        <v>44398</v>
      </c>
      <c r="L314" s="2">
        <v>44401</v>
      </c>
      <c r="M314">
        <v>4</v>
      </c>
      <c r="N314">
        <v>72</v>
      </c>
      <c r="O314">
        <f>IF(Tickets[[#This Row],[Ticket Priority]]="Critical",24,
IF(Tickets[[#This Row],[Ticket Priority]]="High",48,
IF(Tickets[[#This Row],[Ticket Priority]]="Medium",120,168)))</f>
        <v>120</v>
      </c>
      <c r="P314" t="str">
        <f>IF(Tickets[[#This Row],[Resolution Duration Hours]] &lt;= Tickets[[#This Row],[SLA_Target_Hours]], "Yes", "No")</f>
        <v>Yes</v>
      </c>
    </row>
    <row r="315" spans="1:16" hidden="1">
      <c r="A315">
        <v>314</v>
      </c>
      <c r="B315" t="s">
        <v>327</v>
      </c>
      <c r="C315" t="s">
        <v>2297</v>
      </c>
      <c r="D315" t="s">
        <v>3988</v>
      </c>
      <c r="E315" s="1">
        <v>43995</v>
      </c>
      <c r="F315" t="s">
        <v>3999</v>
      </c>
      <c r="G315" t="s">
        <v>4011</v>
      </c>
      <c r="H315" t="s">
        <v>4020</v>
      </c>
      <c r="I315" t="s">
        <v>4023</v>
      </c>
      <c r="J315" t="s">
        <v>4028</v>
      </c>
      <c r="K315" s="2">
        <v>44116</v>
      </c>
      <c r="L315" s="2">
        <v>44118</v>
      </c>
      <c r="N315">
        <v>48</v>
      </c>
      <c r="O315">
        <f>IF(Tickets[[#This Row],[Ticket Priority]]="Critical",24,
IF(Tickets[[#This Row],[Ticket Priority]]="High",48,
IF(Tickets[[#This Row],[Ticket Priority]]="Medium",120,168)))</f>
        <v>120</v>
      </c>
      <c r="P315" t="str">
        <f>IF(Tickets[[#This Row],[Resolution Duration Hours]] &lt;= Tickets[[#This Row],[SLA_Target_Hours]], "Yes", "No")</f>
        <v>Yes</v>
      </c>
    </row>
    <row r="316" spans="1:16" hidden="1">
      <c r="A316">
        <v>315</v>
      </c>
      <c r="B316" t="s">
        <v>328</v>
      </c>
      <c r="C316" t="s">
        <v>2298</v>
      </c>
      <c r="D316" t="s">
        <v>3987</v>
      </c>
      <c r="E316" s="1">
        <v>44745</v>
      </c>
      <c r="F316" t="s">
        <v>4000</v>
      </c>
      <c r="G316" t="s">
        <v>4015</v>
      </c>
      <c r="H316" t="s">
        <v>4018</v>
      </c>
      <c r="I316" t="s">
        <v>4024</v>
      </c>
      <c r="J316" t="s">
        <v>4026</v>
      </c>
      <c r="K316" s="2">
        <v>44880</v>
      </c>
      <c r="L316" s="2">
        <v>44887</v>
      </c>
      <c r="M316">
        <v>3</v>
      </c>
      <c r="N316">
        <v>168</v>
      </c>
      <c r="O316">
        <f>IF(Tickets[[#This Row],[Ticket Priority]]="Critical",24,
IF(Tickets[[#This Row],[Ticket Priority]]="High",48,
IF(Tickets[[#This Row],[Ticket Priority]]="Medium",120,168)))</f>
        <v>168</v>
      </c>
      <c r="P316" t="str">
        <f>IF(Tickets[[#This Row],[Resolution Duration Hours]] &lt;= Tickets[[#This Row],[SLA_Target_Hours]], "Yes", "No")</f>
        <v>Yes</v>
      </c>
    </row>
    <row r="317" spans="1:16" hidden="1">
      <c r="A317">
        <v>316</v>
      </c>
      <c r="B317" t="s">
        <v>329</v>
      </c>
      <c r="C317" t="s">
        <v>2299</v>
      </c>
      <c r="D317" t="s">
        <v>3982</v>
      </c>
      <c r="E317" s="1">
        <v>44011</v>
      </c>
      <c r="F317" t="s">
        <v>3998</v>
      </c>
      <c r="G317" t="s">
        <v>4013</v>
      </c>
      <c r="H317" t="s">
        <v>4017</v>
      </c>
      <c r="I317" t="s">
        <v>4023</v>
      </c>
      <c r="J317" t="s">
        <v>4028</v>
      </c>
      <c r="K317" s="2">
        <v>44222</v>
      </c>
      <c r="L317" s="2">
        <v>44226</v>
      </c>
      <c r="N317">
        <v>96</v>
      </c>
      <c r="O317">
        <f>IF(Tickets[[#This Row],[Ticket Priority]]="Critical",24,
IF(Tickets[[#This Row],[Ticket Priority]]="High",48,
IF(Tickets[[#This Row],[Ticket Priority]]="Medium",120,168)))</f>
        <v>120</v>
      </c>
      <c r="P317" t="str">
        <f>IF(Tickets[[#This Row],[Resolution Duration Hours]] &lt;= Tickets[[#This Row],[SLA_Target_Hours]], "Yes", "No")</f>
        <v>Yes</v>
      </c>
    </row>
    <row r="318" spans="1:16" hidden="1">
      <c r="A318">
        <v>317</v>
      </c>
      <c r="B318" t="s">
        <v>330</v>
      </c>
      <c r="C318" t="s">
        <v>2300</v>
      </c>
      <c r="D318" t="s">
        <v>3993</v>
      </c>
      <c r="E318" s="1">
        <v>44372</v>
      </c>
      <c r="F318" t="s">
        <v>4001</v>
      </c>
      <c r="G318" t="s">
        <v>4003</v>
      </c>
      <c r="H318" t="s">
        <v>4017</v>
      </c>
      <c r="I318" t="s">
        <v>4024</v>
      </c>
      <c r="J318" t="s">
        <v>4026</v>
      </c>
      <c r="K318" s="2">
        <v>44455</v>
      </c>
      <c r="L318" s="2">
        <v>44461</v>
      </c>
      <c r="N318">
        <v>144</v>
      </c>
      <c r="O318">
        <f>IF(Tickets[[#This Row],[Ticket Priority]]="Critical",24,
IF(Tickets[[#This Row],[Ticket Priority]]="High",48,
IF(Tickets[[#This Row],[Ticket Priority]]="Medium",120,168)))</f>
        <v>168</v>
      </c>
      <c r="P318" t="str">
        <f>IF(Tickets[[#This Row],[Resolution Duration Hours]] &lt;= Tickets[[#This Row],[SLA_Target_Hours]], "Yes", "No")</f>
        <v>Yes</v>
      </c>
    </row>
    <row r="319" spans="1:16" hidden="1">
      <c r="A319">
        <v>318</v>
      </c>
      <c r="B319" t="s">
        <v>331</v>
      </c>
      <c r="C319" t="s">
        <v>2301</v>
      </c>
      <c r="D319" t="s">
        <v>3983</v>
      </c>
      <c r="E319" s="1">
        <v>44363</v>
      </c>
      <c r="F319" t="s">
        <v>3998</v>
      </c>
      <c r="G319" t="s">
        <v>4006</v>
      </c>
      <c r="H319" t="s">
        <v>4019</v>
      </c>
      <c r="I319" t="s">
        <v>4021</v>
      </c>
      <c r="J319" t="s">
        <v>4026</v>
      </c>
      <c r="K319" s="2">
        <v>44450</v>
      </c>
      <c r="L319" s="2">
        <v>44451</v>
      </c>
      <c r="M319">
        <v>3</v>
      </c>
      <c r="N319">
        <v>24</v>
      </c>
      <c r="O319">
        <f>IF(Tickets[[#This Row],[Ticket Priority]]="Critical",24,
IF(Tickets[[#This Row],[Ticket Priority]]="High",48,
IF(Tickets[[#This Row],[Ticket Priority]]="Medium",120,168)))</f>
        <v>48</v>
      </c>
      <c r="P319" t="str">
        <f>IF(Tickets[[#This Row],[Resolution Duration Hours]] &lt;= Tickets[[#This Row],[SLA_Target_Hours]], "Yes", "No")</f>
        <v>Yes</v>
      </c>
    </row>
    <row r="320" spans="1:16" hidden="1">
      <c r="A320">
        <v>319</v>
      </c>
      <c r="B320" t="s">
        <v>332</v>
      </c>
      <c r="C320" t="s">
        <v>2302</v>
      </c>
      <c r="D320" t="s">
        <v>3987</v>
      </c>
      <c r="E320" s="1">
        <v>44700</v>
      </c>
      <c r="F320" t="s">
        <v>4002</v>
      </c>
      <c r="G320" t="s">
        <v>4000</v>
      </c>
      <c r="H320" t="s">
        <v>4018</v>
      </c>
      <c r="I320" t="s">
        <v>4021</v>
      </c>
      <c r="J320" t="s">
        <v>4026</v>
      </c>
      <c r="K320" s="2">
        <v>44920</v>
      </c>
      <c r="L320" s="2">
        <v>44921</v>
      </c>
      <c r="M320">
        <v>5</v>
      </c>
      <c r="N320">
        <v>24</v>
      </c>
      <c r="O320">
        <f>IF(Tickets[[#This Row],[Ticket Priority]]="Critical",24,
IF(Tickets[[#This Row],[Ticket Priority]]="High",48,
IF(Tickets[[#This Row],[Ticket Priority]]="Medium",120,168)))</f>
        <v>48</v>
      </c>
      <c r="P320" t="str">
        <f>IF(Tickets[[#This Row],[Resolution Duration Hours]] &lt;= Tickets[[#This Row],[SLA_Target_Hours]], "Yes", "No")</f>
        <v>Yes</v>
      </c>
    </row>
    <row r="321" spans="1:16" hidden="1">
      <c r="A321">
        <v>320</v>
      </c>
      <c r="B321" t="s">
        <v>333</v>
      </c>
      <c r="C321" t="s">
        <v>2303</v>
      </c>
      <c r="D321" t="s">
        <v>3991</v>
      </c>
      <c r="E321" s="1">
        <v>43876</v>
      </c>
      <c r="F321" t="s">
        <v>4001</v>
      </c>
      <c r="G321" t="s">
        <v>4007</v>
      </c>
      <c r="H321" t="s">
        <v>4018</v>
      </c>
      <c r="I321" t="s">
        <v>4023</v>
      </c>
      <c r="J321" t="s">
        <v>4028</v>
      </c>
      <c r="K321" s="2">
        <v>44011</v>
      </c>
      <c r="L321" s="2">
        <v>44015</v>
      </c>
      <c r="M321">
        <v>3</v>
      </c>
      <c r="N321">
        <v>96</v>
      </c>
      <c r="O321">
        <f>IF(Tickets[[#This Row],[Ticket Priority]]="Critical",24,
IF(Tickets[[#This Row],[Ticket Priority]]="High",48,
IF(Tickets[[#This Row],[Ticket Priority]]="Medium",120,168)))</f>
        <v>120</v>
      </c>
      <c r="P321" t="str">
        <f>IF(Tickets[[#This Row],[Resolution Duration Hours]] &lt;= Tickets[[#This Row],[SLA_Target_Hours]], "Yes", "No")</f>
        <v>Yes</v>
      </c>
    </row>
    <row r="322" spans="1:16" hidden="1">
      <c r="A322">
        <v>321</v>
      </c>
      <c r="B322" t="s">
        <v>334</v>
      </c>
      <c r="C322" t="s">
        <v>2304</v>
      </c>
      <c r="D322" t="s">
        <v>3988</v>
      </c>
      <c r="E322" s="1">
        <v>44150</v>
      </c>
      <c r="F322" t="s">
        <v>3999</v>
      </c>
      <c r="G322" t="s">
        <v>4003</v>
      </c>
      <c r="H322" t="s">
        <v>4017</v>
      </c>
      <c r="I322" t="s">
        <v>4023</v>
      </c>
      <c r="J322" t="s">
        <v>4026</v>
      </c>
      <c r="K322" s="2">
        <v>44300</v>
      </c>
      <c r="L322" s="2">
        <v>44304</v>
      </c>
      <c r="N322">
        <v>96</v>
      </c>
      <c r="O322">
        <f>IF(Tickets[[#This Row],[Ticket Priority]]="Critical",24,
IF(Tickets[[#This Row],[Ticket Priority]]="High",48,
IF(Tickets[[#This Row],[Ticket Priority]]="Medium",120,168)))</f>
        <v>120</v>
      </c>
      <c r="P322" t="str">
        <f>IF(Tickets[[#This Row],[Resolution Duration Hours]] &lt;= Tickets[[#This Row],[SLA_Target_Hours]], "Yes", "No")</f>
        <v>Yes</v>
      </c>
    </row>
    <row r="323" spans="1:16" hidden="1">
      <c r="A323">
        <v>322</v>
      </c>
      <c r="B323" t="s">
        <v>335</v>
      </c>
      <c r="C323" t="s">
        <v>2305</v>
      </c>
      <c r="D323" t="s">
        <v>3992</v>
      </c>
      <c r="E323" s="1">
        <v>44337</v>
      </c>
      <c r="F323" t="s">
        <v>4002</v>
      </c>
      <c r="G323" t="s">
        <v>4007</v>
      </c>
      <c r="H323" t="s">
        <v>4018</v>
      </c>
      <c r="I323" t="s">
        <v>4023</v>
      </c>
      <c r="J323" t="s">
        <v>4028</v>
      </c>
      <c r="K323" s="2">
        <v>44396</v>
      </c>
      <c r="L323" s="2">
        <v>44401</v>
      </c>
      <c r="N323">
        <v>120</v>
      </c>
      <c r="O323">
        <f>IF(Tickets[[#This Row],[Ticket Priority]]="Critical",24,
IF(Tickets[[#This Row],[Ticket Priority]]="High",48,
IF(Tickets[[#This Row],[Ticket Priority]]="Medium",120,168)))</f>
        <v>120</v>
      </c>
      <c r="P323" t="str">
        <f>IF(Tickets[[#This Row],[Resolution Duration Hours]] &lt;= Tickets[[#This Row],[SLA_Target_Hours]], "Yes", "No")</f>
        <v>Yes</v>
      </c>
    </row>
    <row r="324" spans="1:16" hidden="1">
      <c r="A324">
        <v>323</v>
      </c>
      <c r="B324" t="s">
        <v>336</v>
      </c>
      <c r="C324" t="s">
        <v>2306</v>
      </c>
      <c r="D324" t="s">
        <v>3981</v>
      </c>
      <c r="E324" s="1">
        <v>44758</v>
      </c>
      <c r="F324" t="s">
        <v>4001</v>
      </c>
      <c r="G324" t="s">
        <v>4003</v>
      </c>
      <c r="H324" t="s">
        <v>4018</v>
      </c>
      <c r="I324" t="s">
        <v>4023</v>
      </c>
      <c r="J324" t="s">
        <v>4026</v>
      </c>
      <c r="K324" s="2">
        <v>44853</v>
      </c>
      <c r="L324" s="2">
        <v>44854</v>
      </c>
      <c r="M324">
        <v>4</v>
      </c>
      <c r="N324">
        <v>24</v>
      </c>
      <c r="O324">
        <f>IF(Tickets[[#This Row],[Ticket Priority]]="Critical",24,
IF(Tickets[[#This Row],[Ticket Priority]]="High",48,
IF(Tickets[[#This Row],[Ticket Priority]]="Medium",120,168)))</f>
        <v>120</v>
      </c>
      <c r="P324" t="str">
        <f>IF(Tickets[[#This Row],[Resolution Duration Hours]] &lt;= Tickets[[#This Row],[SLA_Target_Hours]], "Yes", "No")</f>
        <v>Yes</v>
      </c>
    </row>
    <row r="325" spans="1:16" hidden="1">
      <c r="A325">
        <v>324</v>
      </c>
      <c r="B325" t="s">
        <v>337</v>
      </c>
      <c r="C325" t="s">
        <v>2307</v>
      </c>
      <c r="D325" t="s">
        <v>3991</v>
      </c>
      <c r="E325" s="1">
        <v>44927</v>
      </c>
      <c r="F325" t="s">
        <v>3998</v>
      </c>
      <c r="G325" t="s">
        <v>4013</v>
      </c>
      <c r="H325" t="s">
        <v>4020</v>
      </c>
      <c r="I325" t="s">
        <v>4023</v>
      </c>
      <c r="J325" t="s">
        <v>4026</v>
      </c>
      <c r="K325" s="2">
        <v>45139</v>
      </c>
      <c r="L325" s="2">
        <v>45141</v>
      </c>
      <c r="N325">
        <v>48</v>
      </c>
      <c r="O325">
        <f>IF(Tickets[[#This Row],[Ticket Priority]]="Critical",24,
IF(Tickets[[#This Row],[Ticket Priority]]="High",48,
IF(Tickets[[#This Row],[Ticket Priority]]="Medium",120,168)))</f>
        <v>120</v>
      </c>
      <c r="P325" t="str">
        <f>IF(Tickets[[#This Row],[Resolution Duration Hours]] &lt;= Tickets[[#This Row],[SLA_Target_Hours]], "Yes", "No")</f>
        <v>Yes</v>
      </c>
    </row>
    <row r="326" spans="1:16" hidden="1">
      <c r="A326">
        <v>325</v>
      </c>
      <c r="B326" t="s">
        <v>338</v>
      </c>
      <c r="C326" t="s">
        <v>2308</v>
      </c>
      <c r="D326" t="s">
        <v>3992</v>
      </c>
      <c r="E326" s="1">
        <v>44115</v>
      </c>
      <c r="F326" t="s">
        <v>3998</v>
      </c>
      <c r="G326" t="s">
        <v>4008</v>
      </c>
      <c r="H326" t="s">
        <v>4018</v>
      </c>
      <c r="I326" t="s">
        <v>4023</v>
      </c>
      <c r="J326" t="s">
        <v>4028</v>
      </c>
      <c r="K326" s="2">
        <v>44408</v>
      </c>
      <c r="L326" s="2">
        <v>44412</v>
      </c>
      <c r="M326">
        <v>3</v>
      </c>
      <c r="N326">
        <v>96</v>
      </c>
      <c r="O326">
        <f>IF(Tickets[[#This Row],[Ticket Priority]]="Critical",24,
IF(Tickets[[#This Row],[Ticket Priority]]="High",48,
IF(Tickets[[#This Row],[Ticket Priority]]="Medium",120,168)))</f>
        <v>120</v>
      </c>
      <c r="P326" t="str">
        <f>IF(Tickets[[#This Row],[Resolution Duration Hours]] &lt;= Tickets[[#This Row],[SLA_Target_Hours]], "Yes", "No")</f>
        <v>Yes</v>
      </c>
    </row>
    <row r="327" spans="1:16" hidden="1">
      <c r="A327">
        <v>326</v>
      </c>
      <c r="B327" t="s">
        <v>339</v>
      </c>
      <c r="C327" t="s">
        <v>2309</v>
      </c>
      <c r="D327" t="s">
        <v>3985</v>
      </c>
      <c r="E327" s="1">
        <v>44818</v>
      </c>
      <c r="F327" t="s">
        <v>4001</v>
      </c>
      <c r="G327" t="s">
        <v>4000</v>
      </c>
      <c r="H327" t="s">
        <v>4018</v>
      </c>
      <c r="I327" t="s">
        <v>4023</v>
      </c>
      <c r="J327" t="s">
        <v>4026</v>
      </c>
      <c r="K327" s="2">
        <v>44879</v>
      </c>
      <c r="L327" s="2">
        <v>44880</v>
      </c>
      <c r="M327">
        <v>3</v>
      </c>
      <c r="N327">
        <v>24</v>
      </c>
      <c r="O327">
        <f>IF(Tickets[[#This Row],[Ticket Priority]]="Critical",24,
IF(Tickets[[#This Row],[Ticket Priority]]="High",48,
IF(Tickets[[#This Row],[Ticket Priority]]="Medium",120,168)))</f>
        <v>120</v>
      </c>
      <c r="P327" t="str">
        <f>IF(Tickets[[#This Row],[Resolution Duration Hours]] &lt;= Tickets[[#This Row],[SLA_Target_Hours]], "Yes", "No")</f>
        <v>Yes</v>
      </c>
    </row>
    <row r="328" spans="1:16" hidden="1">
      <c r="A328">
        <v>327</v>
      </c>
      <c r="B328" t="s">
        <v>340</v>
      </c>
      <c r="C328" t="s">
        <v>2310</v>
      </c>
      <c r="D328" t="s">
        <v>3995</v>
      </c>
      <c r="E328" s="1">
        <v>44121</v>
      </c>
      <c r="F328" t="s">
        <v>4001</v>
      </c>
      <c r="G328" t="s">
        <v>4003</v>
      </c>
      <c r="H328" t="s">
        <v>4020</v>
      </c>
      <c r="I328" t="s">
        <v>4023</v>
      </c>
      <c r="J328" t="s">
        <v>4027</v>
      </c>
      <c r="K328" s="2">
        <v>44225</v>
      </c>
      <c r="L328" s="2">
        <v>44229</v>
      </c>
      <c r="N328">
        <v>96</v>
      </c>
      <c r="O328">
        <f>IF(Tickets[[#This Row],[Ticket Priority]]="Critical",24,
IF(Tickets[[#This Row],[Ticket Priority]]="High",48,
IF(Tickets[[#This Row],[Ticket Priority]]="Medium",120,168)))</f>
        <v>120</v>
      </c>
      <c r="P328" t="str">
        <f>IF(Tickets[[#This Row],[Resolution Duration Hours]] &lt;= Tickets[[#This Row],[SLA_Target_Hours]], "Yes", "No")</f>
        <v>Yes</v>
      </c>
    </row>
    <row r="329" spans="1:16" hidden="1">
      <c r="A329">
        <v>328</v>
      </c>
      <c r="B329" t="s">
        <v>341</v>
      </c>
      <c r="C329" t="s">
        <v>2311</v>
      </c>
      <c r="D329" t="s">
        <v>3996</v>
      </c>
      <c r="E329" s="1">
        <v>44427</v>
      </c>
      <c r="F329" t="s">
        <v>3998</v>
      </c>
      <c r="G329" t="s">
        <v>4009</v>
      </c>
      <c r="H329" t="s">
        <v>4020</v>
      </c>
      <c r="I329" t="s">
        <v>4023</v>
      </c>
      <c r="J329" t="s">
        <v>4025</v>
      </c>
      <c r="K329" s="2">
        <v>44711</v>
      </c>
      <c r="L329" s="2">
        <v>44715</v>
      </c>
      <c r="N329">
        <v>96</v>
      </c>
      <c r="O329">
        <f>IF(Tickets[[#This Row],[Ticket Priority]]="Critical",24,
IF(Tickets[[#This Row],[Ticket Priority]]="High",48,
IF(Tickets[[#This Row],[Ticket Priority]]="Medium",120,168)))</f>
        <v>120</v>
      </c>
      <c r="P329" t="str">
        <f>IF(Tickets[[#This Row],[Resolution Duration Hours]] &lt;= Tickets[[#This Row],[SLA_Target_Hours]], "Yes", "No")</f>
        <v>Yes</v>
      </c>
    </row>
    <row r="330" spans="1:16" hidden="1">
      <c r="A330">
        <v>329</v>
      </c>
      <c r="B330" t="s">
        <v>342</v>
      </c>
      <c r="C330" t="s">
        <v>2312</v>
      </c>
      <c r="D330" t="s">
        <v>3997</v>
      </c>
      <c r="E330" s="1">
        <v>44090</v>
      </c>
      <c r="F330" t="s">
        <v>4001</v>
      </c>
      <c r="G330" t="s">
        <v>4009</v>
      </c>
      <c r="H330" t="s">
        <v>4019</v>
      </c>
      <c r="I330" t="s">
        <v>4021</v>
      </c>
      <c r="J330" t="s">
        <v>4026</v>
      </c>
      <c r="K330" s="2">
        <v>44304</v>
      </c>
      <c r="L330" s="2">
        <v>44305</v>
      </c>
      <c r="M330">
        <v>5</v>
      </c>
      <c r="N330">
        <v>24</v>
      </c>
      <c r="O330">
        <f>IF(Tickets[[#This Row],[Ticket Priority]]="Critical",24,
IF(Tickets[[#This Row],[Ticket Priority]]="High",48,
IF(Tickets[[#This Row],[Ticket Priority]]="Medium",120,168)))</f>
        <v>48</v>
      </c>
      <c r="P330" t="str">
        <f>IF(Tickets[[#This Row],[Resolution Duration Hours]] &lt;= Tickets[[#This Row],[SLA_Target_Hours]], "Yes", "No")</f>
        <v>Yes</v>
      </c>
    </row>
    <row r="331" spans="1:16" hidden="1">
      <c r="A331">
        <v>330</v>
      </c>
      <c r="B331" t="s">
        <v>343</v>
      </c>
      <c r="C331" t="s">
        <v>2313</v>
      </c>
      <c r="D331" t="s">
        <v>3986</v>
      </c>
      <c r="E331" s="1">
        <v>44092</v>
      </c>
      <c r="F331" t="s">
        <v>4002</v>
      </c>
      <c r="G331" t="s">
        <v>4012</v>
      </c>
      <c r="H331" t="s">
        <v>4018</v>
      </c>
      <c r="I331" t="s">
        <v>4024</v>
      </c>
      <c r="J331" t="s">
        <v>4028</v>
      </c>
      <c r="K331" s="2">
        <v>44366</v>
      </c>
      <c r="L331" s="2">
        <v>44368</v>
      </c>
      <c r="M331">
        <v>4</v>
      </c>
      <c r="N331">
        <v>48</v>
      </c>
      <c r="O331">
        <f>IF(Tickets[[#This Row],[Ticket Priority]]="Critical",24,
IF(Tickets[[#This Row],[Ticket Priority]]="High",48,
IF(Tickets[[#This Row],[Ticket Priority]]="Medium",120,168)))</f>
        <v>168</v>
      </c>
      <c r="P331" t="str">
        <f>IF(Tickets[[#This Row],[Resolution Duration Hours]] &lt;= Tickets[[#This Row],[SLA_Target_Hours]], "Yes", "No")</f>
        <v>Yes</v>
      </c>
    </row>
    <row r="332" spans="1:16" hidden="1">
      <c r="A332">
        <v>331</v>
      </c>
      <c r="B332" t="s">
        <v>344</v>
      </c>
      <c r="C332" t="s">
        <v>2314</v>
      </c>
      <c r="D332" t="s">
        <v>3996</v>
      </c>
      <c r="E332" s="1">
        <v>44008</v>
      </c>
      <c r="F332" t="s">
        <v>3999</v>
      </c>
      <c r="G332" t="s">
        <v>4006</v>
      </c>
      <c r="H332" t="s">
        <v>4017</v>
      </c>
      <c r="I332" t="s">
        <v>4024</v>
      </c>
      <c r="J332" t="s">
        <v>4028</v>
      </c>
      <c r="K332" s="2">
        <v>44027</v>
      </c>
      <c r="L332" s="2">
        <v>44030</v>
      </c>
      <c r="N332">
        <v>72</v>
      </c>
      <c r="O332">
        <f>IF(Tickets[[#This Row],[Ticket Priority]]="Critical",24,
IF(Tickets[[#This Row],[Ticket Priority]]="High",48,
IF(Tickets[[#This Row],[Ticket Priority]]="Medium",120,168)))</f>
        <v>168</v>
      </c>
      <c r="P332" t="str">
        <f>IF(Tickets[[#This Row],[Resolution Duration Hours]] &lt;= Tickets[[#This Row],[SLA_Target_Hours]], "Yes", "No")</f>
        <v>Yes</v>
      </c>
    </row>
    <row r="333" spans="1:16" hidden="1">
      <c r="A333">
        <v>332</v>
      </c>
      <c r="B333" t="s">
        <v>345</v>
      </c>
      <c r="C333" t="s">
        <v>2315</v>
      </c>
      <c r="D333" t="s">
        <v>3981</v>
      </c>
      <c r="E333" s="1">
        <v>44491</v>
      </c>
      <c r="F333" t="s">
        <v>4002</v>
      </c>
      <c r="G333" t="s">
        <v>4014</v>
      </c>
      <c r="H333" t="s">
        <v>4020</v>
      </c>
      <c r="I333" t="s">
        <v>4024</v>
      </c>
      <c r="J333" t="s">
        <v>4028</v>
      </c>
      <c r="K333" s="2">
        <v>44501</v>
      </c>
      <c r="L333" s="2">
        <v>44506</v>
      </c>
      <c r="N333">
        <v>120</v>
      </c>
      <c r="O333">
        <f>IF(Tickets[[#This Row],[Ticket Priority]]="Critical",24,
IF(Tickets[[#This Row],[Ticket Priority]]="High",48,
IF(Tickets[[#This Row],[Ticket Priority]]="Medium",120,168)))</f>
        <v>168</v>
      </c>
      <c r="P333" t="str">
        <f>IF(Tickets[[#This Row],[Resolution Duration Hours]] &lt;= Tickets[[#This Row],[SLA_Target_Hours]], "Yes", "No")</f>
        <v>Yes</v>
      </c>
    </row>
    <row r="334" spans="1:16" hidden="1">
      <c r="A334">
        <v>333</v>
      </c>
      <c r="B334" t="s">
        <v>346</v>
      </c>
      <c r="C334" t="s">
        <v>2316</v>
      </c>
      <c r="D334" t="s">
        <v>3986</v>
      </c>
      <c r="E334" s="1">
        <v>44372</v>
      </c>
      <c r="F334" t="s">
        <v>4000</v>
      </c>
      <c r="G334" t="s">
        <v>4015</v>
      </c>
      <c r="H334" t="s">
        <v>4018</v>
      </c>
      <c r="I334" t="s">
        <v>4023</v>
      </c>
      <c r="J334" t="s">
        <v>4026</v>
      </c>
      <c r="K334" s="2">
        <v>44598</v>
      </c>
      <c r="L334" s="2">
        <v>44602</v>
      </c>
      <c r="M334">
        <v>3</v>
      </c>
      <c r="N334">
        <v>96</v>
      </c>
      <c r="O334">
        <f>IF(Tickets[[#This Row],[Ticket Priority]]="Critical",24,
IF(Tickets[[#This Row],[Ticket Priority]]="High",48,
IF(Tickets[[#This Row],[Ticket Priority]]="Medium",120,168)))</f>
        <v>120</v>
      </c>
      <c r="P334" t="str">
        <f>IF(Tickets[[#This Row],[Resolution Duration Hours]] &lt;= Tickets[[#This Row],[SLA_Target_Hours]], "Yes", "No")</f>
        <v>Yes</v>
      </c>
    </row>
    <row r="335" spans="1:16" hidden="1">
      <c r="A335">
        <v>334</v>
      </c>
      <c r="B335" t="s">
        <v>347</v>
      </c>
      <c r="C335" t="s">
        <v>2317</v>
      </c>
      <c r="D335" t="s">
        <v>3997</v>
      </c>
      <c r="E335" s="1">
        <v>44744</v>
      </c>
      <c r="F335" t="s">
        <v>3998</v>
      </c>
      <c r="G335" t="s">
        <v>4006</v>
      </c>
      <c r="H335" t="s">
        <v>4018</v>
      </c>
      <c r="I335" t="s">
        <v>4023</v>
      </c>
      <c r="J335" t="s">
        <v>4026</v>
      </c>
      <c r="K335" s="2">
        <v>44935</v>
      </c>
      <c r="L335" s="2">
        <v>44938</v>
      </c>
      <c r="M335">
        <v>5</v>
      </c>
      <c r="N335">
        <v>72</v>
      </c>
      <c r="O335">
        <f>IF(Tickets[[#This Row],[Ticket Priority]]="Critical",24,
IF(Tickets[[#This Row],[Ticket Priority]]="High",48,
IF(Tickets[[#This Row],[Ticket Priority]]="Medium",120,168)))</f>
        <v>120</v>
      </c>
      <c r="P335" t="str">
        <f>IF(Tickets[[#This Row],[Resolution Duration Hours]] &lt;= Tickets[[#This Row],[SLA_Target_Hours]], "Yes", "No")</f>
        <v>Yes</v>
      </c>
    </row>
    <row r="336" spans="1:16" hidden="1">
      <c r="A336">
        <v>335</v>
      </c>
      <c r="B336" t="s">
        <v>348</v>
      </c>
      <c r="C336" t="s">
        <v>2318</v>
      </c>
      <c r="D336" t="s">
        <v>3982</v>
      </c>
      <c r="E336" s="1">
        <v>44152</v>
      </c>
      <c r="F336" t="s">
        <v>3999</v>
      </c>
      <c r="G336" t="s">
        <v>4015</v>
      </c>
      <c r="H336" t="s">
        <v>4017</v>
      </c>
      <c r="I336" t="s">
        <v>4021</v>
      </c>
      <c r="J336" t="s">
        <v>4026</v>
      </c>
      <c r="K336" s="2">
        <v>44250</v>
      </c>
      <c r="L336" s="2">
        <v>44251</v>
      </c>
      <c r="N336">
        <v>24</v>
      </c>
      <c r="O336">
        <f>IF(Tickets[[#This Row],[Ticket Priority]]="Critical",24,
IF(Tickets[[#This Row],[Ticket Priority]]="High",48,
IF(Tickets[[#This Row],[Ticket Priority]]="Medium",120,168)))</f>
        <v>48</v>
      </c>
      <c r="P336" t="str">
        <f>IF(Tickets[[#This Row],[Resolution Duration Hours]] &lt;= Tickets[[#This Row],[SLA_Target_Hours]], "Yes", "No")</f>
        <v>Yes</v>
      </c>
    </row>
    <row r="337" spans="1:16" hidden="1">
      <c r="A337">
        <v>336</v>
      </c>
      <c r="B337" t="s">
        <v>349</v>
      </c>
      <c r="C337" t="s">
        <v>2319</v>
      </c>
      <c r="D337" t="s">
        <v>3989</v>
      </c>
      <c r="E337" s="1">
        <v>44720</v>
      </c>
      <c r="F337" t="s">
        <v>4000</v>
      </c>
      <c r="G337" t="s">
        <v>4009</v>
      </c>
      <c r="H337" t="s">
        <v>4018</v>
      </c>
      <c r="I337" t="s">
        <v>4023</v>
      </c>
      <c r="J337" t="s">
        <v>4026</v>
      </c>
      <c r="K337" s="2">
        <v>44860</v>
      </c>
      <c r="L337" s="2">
        <v>44865</v>
      </c>
      <c r="M337">
        <v>3</v>
      </c>
      <c r="N337">
        <v>120</v>
      </c>
      <c r="O337">
        <f>IF(Tickets[[#This Row],[Ticket Priority]]="Critical",24,
IF(Tickets[[#This Row],[Ticket Priority]]="High",48,
IF(Tickets[[#This Row],[Ticket Priority]]="Medium",120,168)))</f>
        <v>120</v>
      </c>
      <c r="P337" t="str">
        <f>IF(Tickets[[#This Row],[Resolution Duration Hours]] &lt;= Tickets[[#This Row],[SLA_Target_Hours]], "Yes", "No")</f>
        <v>Yes</v>
      </c>
    </row>
    <row r="338" spans="1:16" hidden="1">
      <c r="A338">
        <v>337</v>
      </c>
      <c r="B338" t="s">
        <v>350</v>
      </c>
      <c r="C338" t="s">
        <v>2320</v>
      </c>
      <c r="D338" t="s">
        <v>3992</v>
      </c>
      <c r="E338" s="1">
        <v>43923</v>
      </c>
      <c r="F338" t="s">
        <v>4001</v>
      </c>
      <c r="G338" t="s">
        <v>4000</v>
      </c>
      <c r="H338" t="s">
        <v>4020</v>
      </c>
      <c r="I338" t="s">
        <v>4023</v>
      </c>
      <c r="J338" t="s">
        <v>4026</v>
      </c>
      <c r="K338" s="2">
        <v>44223</v>
      </c>
      <c r="L338" s="2">
        <v>44227</v>
      </c>
      <c r="N338">
        <v>96</v>
      </c>
      <c r="O338">
        <f>IF(Tickets[[#This Row],[Ticket Priority]]="Critical",24,
IF(Tickets[[#This Row],[Ticket Priority]]="High",48,
IF(Tickets[[#This Row],[Ticket Priority]]="Medium",120,168)))</f>
        <v>120</v>
      </c>
      <c r="P338" t="str">
        <f>IF(Tickets[[#This Row],[Resolution Duration Hours]] &lt;= Tickets[[#This Row],[SLA_Target_Hours]], "Yes", "No")</f>
        <v>Yes</v>
      </c>
    </row>
    <row r="339" spans="1:16">
      <c r="A339">
        <v>1397</v>
      </c>
      <c r="B339" t="s">
        <v>1398</v>
      </c>
      <c r="C339" t="s">
        <v>3377</v>
      </c>
      <c r="D339" t="s">
        <v>3994</v>
      </c>
      <c r="E339" s="1">
        <v>44507</v>
      </c>
      <c r="F339" t="s">
        <v>4001</v>
      </c>
      <c r="G339" t="s">
        <v>4013</v>
      </c>
      <c r="H339" t="s">
        <v>4018</v>
      </c>
      <c r="I339" t="s">
        <v>4024</v>
      </c>
      <c r="J339" t="s">
        <v>4025</v>
      </c>
      <c r="K339" s="2">
        <v>44843</v>
      </c>
      <c r="L339" s="2">
        <v>44854</v>
      </c>
      <c r="M339">
        <v>3</v>
      </c>
      <c r="N339">
        <v>264</v>
      </c>
      <c r="O339">
        <f>IF(Tickets[[#This Row],[Ticket Priority]]="Critical",24,
IF(Tickets[[#This Row],[Ticket Priority]]="High",48,
IF(Tickets[[#This Row],[Ticket Priority]]="Medium",120,168)))</f>
        <v>168</v>
      </c>
      <c r="P339" t="str">
        <f>IF(Tickets[[#This Row],[Resolution Duration Hours]] &lt;= Tickets[[#This Row],[SLA_Target_Hours]], "Yes", "No")</f>
        <v>No</v>
      </c>
    </row>
    <row r="340" spans="1:16" hidden="1">
      <c r="A340">
        <v>339</v>
      </c>
      <c r="B340" t="s">
        <v>352</v>
      </c>
      <c r="C340" t="s">
        <v>2322</v>
      </c>
      <c r="D340" t="s">
        <v>3987</v>
      </c>
      <c r="E340" s="1">
        <v>44815</v>
      </c>
      <c r="F340" t="s">
        <v>3999</v>
      </c>
      <c r="G340" t="s">
        <v>4015</v>
      </c>
      <c r="H340" t="s">
        <v>4017</v>
      </c>
      <c r="I340" t="s">
        <v>4023</v>
      </c>
      <c r="J340" t="s">
        <v>4026</v>
      </c>
      <c r="K340" s="2">
        <v>45057</v>
      </c>
      <c r="L340" s="2">
        <v>45059</v>
      </c>
      <c r="N340">
        <v>48</v>
      </c>
      <c r="O340">
        <f>IF(Tickets[[#This Row],[Ticket Priority]]="Critical",24,
IF(Tickets[[#This Row],[Ticket Priority]]="High",48,
IF(Tickets[[#This Row],[Ticket Priority]]="Medium",120,168)))</f>
        <v>120</v>
      </c>
      <c r="P340" t="str">
        <f>IF(Tickets[[#This Row],[Resolution Duration Hours]] &lt;= Tickets[[#This Row],[SLA_Target_Hours]], "Yes", "No")</f>
        <v>Yes</v>
      </c>
    </row>
    <row r="341" spans="1:16">
      <c r="A341">
        <v>1411</v>
      </c>
      <c r="B341" t="s">
        <v>1411</v>
      </c>
      <c r="C341" t="s">
        <v>3391</v>
      </c>
      <c r="D341" t="s">
        <v>3980</v>
      </c>
      <c r="E341" s="1">
        <v>44134</v>
      </c>
      <c r="F341" t="s">
        <v>4000</v>
      </c>
      <c r="G341" t="s">
        <v>4008</v>
      </c>
      <c r="H341" t="s">
        <v>4018</v>
      </c>
      <c r="I341" t="s">
        <v>4024</v>
      </c>
      <c r="J341" t="s">
        <v>4028</v>
      </c>
      <c r="K341" s="2">
        <v>44155</v>
      </c>
      <c r="L341" s="2">
        <v>44166</v>
      </c>
      <c r="M341">
        <v>4</v>
      </c>
      <c r="N341">
        <v>264</v>
      </c>
      <c r="O341">
        <f>IF(Tickets[[#This Row],[Ticket Priority]]="Critical",24,
IF(Tickets[[#This Row],[Ticket Priority]]="High",48,
IF(Tickets[[#This Row],[Ticket Priority]]="Medium",120,168)))</f>
        <v>168</v>
      </c>
      <c r="P341" t="str">
        <f>IF(Tickets[[#This Row],[Resolution Duration Hours]] &lt;= Tickets[[#This Row],[SLA_Target_Hours]], "Yes", "No")</f>
        <v>No</v>
      </c>
    </row>
    <row r="342" spans="1:16">
      <c r="A342">
        <v>1461</v>
      </c>
      <c r="B342" t="s">
        <v>1460</v>
      </c>
      <c r="C342" t="s">
        <v>3441</v>
      </c>
      <c r="D342" t="s">
        <v>3996</v>
      </c>
      <c r="E342" s="1">
        <v>44996</v>
      </c>
      <c r="F342" t="s">
        <v>3999</v>
      </c>
      <c r="G342" t="s">
        <v>4006</v>
      </c>
      <c r="H342" t="s">
        <v>4018</v>
      </c>
      <c r="I342" t="s">
        <v>4024</v>
      </c>
      <c r="J342" t="s">
        <v>4025</v>
      </c>
      <c r="K342" s="2">
        <v>45121</v>
      </c>
      <c r="L342" s="2">
        <v>45132</v>
      </c>
      <c r="M342">
        <v>5</v>
      </c>
      <c r="N342">
        <v>264</v>
      </c>
      <c r="O342">
        <f>IF(Tickets[[#This Row],[Ticket Priority]]="Critical",24,
IF(Tickets[[#This Row],[Ticket Priority]]="High",48,
IF(Tickets[[#This Row],[Ticket Priority]]="Medium",120,168)))</f>
        <v>168</v>
      </c>
      <c r="P342" t="str">
        <f>IF(Tickets[[#This Row],[Resolution Duration Hours]] &lt;= Tickets[[#This Row],[SLA_Target_Hours]], "Yes", "No")</f>
        <v>No</v>
      </c>
    </row>
    <row r="343" spans="1:16" hidden="1">
      <c r="A343">
        <v>342</v>
      </c>
      <c r="B343" t="s">
        <v>355</v>
      </c>
      <c r="C343" t="s">
        <v>2325</v>
      </c>
      <c r="D343" t="s">
        <v>3990</v>
      </c>
      <c r="E343" s="1">
        <v>44248</v>
      </c>
      <c r="F343" t="s">
        <v>3998</v>
      </c>
      <c r="G343" t="s">
        <v>4008</v>
      </c>
      <c r="H343" t="s">
        <v>4018</v>
      </c>
      <c r="I343" t="s">
        <v>4023</v>
      </c>
      <c r="J343" t="s">
        <v>4026</v>
      </c>
      <c r="K343" s="2">
        <v>44575</v>
      </c>
      <c r="L343" s="2">
        <v>44579</v>
      </c>
      <c r="M343">
        <v>4</v>
      </c>
      <c r="N343">
        <v>96</v>
      </c>
      <c r="O343">
        <f>IF(Tickets[[#This Row],[Ticket Priority]]="Critical",24,
IF(Tickets[[#This Row],[Ticket Priority]]="High",48,
IF(Tickets[[#This Row],[Ticket Priority]]="Medium",120,168)))</f>
        <v>120</v>
      </c>
      <c r="P343" t="str">
        <f>IF(Tickets[[#This Row],[Resolution Duration Hours]] &lt;= Tickets[[#This Row],[SLA_Target_Hours]], "Yes", "No")</f>
        <v>Yes</v>
      </c>
    </row>
    <row r="344" spans="1:16" hidden="1">
      <c r="A344">
        <v>343</v>
      </c>
      <c r="B344" t="s">
        <v>356</v>
      </c>
      <c r="C344" t="s">
        <v>2326</v>
      </c>
      <c r="D344" t="s">
        <v>3994</v>
      </c>
      <c r="E344" s="1">
        <v>44891</v>
      </c>
      <c r="F344" t="s">
        <v>3999</v>
      </c>
      <c r="G344" t="s">
        <v>4012</v>
      </c>
      <c r="H344" t="s">
        <v>4017</v>
      </c>
      <c r="I344" t="s">
        <v>4023</v>
      </c>
      <c r="J344" t="s">
        <v>4028</v>
      </c>
      <c r="K344" s="2">
        <v>45198</v>
      </c>
      <c r="L344" s="2">
        <v>45203</v>
      </c>
      <c r="N344">
        <v>120</v>
      </c>
      <c r="O344">
        <f>IF(Tickets[[#This Row],[Ticket Priority]]="Critical",24,
IF(Tickets[[#This Row],[Ticket Priority]]="High",48,
IF(Tickets[[#This Row],[Ticket Priority]]="Medium",120,168)))</f>
        <v>120</v>
      </c>
      <c r="P344" t="str">
        <f>IF(Tickets[[#This Row],[Resolution Duration Hours]] &lt;= Tickets[[#This Row],[SLA_Target_Hours]], "Yes", "No")</f>
        <v>Yes</v>
      </c>
    </row>
    <row r="345" spans="1:16" hidden="1">
      <c r="A345">
        <v>344</v>
      </c>
      <c r="B345" t="s">
        <v>357</v>
      </c>
      <c r="C345" t="s">
        <v>2327</v>
      </c>
      <c r="D345" t="s">
        <v>3995</v>
      </c>
      <c r="E345" s="1">
        <v>44540</v>
      </c>
      <c r="F345" t="s">
        <v>4002</v>
      </c>
      <c r="G345" t="s">
        <v>4013</v>
      </c>
      <c r="H345" t="s">
        <v>4018</v>
      </c>
      <c r="I345" t="s">
        <v>4022</v>
      </c>
      <c r="J345" t="s">
        <v>4025</v>
      </c>
      <c r="K345" s="2">
        <v>44747</v>
      </c>
      <c r="L345" s="2">
        <v>44748</v>
      </c>
      <c r="M345">
        <v>4</v>
      </c>
      <c r="N345">
        <v>24</v>
      </c>
      <c r="O345">
        <f>IF(Tickets[[#This Row],[Ticket Priority]]="Critical",24,
IF(Tickets[[#This Row],[Ticket Priority]]="High",48,
IF(Tickets[[#This Row],[Ticket Priority]]="Medium",120,168)))</f>
        <v>24</v>
      </c>
      <c r="P345" t="str">
        <f>IF(Tickets[[#This Row],[Resolution Duration Hours]] &lt;= Tickets[[#This Row],[SLA_Target_Hours]], "Yes", "No")</f>
        <v>Yes</v>
      </c>
    </row>
    <row r="346" spans="1:16" hidden="1">
      <c r="A346">
        <v>345</v>
      </c>
      <c r="B346" t="s">
        <v>358</v>
      </c>
      <c r="C346" t="s">
        <v>2328</v>
      </c>
      <c r="D346" t="s">
        <v>3992</v>
      </c>
      <c r="E346" s="1">
        <v>43975</v>
      </c>
      <c r="F346" t="s">
        <v>4000</v>
      </c>
      <c r="G346" t="s">
        <v>4014</v>
      </c>
      <c r="H346" t="s">
        <v>4018</v>
      </c>
      <c r="I346" t="s">
        <v>4023</v>
      </c>
      <c r="J346" t="s">
        <v>4026</v>
      </c>
      <c r="K346" s="2">
        <v>44318</v>
      </c>
      <c r="L346" s="2">
        <v>44321</v>
      </c>
      <c r="M346">
        <v>4</v>
      </c>
      <c r="N346">
        <v>72</v>
      </c>
      <c r="O346">
        <f>IF(Tickets[[#This Row],[Ticket Priority]]="Critical",24,
IF(Tickets[[#This Row],[Ticket Priority]]="High",48,
IF(Tickets[[#This Row],[Ticket Priority]]="Medium",120,168)))</f>
        <v>120</v>
      </c>
      <c r="P346" t="str">
        <f>IF(Tickets[[#This Row],[Resolution Duration Hours]] &lt;= Tickets[[#This Row],[SLA_Target_Hours]], "Yes", "No")</f>
        <v>Yes</v>
      </c>
    </row>
    <row r="347" spans="1:16" hidden="1">
      <c r="A347">
        <v>346</v>
      </c>
      <c r="B347" t="s">
        <v>359</v>
      </c>
      <c r="C347" t="s">
        <v>2329</v>
      </c>
      <c r="D347" t="s">
        <v>3991</v>
      </c>
      <c r="E347" s="1">
        <v>44917</v>
      </c>
      <c r="F347" t="s">
        <v>4000</v>
      </c>
      <c r="G347" t="s">
        <v>4008</v>
      </c>
      <c r="H347" t="s">
        <v>4018</v>
      </c>
      <c r="I347" t="s">
        <v>4024</v>
      </c>
      <c r="J347" t="s">
        <v>4027</v>
      </c>
      <c r="K347" s="2">
        <v>45010</v>
      </c>
      <c r="L347" s="2">
        <v>45015</v>
      </c>
      <c r="N347">
        <v>120</v>
      </c>
      <c r="O347">
        <f>IF(Tickets[[#This Row],[Ticket Priority]]="Critical",24,
IF(Tickets[[#This Row],[Ticket Priority]]="High",48,
IF(Tickets[[#This Row],[Ticket Priority]]="Medium",120,168)))</f>
        <v>168</v>
      </c>
      <c r="P347" t="str">
        <f>IF(Tickets[[#This Row],[Resolution Duration Hours]] &lt;= Tickets[[#This Row],[SLA_Target_Hours]], "Yes", "No")</f>
        <v>Yes</v>
      </c>
    </row>
    <row r="348" spans="1:16" hidden="1">
      <c r="A348">
        <v>347</v>
      </c>
      <c r="B348" t="s">
        <v>360</v>
      </c>
      <c r="C348" t="s">
        <v>2330</v>
      </c>
      <c r="D348" t="s">
        <v>3981</v>
      </c>
      <c r="E348" s="1">
        <v>44753</v>
      </c>
      <c r="F348" t="s">
        <v>3998</v>
      </c>
      <c r="G348" t="s">
        <v>4009</v>
      </c>
      <c r="H348" t="s">
        <v>4017</v>
      </c>
      <c r="I348" t="s">
        <v>4023</v>
      </c>
      <c r="J348" t="s">
        <v>4028</v>
      </c>
      <c r="K348" s="2">
        <v>44886</v>
      </c>
      <c r="L348" s="2">
        <v>44890</v>
      </c>
      <c r="N348">
        <v>96</v>
      </c>
      <c r="O348">
        <f>IF(Tickets[[#This Row],[Ticket Priority]]="Critical",24,
IF(Tickets[[#This Row],[Ticket Priority]]="High",48,
IF(Tickets[[#This Row],[Ticket Priority]]="Medium",120,168)))</f>
        <v>120</v>
      </c>
      <c r="P348" t="str">
        <f>IF(Tickets[[#This Row],[Resolution Duration Hours]] &lt;= Tickets[[#This Row],[SLA_Target_Hours]], "Yes", "No")</f>
        <v>Yes</v>
      </c>
    </row>
    <row r="349" spans="1:16" hidden="1">
      <c r="A349">
        <v>348</v>
      </c>
      <c r="B349" t="s">
        <v>361</v>
      </c>
      <c r="C349" t="s">
        <v>2331</v>
      </c>
      <c r="D349" t="s">
        <v>3988</v>
      </c>
      <c r="E349" s="1">
        <v>43941</v>
      </c>
      <c r="F349" t="s">
        <v>4002</v>
      </c>
      <c r="G349" t="s">
        <v>4014</v>
      </c>
      <c r="H349" t="s">
        <v>4018</v>
      </c>
      <c r="I349" t="s">
        <v>4023</v>
      </c>
      <c r="J349" t="s">
        <v>4026</v>
      </c>
      <c r="K349" s="2">
        <v>44182</v>
      </c>
      <c r="L349" s="2">
        <v>44185</v>
      </c>
      <c r="N349">
        <v>72</v>
      </c>
      <c r="O349">
        <f>IF(Tickets[[#This Row],[Ticket Priority]]="Critical",24,
IF(Tickets[[#This Row],[Ticket Priority]]="High",48,
IF(Tickets[[#This Row],[Ticket Priority]]="Medium",120,168)))</f>
        <v>120</v>
      </c>
      <c r="P349" t="str">
        <f>IF(Tickets[[#This Row],[Resolution Duration Hours]] &lt;= Tickets[[#This Row],[SLA_Target_Hours]], "Yes", "No")</f>
        <v>Yes</v>
      </c>
    </row>
    <row r="350" spans="1:16" hidden="1">
      <c r="A350">
        <v>349</v>
      </c>
      <c r="B350" t="s">
        <v>362</v>
      </c>
      <c r="C350" t="s">
        <v>2332</v>
      </c>
      <c r="D350" t="s">
        <v>3983</v>
      </c>
      <c r="E350" s="1">
        <v>44425</v>
      </c>
      <c r="F350" t="s">
        <v>4002</v>
      </c>
      <c r="G350" t="s">
        <v>4008</v>
      </c>
      <c r="H350" t="s">
        <v>4017</v>
      </c>
      <c r="I350" t="s">
        <v>4024</v>
      </c>
      <c r="J350" t="s">
        <v>4027</v>
      </c>
      <c r="K350" s="2">
        <v>44635</v>
      </c>
      <c r="L350" s="2">
        <v>44642</v>
      </c>
      <c r="N350">
        <v>168</v>
      </c>
      <c r="O350">
        <f>IF(Tickets[[#This Row],[Ticket Priority]]="Critical",24,
IF(Tickets[[#This Row],[Ticket Priority]]="High",48,
IF(Tickets[[#This Row],[Ticket Priority]]="Medium",120,168)))</f>
        <v>168</v>
      </c>
      <c r="P350" t="str">
        <f>IF(Tickets[[#This Row],[Resolution Duration Hours]] &lt;= Tickets[[#This Row],[SLA_Target_Hours]], "Yes", "No")</f>
        <v>Yes</v>
      </c>
    </row>
    <row r="351" spans="1:16">
      <c r="A351">
        <v>1483</v>
      </c>
      <c r="B351" t="s">
        <v>1482</v>
      </c>
      <c r="C351" t="s">
        <v>3463</v>
      </c>
      <c r="D351" t="s">
        <v>3990</v>
      </c>
      <c r="E351" s="1">
        <v>45076</v>
      </c>
      <c r="F351" t="s">
        <v>3999</v>
      </c>
      <c r="G351" t="s">
        <v>4013</v>
      </c>
      <c r="H351" t="s">
        <v>4018</v>
      </c>
      <c r="I351" t="s">
        <v>4024</v>
      </c>
      <c r="J351" t="s">
        <v>4026</v>
      </c>
      <c r="K351" s="2">
        <v>45156</v>
      </c>
      <c r="L351" s="2">
        <v>45167</v>
      </c>
      <c r="M351">
        <v>4</v>
      </c>
      <c r="N351">
        <v>264</v>
      </c>
      <c r="O351">
        <f>IF(Tickets[[#This Row],[Ticket Priority]]="Critical",24,
IF(Tickets[[#This Row],[Ticket Priority]]="High",48,
IF(Tickets[[#This Row],[Ticket Priority]]="Medium",120,168)))</f>
        <v>168</v>
      </c>
      <c r="P351" t="str">
        <f>IF(Tickets[[#This Row],[Resolution Duration Hours]] &lt;= Tickets[[#This Row],[SLA_Target_Hours]], "Yes", "No")</f>
        <v>No</v>
      </c>
    </row>
    <row r="352" spans="1:16" hidden="1">
      <c r="A352">
        <v>351</v>
      </c>
      <c r="B352" t="s">
        <v>364</v>
      </c>
      <c r="C352" t="s">
        <v>2334</v>
      </c>
      <c r="D352" t="s">
        <v>3982</v>
      </c>
      <c r="E352" s="1">
        <v>44168</v>
      </c>
      <c r="F352" t="s">
        <v>4000</v>
      </c>
      <c r="G352" t="s">
        <v>4000</v>
      </c>
      <c r="H352" t="s">
        <v>4017</v>
      </c>
      <c r="I352" t="s">
        <v>4023</v>
      </c>
      <c r="J352" t="s">
        <v>4028</v>
      </c>
      <c r="K352" s="2">
        <v>44463</v>
      </c>
      <c r="L352" s="2">
        <v>44468</v>
      </c>
      <c r="N352">
        <v>120</v>
      </c>
      <c r="O352">
        <f>IF(Tickets[[#This Row],[Ticket Priority]]="Critical",24,
IF(Tickets[[#This Row],[Ticket Priority]]="High",48,
IF(Tickets[[#This Row],[Ticket Priority]]="Medium",120,168)))</f>
        <v>120</v>
      </c>
      <c r="P352" t="str">
        <f>IF(Tickets[[#This Row],[Resolution Duration Hours]] &lt;= Tickets[[#This Row],[SLA_Target_Hours]], "Yes", "No")</f>
        <v>Yes</v>
      </c>
    </row>
    <row r="353" spans="1:16" hidden="1">
      <c r="A353">
        <v>352</v>
      </c>
      <c r="B353" t="s">
        <v>365</v>
      </c>
      <c r="C353" t="s">
        <v>2335</v>
      </c>
      <c r="D353" t="s">
        <v>3995</v>
      </c>
      <c r="E353" s="1">
        <v>45059</v>
      </c>
      <c r="F353" t="s">
        <v>3998</v>
      </c>
      <c r="G353" t="s">
        <v>4005</v>
      </c>
      <c r="H353" t="s">
        <v>4017</v>
      </c>
      <c r="I353" t="s">
        <v>4022</v>
      </c>
      <c r="J353" t="s">
        <v>4026</v>
      </c>
      <c r="K353" s="2">
        <v>45303</v>
      </c>
      <c r="L353" s="2">
        <v>45303</v>
      </c>
      <c r="N353">
        <v>0</v>
      </c>
      <c r="O353">
        <f>IF(Tickets[[#This Row],[Ticket Priority]]="Critical",24,
IF(Tickets[[#This Row],[Ticket Priority]]="High",48,
IF(Tickets[[#This Row],[Ticket Priority]]="Medium",120,168)))</f>
        <v>24</v>
      </c>
      <c r="P353" t="str">
        <f>IF(Tickets[[#This Row],[Resolution Duration Hours]] &lt;= Tickets[[#This Row],[SLA_Target_Hours]], "Yes", "No")</f>
        <v>Yes</v>
      </c>
    </row>
    <row r="354" spans="1:16">
      <c r="A354">
        <v>1519</v>
      </c>
      <c r="B354" t="s">
        <v>1510</v>
      </c>
      <c r="C354" t="s">
        <v>3499</v>
      </c>
      <c r="D354" t="s">
        <v>3985</v>
      </c>
      <c r="E354" s="1">
        <v>44275</v>
      </c>
      <c r="F354" t="s">
        <v>3999</v>
      </c>
      <c r="G354" t="s">
        <v>4009</v>
      </c>
      <c r="H354" t="s">
        <v>4018</v>
      </c>
      <c r="I354" t="s">
        <v>4024</v>
      </c>
      <c r="J354" t="s">
        <v>4028</v>
      </c>
      <c r="K354" s="2">
        <v>44361</v>
      </c>
      <c r="L354" s="2">
        <v>44372</v>
      </c>
      <c r="M354">
        <v>4</v>
      </c>
      <c r="N354">
        <v>264</v>
      </c>
      <c r="O354">
        <f>IF(Tickets[[#This Row],[Ticket Priority]]="Critical",24,
IF(Tickets[[#This Row],[Ticket Priority]]="High",48,
IF(Tickets[[#This Row],[Ticket Priority]]="Medium",120,168)))</f>
        <v>168</v>
      </c>
      <c r="P354" t="str">
        <f>IF(Tickets[[#This Row],[Resolution Duration Hours]] &lt;= Tickets[[#This Row],[SLA_Target_Hours]], "Yes", "No")</f>
        <v>No</v>
      </c>
    </row>
    <row r="355" spans="1:16" hidden="1">
      <c r="A355">
        <v>354</v>
      </c>
      <c r="B355" t="s">
        <v>367</v>
      </c>
      <c r="C355" t="s">
        <v>2337</v>
      </c>
      <c r="D355" t="s">
        <v>3988</v>
      </c>
      <c r="E355" s="1">
        <v>44599</v>
      </c>
      <c r="F355" t="s">
        <v>4002</v>
      </c>
      <c r="G355" t="s">
        <v>4007</v>
      </c>
      <c r="H355" t="s">
        <v>4018</v>
      </c>
      <c r="I355" t="s">
        <v>4023</v>
      </c>
      <c r="J355" t="s">
        <v>4027</v>
      </c>
      <c r="K355" s="2">
        <v>44622</v>
      </c>
      <c r="L355" s="2">
        <v>44622</v>
      </c>
      <c r="N355">
        <v>0</v>
      </c>
      <c r="O355">
        <f>IF(Tickets[[#This Row],[Ticket Priority]]="Critical",24,
IF(Tickets[[#This Row],[Ticket Priority]]="High",48,
IF(Tickets[[#This Row],[Ticket Priority]]="Medium",120,168)))</f>
        <v>120</v>
      </c>
      <c r="P355" t="str">
        <f>IF(Tickets[[#This Row],[Resolution Duration Hours]] &lt;= Tickets[[#This Row],[SLA_Target_Hours]], "Yes", "No")</f>
        <v>Yes</v>
      </c>
    </row>
    <row r="356" spans="1:16" hidden="1">
      <c r="A356">
        <v>355</v>
      </c>
      <c r="B356" t="s">
        <v>368</v>
      </c>
      <c r="C356" t="s">
        <v>2338</v>
      </c>
      <c r="D356" t="s">
        <v>3992</v>
      </c>
      <c r="E356" s="1">
        <v>44322</v>
      </c>
      <c r="F356" t="s">
        <v>4002</v>
      </c>
      <c r="G356" t="s">
        <v>4005</v>
      </c>
      <c r="H356" t="s">
        <v>4017</v>
      </c>
      <c r="I356" t="s">
        <v>4021</v>
      </c>
      <c r="J356" t="s">
        <v>4026</v>
      </c>
      <c r="K356" s="2">
        <v>44505</v>
      </c>
      <c r="L356" s="2">
        <v>44506</v>
      </c>
      <c r="N356">
        <v>24</v>
      </c>
      <c r="O356">
        <f>IF(Tickets[[#This Row],[Ticket Priority]]="Critical",24,
IF(Tickets[[#This Row],[Ticket Priority]]="High",48,
IF(Tickets[[#This Row],[Ticket Priority]]="Medium",120,168)))</f>
        <v>48</v>
      </c>
      <c r="P356" t="str">
        <f>IF(Tickets[[#This Row],[Resolution Duration Hours]] &lt;= Tickets[[#This Row],[SLA_Target_Hours]], "Yes", "No")</f>
        <v>Yes</v>
      </c>
    </row>
    <row r="357" spans="1:16" hidden="1">
      <c r="A357">
        <v>356</v>
      </c>
      <c r="B357" t="s">
        <v>369</v>
      </c>
      <c r="C357" t="s">
        <v>2339</v>
      </c>
      <c r="D357" t="s">
        <v>3987</v>
      </c>
      <c r="E357" s="1">
        <v>43856</v>
      </c>
      <c r="F357" t="s">
        <v>3998</v>
      </c>
      <c r="G357" t="s">
        <v>4009</v>
      </c>
      <c r="H357" t="s">
        <v>4018</v>
      </c>
      <c r="I357" t="s">
        <v>4021</v>
      </c>
      <c r="J357" t="s">
        <v>4028</v>
      </c>
      <c r="K357" s="2">
        <v>44157</v>
      </c>
      <c r="L357" s="2">
        <v>44157</v>
      </c>
      <c r="M357">
        <v>4</v>
      </c>
      <c r="N357">
        <v>0</v>
      </c>
      <c r="O357">
        <f>IF(Tickets[[#This Row],[Ticket Priority]]="Critical",24,
IF(Tickets[[#This Row],[Ticket Priority]]="High",48,
IF(Tickets[[#This Row],[Ticket Priority]]="Medium",120,168)))</f>
        <v>48</v>
      </c>
      <c r="P357" t="str">
        <f>IF(Tickets[[#This Row],[Resolution Duration Hours]] &lt;= Tickets[[#This Row],[SLA_Target_Hours]], "Yes", "No")</f>
        <v>Yes</v>
      </c>
    </row>
    <row r="358" spans="1:16" hidden="1">
      <c r="A358">
        <v>357</v>
      </c>
      <c r="B358" t="s">
        <v>370</v>
      </c>
      <c r="C358" t="s">
        <v>2340</v>
      </c>
      <c r="D358" t="s">
        <v>3994</v>
      </c>
      <c r="E358" s="1">
        <v>44807</v>
      </c>
      <c r="F358" t="s">
        <v>4001</v>
      </c>
      <c r="G358" t="s">
        <v>4004</v>
      </c>
      <c r="H358" t="s">
        <v>4017</v>
      </c>
      <c r="I358" t="s">
        <v>4024</v>
      </c>
      <c r="J358" t="s">
        <v>4026</v>
      </c>
      <c r="K358" s="2">
        <v>45145</v>
      </c>
      <c r="L358" s="2">
        <v>45152</v>
      </c>
      <c r="N358">
        <v>168</v>
      </c>
      <c r="O358">
        <f>IF(Tickets[[#This Row],[Ticket Priority]]="Critical",24,
IF(Tickets[[#This Row],[Ticket Priority]]="High",48,
IF(Tickets[[#This Row],[Ticket Priority]]="Medium",120,168)))</f>
        <v>168</v>
      </c>
      <c r="P358" t="str">
        <f>IF(Tickets[[#This Row],[Resolution Duration Hours]] &lt;= Tickets[[#This Row],[SLA_Target_Hours]], "Yes", "No")</f>
        <v>Yes</v>
      </c>
    </row>
    <row r="359" spans="1:16">
      <c r="A359">
        <v>1540</v>
      </c>
      <c r="B359" t="s">
        <v>1536</v>
      </c>
      <c r="C359" t="s">
        <v>3520</v>
      </c>
      <c r="D359" t="s">
        <v>3988</v>
      </c>
      <c r="E359" s="1">
        <v>44064</v>
      </c>
      <c r="F359" t="s">
        <v>4000</v>
      </c>
      <c r="G359" t="s">
        <v>4004</v>
      </c>
      <c r="H359" t="s">
        <v>4018</v>
      </c>
      <c r="I359" t="s">
        <v>4024</v>
      </c>
      <c r="J359" t="s">
        <v>4026</v>
      </c>
      <c r="K359" s="2">
        <v>44321</v>
      </c>
      <c r="L359" s="2">
        <v>44332</v>
      </c>
      <c r="M359">
        <v>3</v>
      </c>
      <c r="N359">
        <v>264</v>
      </c>
      <c r="O359">
        <f>IF(Tickets[[#This Row],[Ticket Priority]]="Critical",24,
IF(Tickets[[#This Row],[Ticket Priority]]="High",48,
IF(Tickets[[#This Row],[Ticket Priority]]="Medium",120,168)))</f>
        <v>168</v>
      </c>
      <c r="P359" t="str">
        <f>IF(Tickets[[#This Row],[Resolution Duration Hours]] &lt;= Tickets[[#This Row],[SLA_Target_Hours]], "Yes", "No")</f>
        <v>No</v>
      </c>
    </row>
    <row r="360" spans="1:16" hidden="1">
      <c r="A360">
        <v>359</v>
      </c>
      <c r="B360" t="s">
        <v>372</v>
      </c>
      <c r="C360" t="s">
        <v>2342</v>
      </c>
      <c r="D360" t="s">
        <v>3997</v>
      </c>
      <c r="E360" s="1">
        <v>44437</v>
      </c>
      <c r="F360" t="s">
        <v>3999</v>
      </c>
      <c r="G360" t="s">
        <v>4003</v>
      </c>
      <c r="H360" t="s">
        <v>4018</v>
      </c>
      <c r="I360" t="s">
        <v>4024</v>
      </c>
      <c r="J360" t="s">
        <v>4028</v>
      </c>
      <c r="K360" s="2">
        <v>44575</v>
      </c>
      <c r="L360" s="2">
        <v>44582</v>
      </c>
      <c r="M360">
        <v>4</v>
      </c>
      <c r="N360">
        <v>168</v>
      </c>
      <c r="O360">
        <f>IF(Tickets[[#This Row],[Ticket Priority]]="Critical",24,
IF(Tickets[[#This Row],[Ticket Priority]]="High",48,
IF(Tickets[[#This Row],[Ticket Priority]]="Medium",120,168)))</f>
        <v>168</v>
      </c>
      <c r="P360" t="str">
        <f>IF(Tickets[[#This Row],[Resolution Duration Hours]] &lt;= Tickets[[#This Row],[SLA_Target_Hours]], "Yes", "No")</f>
        <v>Yes</v>
      </c>
    </row>
    <row r="361" spans="1:16">
      <c r="A361">
        <v>1567</v>
      </c>
      <c r="B361" t="s">
        <v>1563</v>
      </c>
      <c r="C361" t="s">
        <v>3547</v>
      </c>
      <c r="D361" t="s">
        <v>3986</v>
      </c>
      <c r="E361" s="1">
        <v>44283</v>
      </c>
      <c r="F361" t="s">
        <v>4002</v>
      </c>
      <c r="G361" t="s">
        <v>4016</v>
      </c>
      <c r="H361" t="s">
        <v>4018</v>
      </c>
      <c r="I361" t="s">
        <v>4024</v>
      </c>
      <c r="J361" t="s">
        <v>4026</v>
      </c>
      <c r="K361" s="2">
        <v>44304</v>
      </c>
      <c r="L361" s="2">
        <v>44315</v>
      </c>
      <c r="N361">
        <v>264</v>
      </c>
      <c r="O361">
        <f>IF(Tickets[[#This Row],[Ticket Priority]]="Critical",24,
IF(Tickets[[#This Row],[Ticket Priority]]="High",48,
IF(Tickets[[#This Row],[Ticket Priority]]="Medium",120,168)))</f>
        <v>168</v>
      </c>
      <c r="P361" t="str">
        <f>IF(Tickets[[#This Row],[Resolution Duration Hours]] &lt;= Tickets[[#This Row],[SLA_Target_Hours]], "Yes", "No")</f>
        <v>No</v>
      </c>
    </row>
    <row r="362" spans="1:16">
      <c r="A362">
        <v>1583</v>
      </c>
      <c r="B362" t="s">
        <v>1579</v>
      </c>
      <c r="C362" t="s">
        <v>3562</v>
      </c>
      <c r="D362" t="s">
        <v>3979</v>
      </c>
      <c r="E362" s="1">
        <v>44981</v>
      </c>
      <c r="F362" t="s">
        <v>4002</v>
      </c>
      <c r="G362" t="s">
        <v>4007</v>
      </c>
      <c r="H362" t="s">
        <v>4020</v>
      </c>
      <c r="I362" t="s">
        <v>4024</v>
      </c>
      <c r="J362" t="s">
        <v>4026</v>
      </c>
      <c r="K362" s="2">
        <v>45046</v>
      </c>
      <c r="L362" s="2">
        <v>45057</v>
      </c>
      <c r="N362">
        <v>264</v>
      </c>
      <c r="O362">
        <f>IF(Tickets[[#This Row],[Ticket Priority]]="Critical",24,
IF(Tickets[[#This Row],[Ticket Priority]]="High",48,
IF(Tickets[[#This Row],[Ticket Priority]]="Medium",120,168)))</f>
        <v>168</v>
      </c>
      <c r="P362" t="str">
        <f>IF(Tickets[[#This Row],[Resolution Duration Hours]] &lt;= Tickets[[#This Row],[SLA_Target_Hours]], "Yes", "No")</f>
        <v>No</v>
      </c>
    </row>
    <row r="363" spans="1:16" hidden="1">
      <c r="A363">
        <v>362</v>
      </c>
      <c r="B363" t="s">
        <v>375</v>
      </c>
      <c r="C363" t="s">
        <v>2345</v>
      </c>
      <c r="D363" t="s">
        <v>3997</v>
      </c>
      <c r="E363" s="1">
        <v>45047</v>
      </c>
      <c r="F363" t="s">
        <v>4000</v>
      </c>
      <c r="G363" t="s">
        <v>4010</v>
      </c>
      <c r="H363" t="s">
        <v>4019</v>
      </c>
      <c r="I363" t="s">
        <v>4021</v>
      </c>
      <c r="J363" t="s">
        <v>4026</v>
      </c>
      <c r="K363" s="2">
        <v>45085</v>
      </c>
      <c r="L363" s="2">
        <v>45087</v>
      </c>
      <c r="M363">
        <v>3</v>
      </c>
      <c r="N363">
        <v>48</v>
      </c>
      <c r="O363">
        <f>IF(Tickets[[#This Row],[Ticket Priority]]="Critical",24,
IF(Tickets[[#This Row],[Ticket Priority]]="High",48,
IF(Tickets[[#This Row],[Ticket Priority]]="Medium",120,168)))</f>
        <v>48</v>
      </c>
      <c r="P363" t="str">
        <f>IF(Tickets[[#This Row],[Resolution Duration Hours]] &lt;= Tickets[[#This Row],[SLA_Target_Hours]], "Yes", "No")</f>
        <v>Yes</v>
      </c>
    </row>
    <row r="364" spans="1:16" hidden="1">
      <c r="A364">
        <v>363</v>
      </c>
      <c r="B364" t="s">
        <v>376</v>
      </c>
      <c r="C364" t="s">
        <v>2346</v>
      </c>
      <c r="D364" t="s">
        <v>3982</v>
      </c>
      <c r="E364" s="1">
        <v>44497</v>
      </c>
      <c r="F364" t="s">
        <v>4001</v>
      </c>
      <c r="G364" t="s">
        <v>4010</v>
      </c>
      <c r="H364" t="s">
        <v>4018</v>
      </c>
      <c r="I364" t="s">
        <v>4023</v>
      </c>
      <c r="J364" t="s">
        <v>4027</v>
      </c>
      <c r="K364" s="2">
        <v>44517</v>
      </c>
      <c r="L364" s="2">
        <v>44522</v>
      </c>
      <c r="N364">
        <v>120</v>
      </c>
      <c r="O364">
        <f>IF(Tickets[[#This Row],[Ticket Priority]]="Critical",24,
IF(Tickets[[#This Row],[Ticket Priority]]="High",48,
IF(Tickets[[#This Row],[Ticket Priority]]="Medium",120,168)))</f>
        <v>120</v>
      </c>
      <c r="P364" t="str">
        <f>IF(Tickets[[#This Row],[Resolution Duration Hours]] &lt;= Tickets[[#This Row],[SLA_Target_Hours]], "Yes", "No")</f>
        <v>Yes</v>
      </c>
    </row>
    <row r="365" spans="1:16" hidden="1">
      <c r="A365">
        <v>364</v>
      </c>
      <c r="B365" t="s">
        <v>377</v>
      </c>
      <c r="C365" t="s">
        <v>2347</v>
      </c>
      <c r="D365" t="s">
        <v>3982</v>
      </c>
      <c r="E365" s="1">
        <v>44607</v>
      </c>
      <c r="F365" t="s">
        <v>4002</v>
      </c>
      <c r="G365" t="s">
        <v>4003</v>
      </c>
      <c r="H365" t="s">
        <v>4018</v>
      </c>
      <c r="I365" t="s">
        <v>4023</v>
      </c>
      <c r="J365" t="s">
        <v>4025</v>
      </c>
      <c r="K365" s="2">
        <v>44775</v>
      </c>
      <c r="L365" s="2">
        <v>44779</v>
      </c>
      <c r="M365">
        <v>4</v>
      </c>
      <c r="N365">
        <v>96</v>
      </c>
      <c r="O365">
        <f>IF(Tickets[[#This Row],[Ticket Priority]]="Critical",24,
IF(Tickets[[#This Row],[Ticket Priority]]="High",48,
IF(Tickets[[#This Row],[Ticket Priority]]="Medium",120,168)))</f>
        <v>120</v>
      </c>
      <c r="P365" t="str">
        <f>IF(Tickets[[#This Row],[Resolution Duration Hours]] &lt;= Tickets[[#This Row],[SLA_Target_Hours]], "Yes", "No")</f>
        <v>Yes</v>
      </c>
    </row>
    <row r="366" spans="1:16">
      <c r="A366">
        <v>1586</v>
      </c>
      <c r="B366" t="s">
        <v>1582</v>
      </c>
      <c r="C366" t="s">
        <v>3565</v>
      </c>
      <c r="D366" t="s">
        <v>3980</v>
      </c>
      <c r="E366" s="1">
        <v>44187</v>
      </c>
      <c r="F366" t="s">
        <v>3998</v>
      </c>
      <c r="G366" t="s">
        <v>4016</v>
      </c>
      <c r="H366" t="s">
        <v>4020</v>
      </c>
      <c r="I366" t="s">
        <v>4024</v>
      </c>
      <c r="J366" t="s">
        <v>4028</v>
      </c>
      <c r="K366" s="2">
        <v>44242</v>
      </c>
      <c r="L366" s="2">
        <v>44253</v>
      </c>
      <c r="N366">
        <v>264</v>
      </c>
      <c r="O366">
        <f>IF(Tickets[[#This Row],[Ticket Priority]]="Critical",24,
IF(Tickets[[#This Row],[Ticket Priority]]="High",48,
IF(Tickets[[#This Row],[Ticket Priority]]="Medium",120,168)))</f>
        <v>168</v>
      </c>
      <c r="P366" t="str">
        <f>IF(Tickets[[#This Row],[Resolution Duration Hours]] &lt;= Tickets[[#This Row],[SLA_Target_Hours]], "Yes", "No")</f>
        <v>No</v>
      </c>
    </row>
    <row r="367" spans="1:16">
      <c r="A367">
        <v>1695</v>
      </c>
      <c r="B367" t="s">
        <v>1690</v>
      </c>
      <c r="C367" t="s">
        <v>3674</v>
      </c>
      <c r="D367" t="s">
        <v>3985</v>
      </c>
      <c r="E367" s="1">
        <v>44519</v>
      </c>
      <c r="F367" t="s">
        <v>4001</v>
      </c>
      <c r="G367" t="s">
        <v>4000</v>
      </c>
      <c r="H367" t="s">
        <v>4018</v>
      </c>
      <c r="I367" t="s">
        <v>4024</v>
      </c>
      <c r="J367" t="s">
        <v>4026</v>
      </c>
      <c r="K367" s="2">
        <v>44822</v>
      </c>
      <c r="L367" s="2">
        <v>44833</v>
      </c>
      <c r="M367">
        <v>4</v>
      </c>
      <c r="N367">
        <v>264</v>
      </c>
      <c r="O367">
        <f>IF(Tickets[[#This Row],[Ticket Priority]]="Critical",24,
IF(Tickets[[#This Row],[Ticket Priority]]="High",48,
IF(Tickets[[#This Row],[Ticket Priority]]="Medium",120,168)))</f>
        <v>168</v>
      </c>
      <c r="P367" t="str">
        <f>IF(Tickets[[#This Row],[Resolution Duration Hours]] &lt;= Tickets[[#This Row],[SLA_Target_Hours]], "Yes", "No")</f>
        <v>No</v>
      </c>
    </row>
    <row r="368" spans="1:16" hidden="1">
      <c r="A368">
        <v>367</v>
      </c>
      <c r="B368" t="s">
        <v>380</v>
      </c>
      <c r="C368" t="s">
        <v>2350</v>
      </c>
      <c r="D368" t="s">
        <v>3985</v>
      </c>
      <c r="E368" s="1">
        <v>44949</v>
      </c>
      <c r="F368" t="s">
        <v>3999</v>
      </c>
      <c r="G368" t="s">
        <v>4010</v>
      </c>
      <c r="H368" t="s">
        <v>4017</v>
      </c>
      <c r="I368" t="s">
        <v>4021</v>
      </c>
      <c r="J368" t="s">
        <v>4026</v>
      </c>
      <c r="K368" s="2">
        <v>45196</v>
      </c>
      <c r="L368" s="2">
        <v>45198</v>
      </c>
      <c r="N368">
        <v>48</v>
      </c>
      <c r="O368">
        <f>IF(Tickets[[#This Row],[Ticket Priority]]="Critical",24,
IF(Tickets[[#This Row],[Ticket Priority]]="High",48,
IF(Tickets[[#This Row],[Ticket Priority]]="Medium",120,168)))</f>
        <v>48</v>
      </c>
      <c r="P368" t="str">
        <f>IF(Tickets[[#This Row],[Resolution Duration Hours]] &lt;= Tickets[[#This Row],[SLA_Target_Hours]], "Yes", "No")</f>
        <v>Yes</v>
      </c>
    </row>
    <row r="369" spans="1:16" hidden="1">
      <c r="A369">
        <v>368</v>
      </c>
      <c r="B369" t="s">
        <v>381</v>
      </c>
      <c r="C369" t="s">
        <v>2351</v>
      </c>
      <c r="D369" t="s">
        <v>3997</v>
      </c>
      <c r="E369" s="1">
        <v>44177</v>
      </c>
      <c r="F369" t="s">
        <v>3998</v>
      </c>
      <c r="G369" t="s">
        <v>4003</v>
      </c>
      <c r="H369" t="s">
        <v>4018</v>
      </c>
      <c r="I369" t="s">
        <v>4021</v>
      </c>
      <c r="J369" t="s">
        <v>4028</v>
      </c>
      <c r="K369" s="2">
        <v>44472</v>
      </c>
      <c r="L369" s="2">
        <v>44473</v>
      </c>
      <c r="M369">
        <v>3</v>
      </c>
      <c r="N369">
        <v>24</v>
      </c>
      <c r="O369">
        <f>IF(Tickets[[#This Row],[Ticket Priority]]="Critical",24,
IF(Tickets[[#This Row],[Ticket Priority]]="High",48,
IF(Tickets[[#This Row],[Ticket Priority]]="Medium",120,168)))</f>
        <v>48</v>
      </c>
      <c r="P369" t="str">
        <f>IF(Tickets[[#This Row],[Resolution Duration Hours]] &lt;= Tickets[[#This Row],[SLA_Target_Hours]], "Yes", "No")</f>
        <v>Yes</v>
      </c>
    </row>
    <row r="370" spans="1:16">
      <c r="A370">
        <v>1759</v>
      </c>
      <c r="B370" t="s">
        <v>1752</v>
      </c>
      <c r="C370" t="s">
        <v>3738</v>
      </c>
      <c r="D370" t="s">
        <v>3990</v>
      </c>
      <c r="E370" s="1">
        <v>44806</v>
      </c>
      <c r="F370" t="s">
        <v>3998</v>
      </c>
      <c r="G370" t="s">
        <v>4006</v>
      </c>
      <c r="H370" t="s">
        <v>4018</v>
      </c>
      <c r="I370" t="s">
        <v>4024</v>
      </c>
      <c r="J370" t="s">
        <v>4028</v>
      </c>
      <c r="K370" s="2">
        <v>44936</v>
      </c>
      <c r="L370" s="2">
        <v>44947</v>
      </c>
      <c r="M370">
        <v>5</v>
      </c>
      <c r="N370">
        <v>264</v>
      </c>
      <c r="O370">
        <f>IF(Tickets[[#This Row],[Ticket Priority]]="Critical",24,
IF(Tickets[[#This Row],[Ticket Priority]]="High",48,
IF(Tickets[[#This Row],[Ticket Priority]]="Medium",120,168)))</f>
        <v>168</v>
      </c>
      <c r="P370" t="str">
        <f>IF(Tickets[[#This Row],[Resolution Duration Hours]] &lt;= Tickets[[#This Row],[SLA_Target_Hours]], "Yes", "No")</f>
        <v>No</v>
      </c>
    </row>
    <row r="371" spans="1:16" hidden="1">
      <c r="A371">
        <v>370</v>
      </c>
      <c r="B371" t="s">
        <v>383</v>
      </c>
      <c r="C371" t="s">
        <v>2353</v>
      </c>
      <c r="D371" t="s">
        <v>3982</v>
      </c>
      <c r="E371" s="1">
        <v>44551</v>
      </c>
      <c r="F371" t="s">
        <v>4002</v>
      </c>
      <c r="G371" t="s">
        <v>4007</v>
      </c>
      <c r="H371" t="s">
        <v>4017</v>
      </c>
      <c r="I371" t="s">
        <v>4024</v>
      </c>
      <c r="J371" t="s">
        <v>4028</v>
      </c>
      <c r="K371" s="2">
        <v>44809</v>
      </c>
      <c r="L371" s="2">
        <v>44816</v>
      </c>
      <c r="N371">
        <v>168</v>
      </c>
      <c r="O371">
        <f>IF(Tickets[[#This Row],[Ticket Priority]]="Critical",24,
IF(Tickets[[#This Row],[Ticket Priority]]="High",48,
IF(Tickets[[#This Row],[Ticket Priority]]="Medium",120,168)))</f>
        <v>168</v>
      </c>
      <c r="P371" t="str">
        <f>IF(Tickets[[#This Row],[Resolution Duration Hours]] &lt;= Tickets[[#This Row],[SLA_Target_Hours]], "Yes", "No")</f>
        <v>Yes</v>
      </c>
    </row>
    <row r="372" spans="1:16" hidden="1">
      <c r="A372">
        <v>371</v>
      </c>
      <c r="B372" t="s">
        <v>384</v>
      </c>
      <c r="C372" t="s">
        <v>2354</v>
      </c>
      <c r="D372" t="s">
        <v>3990</v>
      </c>
      <c r="E372" s="1">
        <v>44064</v>
      </c>
      <c r="F372" t="s">
        <v>3998</v>
      </c>
      <c r="G372" t="s">
        <v>4011</v>
      </c>
      <c r="H372" t="s">
        <v>4018</v>
      </c>
      <c r="I372" t="s">
        <v>4023</v>
      </c>
      <c r="J372" t="s">
        <v>4026</v>
      </c>
      <c r="K372" s="2">
        <v>44089</v>
      </c>
      <c r="L372" s="2">
        <v>44092</v>
      </c>
      <c r="M372">
        <v>4</v>
      </c>
      <c r="N372">
        <v>72</v>
      </c>
      <c r="O372">
        <f>IF(Tickets[[#This Row],[Ticket Priority]]="Critical",24,
IF(Tickets[[#This Row],[Ticket Priority]]="High",48,
IF(Tickets[[#This Row],[Ticket Priority]]="Medium",120,168)))</f>
        <v>120</v>
      </c>
      <c r="P372" t="str">
        <f>IF(Tickets[[#This Row],[Resolution Duration Hours]] &lt;= Tickets[[#This Row],[SLA_Target_Hours]], "Yes", "No")</f>
        <v>Yes</v>
      </c>
    </row>
    <row r="373" spans="1:16" hidden="1">
      <c r="A373">
        <v>372</v>
      </c>
      <c r="B373" t="s">
        <v>385</v>
      </c>
      <c r="C373" t="s">
        <v>2355</v>
      </c>
      <c r="D373" t="s">
        <v>3992</v>
      </c>
      <c r="E373" s="1">
        <v>45009</v>
      </c>
      <c r="F373" t="s">
        <v>4001</v>
      </c>
      <c r="G373" t="s">
        <v>4004</v>
      </c>
      <c r="H373" t="s">
        <v>4017</v>
      </c>
      <c r="I373" t="s">
        <v>4024</v>
      </c>
      <c r="J373" t="s">
        <v>4026</v>
      </c>
      <c r="K373" s="2">
        <v>45237</v>
      </c>
      <c r="L373" s="2">
        <v>45244</v>
      </c>
      <c r="N373">
        <v>168</v>
      </c>
      <c r="O373">
        <f>IF(Tickets[[#This Row],[Ticket Priority]]="Critical",24,
IF(Tickets[[#This Row],[Ticket Priority]]="High",48,
IF(Tickets[[#This Row],[Ticket Priority]]="Medium",120,168)))</f>
        <v>168</v>
      </c>
      <c r="P373" t="str">
        <f>IF(Tickets[[#This Row],[Resolution Duration Hours]] &lt;= Tickets[[#This Row],[SLA_Target_Hours]], "Yes", "No")</f>
        <v>Yes</v>
      </c>
    </row>
    <row r="374" spans="1:16">
      <c r="A374">
        <v>1822</v>
      </c>
      <c r="B374" t="s">
        <v>1814</v>
      </c>
      <c r="C374" t="s">
        <v>3801</v>
      </c>
      <c r="D374" t="s">
        <v>3983</v>
      </c>
      <c r="E374" s="1">
        <v>45070</v>
      </c>
      <c r="F374" t="s">
        <v>4000</v>
      </c>
      <c r="G374" t="s">
        <v>4016</v>
      </c>
      <c r="H374" t="s">
        <v>4017</v>
      </c>
      <c r="I374" t="s">
        <v>4024</v>
      </c>
      <c r="J374" t="s">
        <v>4027</v>
      </c>
      <c r="K374" s="2">
        <v>45118</v>
      </c>
      <c r="L374" s="2">
        <v>45129</v>
      </c>
      <c r="N374">
        <v>264</v>
      </c>
      <c r="O374">
        <f>IF(Tickets[[#This Row],[Ticket Priority]]="Critical",24,
IF(Tickets[[#This Row],[Ticket Priority]]="High",48,
IF(Tickets[[#This Row],[Ticket Priority]]="Medium",120,168)))</f>
        <v>168</v>
      </c>
      <c r="P374" t="str">
        <f>IF(Tickets[[#This Row],[Resolution Duration Hours]] &lt;= Tickets[[#This Row],[SLA_Target_Hours]], "Yes", "No")</f>
        <v>No</v>
      </c>
    </row>
    <row r="375" spans="1:16" hidden="1">
      <c r="A375">
        <v>374</v>
      </c>
      <c r="B375" t="s">
        <v>387</v>
      </c>
      <c r="C375" t="s">
        <v>2357</v>
      </c>
      <c r="D375" t="s">
        <v>3981</v>
      </c>
      <c r="E375" s="1">
        <v>44919</v>
      </c>
      <c r="F375" t="s">
        <v>3999</v>
      </c>
      <c r="G375" t="s">
        <v>4015</v>
      </c>
      <c r="H375" t="s">
        <v>4018</v>
      </c>
      <c r="I375" t="s">
        <v>4024</v>
      </c>
      <c r="J375" t="s">
        <v>4025</v>
      </c>
      <c r="K375" s="2">
        <v>44946</v>
      </c>
      <c r="L375" s="2">
        <v>44951</v>
      </c>
      <c r="M375">
        <v>4</v>
      </c>
      <c r="N375">
        <v>120</v>
      </c>
      <c r="O375">
        <f>IF(Tickets[[#This Row],[Ticket Priority]]="Critical",24,
IF(Tickets[[#This Row],[Ticket Priority]]="High",48,
IF(Tickets[[#This Row],[Ticket Priority]]="Medium",120,168)))</f>
        <v>168</v>
      </c>
      <c r="P375" t="str">
        <f>IF(Tickets[[#This Row],[Resolution Duration Hours]] &lt;= Tickets[[#This Row],[SLA_Target_Hours]], "Yes", "No")</f>
        <v>Yes</v>
      </c>
    </row>
    <row r="376" spans="1:16" hidden="1">
      <c r="A376">
        <v>375</v>
      </c>
      <c r="B376" t="s">
        <v>388</v>
      </c>
      <c r="C376" t="s">
        <v>2358</v>
      </c>
      <c r="D376" t="s">
        <v>3979</v>
      </c>
      <c r="E376" s="1">
        <v>43947</v>
      </c>
      <c r="F376" t="s">
        <v>4001</v>
      </c>
      <c r="G376" t="s">
        <v>4010</v>
      </c>
      <c r="H376" t="s">
        <v>4018</v>
      </c>
      <c r="I376" t="s">
        <v>4023</v>
      </c>
      <c r="J376" t="s">
        <v>4028</v>
      </c>
      <c r="K376" s="2">
        <v>44284</v>
      </c>
      <c r="L376" s="2">
        <v>44286</v>
      </c>
      <c r="N376">
        <v>48</v>
      </c>
      <c r="O376">
        <f>IF(Tickets[[#This Row],[Ticket Priority]]="Critical",24,
IF(Tickets[[#This Row],[Ticket Priority]]="High",48,
IF(Tickets[[#This Row],[Ticket Priority]]="Medium",120,168)))</f>
        <v>120</v>
      </c>
      <c r="P376" t="str">
        <f>IF(Tickets[[#This Row],[Resolution Duration Hours]] &lt;= Tickets[[#This Row],[SLA_Target_Hours]], "Yes", "No")</f>
        <v>Yes</v>
      </c>
    </row>
    <row r="377" spans="1:16" hidden="1">
      <c r="A377">
        <v>376</v>
      </c>
      <c r="B377" t="s">
        <v>389</v>
      </c>
      <c r="C377" t="s">
        <v>2359</v>
      </c>
      <c r="D377" t="s">
        <v>3992</v>
      </c>
      <c r="E377" s="1">
        <v>45075</v>
      </c>
      <c r="F377" t="s">
        <v>4000</v>
      </c>
      <c r="G377" t="s">
        <v>4005</v>
      </c>
      <c r="H377" t="s">
        <v>4018</v>
      </c>
      <c r="I377" t="s">
        <v>4024</v>
      </c>
      <c r="J377" t="s">
        <v>4026</v>
      </c>
      <c r="K377" s="2">
        <v>45146</v>
      </c>
      <c r="L377" s="2">
        <v>45151</v>
      </c>
      <c r="M377">
        <v>4</v>
      </c>
      <c r="N377">
        <v>120</v>
      </c>
      <c r="O377">
        <f>IF(Tickets[[#This Row],[Ticket Priority]]="Critical",24,
IF(Tickets[[#This Row],[Ticket Priority]]="High",48,
IF(Tickets[[#This Row],[Ticket Priority]]="Medium",120,168)))</f>
        <v>168</v>
      </c>
      <c r="P377" t="str">
        <f>IF(Tickets[[#This Row],[Resolution Duration Hours]] &lt;= Tickets[[#This Row],[SLA_Target_Hours]], "Yes", "No")</f>
        <v>Yes</v>
      </c>
    </row>
    <row r="378" spans="1:16" hidden="1">
      <c r="A378">
        <v>377</v>
      </c>
      <c r="B378" t="s">
        <v>390</v>
      </c>
      <c r="C378" t="s">
        <v>2360</v>
      </c>
      <c r="D378" t="s">
        <v>3989</v>
      </c>
      <c r="E378" s="1">
        <v>44042</v>
      </c>
      <c r="F378" t="s">
        <v>4000</v>
      </c>
      <c r="G378" t="s">
        <v>4011</v>
      </c>
      <c r="H378" t="s">
        <v>4018</v>
      </c>
      <c r="I378" t="s">
        <v>4023</v>
      </c>
      <c r="J378" t="s">
        <v>4025</v>
      </c>
      <c r="K378" s="2">
        <v>44215</v>
      </c>
      <c r="L378" s="2">
        <v>44220</v>
      </c>
      <c r="M378">
        <v>3</v>
      </c>
      <c r="N378">
        <v>120</v>
      </c>
      <c r="O378">
        <f>IF(Tickets[[#This Row],[Ticket Priority]]="Critical",24,
IF(Tickets[[#This Row],[Ticket Priority]]="High",48,
IF(Tickets[[#This Row],[Ticket Priority]]="Medium",120,168)))</f>
        <v>120</v>
      </c>
      <c r="P378" t="str">
        <f>IF(Tickets[[#This Row],[Resolution Duration Hours]] &lt;= Tickets[[#This Row],[SLA_Target_Hours]], "Yes", "No")</f>
        <v>Yes</v>
      </c>
    </row>
    <row r="379" spans="1:16" hidden="1">
      <c r="A379">
        <v>378</v>
      </c>
      <c r="B379" t="s">
        <v>391</v>
      </c>
      <c r="C379" t="s">
        <v>2361</v>
      </c>
      <c r="D379" t="s">
        <v>3997</v>
      </c>
      <c r="E379" s="1">
        <v>44663</v>
      </c>
      <c r="F379" t="s">
        <v>3998</v>
      </c>
      <c r="G379" t="s">
        <v>4008</v>
      </c>
      <c r="H379" t="s">
        <v>4018</v>
      </c>
      <c r="I379" t="s">
        <v>4022</v>
      </c>
      <c r="J379" t="s">
        <v>4028</v>
      </c>
      <c r="K379" s="2">
        <v>44732</v>
      </c>
      <c r="L379" s="2">
        <v>44733</v>
      </c>
      <c r="N379">
        <v>24</v>
      </c>
      <c r="O379">
        <f>IF(Tickets[[#This Row],[Ticket Priority]]="Critical",24,
IF(Tickets[[#This Row],[Ticket Priority]]="High",48,
IF(Tickets[[#This Row],[Ticket Priority]]="Medium",120,168)))</f>
        <v>24</v>
      </c>
      <c r="P379" t="str">
        <f>IF(Tickets[[#This Row],[Resolution Duration Hours]] &lt;= Tickets[[#This Row],[SLA_Target_Hours]], "Yes", "No")</f>
        <v>Yes</v>
      </c>
    </row>
    <row r="380" spans="1:16">
      <c r="A380">
        <v>1966</v>
      </c>
      <c r="B380" t="s">
        <v>1950</v>
      </c>
      <c r="C380" t="s">
        <v>3944</v>
      </c>
      <c r="D380" t="s">
        <v>3991</v>
      </c>
      <c r="E380" s="1">
        <v>44553</v>
      </c>
      <c r="F380" t="s">
        <v>4000</v>
      </c>
      <c r="G380" t="s">
        <v>4000</v>
      </c>
      <c r="H380" t="s">
        <v>4018</v>
      </c>
      <c r="I380" t="s">
        <v>4024</v>
      </c>
      <c r="J380" t="s">
        <v>4028</v>
      </c>
      <c r="K380" s="2">
        <v>44820</v>
      </c>
      <c r="L380" s="2">
        <v>44831</v>
      </c>
      <c r="M380">
        <v>4</v>
      </c>
      <c r="N380">
        <v>264</v>
      </c>
      <c r="O380">
        <f>IF(Tickets[[#This Row],[Ticket Priority]]="Critical",24,
IF(Tickets[[#This Row],[Ticket Priority]]="High",48,
IF(Tickets[[#This Row],[Ticket Priority]]="Medium",120,168)))</f>
        <v>168</v>
      </c>
      <c r="P380" t="str">
        <f>IF(Tickets[[#This Row],[Resolution Duration Hours]] &lt;= Tickets[[#This Row],[SLA_Target_Hours]], "Yes", "No")</f>
        <v>No</v>
      </c>
    </row>
    <row r="381" spans="1:16">
      <c r="A381">
        <v>1989</v>
      </c>
      <c r="B381" t="s">
        <v>1973</v>
      </c>
      <c r="C381" t="s">
        <v>3967</v>
      </c>
      <c r="D381" t="s">
        <v>3995</v>
      </c>
      <c r="E381" s="1">
        <v>43958</v>
      </c>
      <c r="F381" t="s">
        <v>4001</v>
      </c>
      <c r="G381" t="s">
        <v>4014</v>
      </c>
      <c r="H381" t="s">
        <v>4018</v>
      </c>
      <c r="I381" t="s">
        <v>4024</v>
      </c>
      <c r="J381" t="s">
        <v>4028</v>
      </c>
      <c r="K381" s="2">
        <v>44125</v>
      </c>
      <c r="L381" s="2">
        <v>44136</v>
      </c>
      <c r="M381">
        <v>5</v>
      </c>
      <c r="N381">
        <v>264</v>
      </c>
      <c r="O381">
        <f>IF(Tickets[[#This Row],[Ticket Priority]]="Critical",24,
IF(Tickets[[#This Row],[Ticket Priority]]="High",48,
IF(Tickets[[#This Row],[Ticket Priority]]="Medium",120,168)))</f>
        <v>168</v>
      </c>
      <c r="P381" t="str">
        <f>IF(Tickets[[#This Row],[Resolution Duration Hours]] &lt;= Tickets[[#This Row],[SLA_Target_Hours]], "Yes", "No")</f>
        <v>No</v>
      </c>
    </row>
    <row r="382" spans="1:16" hidden="1">
      <c r="A382">
        <v>381</v>
      </c>
      <c r="B382" t="s">
        <v>394</v>
      </c>
      <c r="C382" t="s">
        <v>2364</v>
      </c>
      <c r="D382" t="s">
        <v>3991</v>
      </c>
      <c r="E382" s="1">
        <v>43879</v>
      </c>
      <c r="F382" t="s">
        <v>3999</v>
      </c>
      <c r="G382" t="s">
        <v>4006</v>
      </c>
      <c r="H382" t="s">
        <v>4018</v>
      </c>
      <c r="I382" t="s">
        <v>4024</v>
      </c>
      <c r="J382" t="s">
        <v>4026</v>
      </c>
      <c r="K382" s="2">
        <v>44039</v>
      </c>
      <c r="L382" s="2">
        <v>44042</v>
      </c>
      <c r="M382">
        <v>3</v>
      </c>
      <c r="N382">
        <v>72</v>
      </c>
      <c r="O382">
        <f>IF(Tickets[[#This Row],[Ticket Priority]]="Critical",24,
IF(Tickets[[#This Row],[Ticket Priority]]="High",48,
IF(Tickets[[#This Row],[Ticket Priority]]="Medium",120,168)))</f>
        <v>168</v>
      </c>
      <c r="P382" t="str">
        <f>IF(Tickets[[#This Row],[Resolution Duration Hours]] &lt;= Tickets[[#This Row],[SLA_Target_Hours]], "Yes", "No")</f>
        <v>Yes</v>
      </c>
    </row>
    <row r="383" spans="1:16">
      <c r="A383">
        <v>40</v>
      </c>
      <c r="B383" t="s">
        <v>53</v>
      </c>
      <c r="C383" t="s">
        <v>2023</v>
      </c>
      <c r="D383" t="s">
        <v>3983</v>
      </c>
      <c r="E383" s="1">
        <v>44517</v>
      </c>
      <c r="F383" t="s">
        <v>4000</v>
      </c>
      <c r="G383" t="s">
        <v>4015</v>
      </c>
      <c r="H383" t="s">
        <v>4018</v>
      </c>
      <c r="I383" t="s">
        <v>4024</v>
      </c>
      <c r="J383" t="s">
        <v>4026</v>
      </c>
      <c r="K383" s="2">
        <v>44836</v>
      </c>
      <c r="L383" s="2">
        <v>44846</v>
      </c>
      <c r="M383">
        <v>4</v>
      </c>
      <c r="N383">
        <v>240</v>
      </c>
      <c r="O383">
        <f>IF(Tickets[[#This Row],[Ticket Priority]]="Critical",24,
IF(Tickets[[#This Row],[Ticket Priority]]="High",48,
IF(Tickets[[#This Row],[Ticket Priority]]="Medium",120,168)))</f>
        <v>168</v>
      </c>
      <c r="P383" t="str">
        <f>IF(Tickets[[#This Row],[Resolution Duration Hours]] &lt;= Tickets[[#This Row],[SLA_Target_Hours]], "Yes", "No")</f>
        <v>No</v>
      </c>
    </row>
    <row r="384" spans="1:16">
      <c r="A384">
        <v>127</v>
      </c>
      <c r="B384" t="s">
        <v>140</v>
      </c>
      <c r="C384" t="s">
        <v>2110</v>
      </c>
      <c r="D384" t="s">
        <v>3996</v>
      </c>
      <c r="E384" s="1">
        <v>44579</v>
      </c>
      <c r="F384" t="s">
        <v>4001</v>
      </c>
      <c r="G384" t="s">
        <v>4004</v>
      </c>
      <c r="H384" t="s">
        <v>4020</v>
      </c>
      <c r="I384" t="s">
        <v>4024</v>
      </c>
      <c r="J384" t="s">
        <v>4026</v>
      </c>
      <c r="K384" s="2">
        <v>44847</v>
      </c>
      <c r="L384" s="2">
        <v>44857</v>
      </c>
      <c r="N384">
        <v>240</v>
      </c>
      <c r="O384">
        <f>IF(Tickets[[#This Row],[Ticket Priority]]="Critical",24,
IF(Tickets[[#This Row],[Ticket Priority]]="High",48,
IF(Tickets[[#This Row],[Ticket Priority]]="Medium",120,168)))</f>
        <v>168</v>
      </c>
      <c r="P384" t="str">
        <f>IF(Tickets[[#This Row],[Resolution Duration Hours]] &lt;= Tickets[[#This Row],[SLA_Target_Hours]], "Yes", "No")</f>
        <v>No</v>
      </c>
    </row>
    <row r="385" spans="1:16" hidden="1">
      <c r="A385">
        <v>384</v>
      </c>
      <c r="B385" t="s">
        <v>397</v>
      </c>
      <c r="C385" t="s">
        <v>2367</v>
      </c>
      <c r="D385" t="s">
        <v>3990</v>
      </c>
      <c r="E385" s="1">
        <v>44519</v>
      </c>
      <c r="F385" t="s">
        <v>4002</v>
      </c>
      <c r="G385" t="s">
        <v>4008</v>
      </c>
      <c r="H385" t="s">
        <v>4017</v>
      </c>
      <c r="I385" t="s">
        <v>4024</v>
      </c>
      <c r="J385" t="s">
        <v>4025</v>
      </c>
      <c r="K385" s="2">
        <v>44602</v>
      </c>
      <c r="L385" s="2">
        <v>44609</v>
      </c>
      <c r="N385">
        <v>168</v>
      </c>
      <c r="O385">
        <f>IF(Tickets[[#This Row],[Ticket Priority]]="Critical",24,
IF(Tickets[[#This Row],[Ticket Priority]]="High",48,
IF(Tickets[[#This Row],[Ticket Priority]]="Medium",120,168)))</f>
        <v>168</v>
      </c>
      <c r="P385" t="str">
        <f>IF(Tickets[[#This Row],[Resolution Duration Hours]] &lt;= Tickets[[#This Row],[SLA_Target_Hours]], "Yes", "No")</f>
        <v>Yes</v>
      </c>
    </row>
    <row r="386" spans="1:16" hidden="1">
      <c r="A386">
        <v>385</v>
      </c>
      <c r="B386" t="s">
        <v>398</v>
      </c>
      <c r="C386" t="s">
        <v>2368</v>
      </c>
      <c r="D386" t="s">
        <v>3991</v>
      </c>
      <c r="E386" s="1">
        <v>44722</v>
      </c>
      <c r="F386" t="s">
        <v>3998</v>
      </c>
      <c r="G386" t="s">
        <v>4000</v>
      </c>
      <c r="H386" t="s">
        <v>4018</v>
      </c>
      <c r="I386" t="s">
        <v>4023</v>
      </c>
      <c r="J386" t="s">
        <v>4026</v>
      </c>
      <c r="K386" s="2">
        <v>44738</v>
      </c>
      <c r="L386" s="2">
        <v>44740</v>
      </c>
      <c r="M386">
        <v>5</v>
      </c>
      <c r="N386">
        <v>48</v>
      </c>
      <c r="O386">
        <f>IF(Tickets[[#This Row],[Ticket Priority]]="Critical",24,
IF(Tickets[[#This Row],[Ticket Priority]]="High",48,
IF(Tickets[[#This Row],[Ticket Priority]]="Medium",120,168)))</f>
        <v>120</v>
      </c>
      <c r="P386" t="str">
        <f>IF(Tickets[[#This Row],[Resolution Duration Hours]] &lt;= Tickets[[#This Row],[SLA_Target_Hours]], "Yes", "No")</f>
        <v>Yes</v>
      </c>
    </row>
    <row r="387" spans="1:16" hidden="1">
      <c r="A387">
        <v>386</v>
      </c>
      <c r="B387" t="s">
        <v>399</v>
      </c>
      <c r="C387" t="s">
        <v>2369</v>
      </c>
      <c r="D387" t="s">
        <v>3986</v>
      </c>
      <c r="E387" s="1">
        <v>44164</v>
      </c>
      <c r="F387" t="s">
        <v>3998</v>
      </c>
      <c r="G387" t="s">
        <v>4010</v>
      </c>
      <c r="H387" t="s">
        <v>4019</v>
      </c>
      <c r="I387" t="s">
        <v>4024</v>
      </c>
      <c r="J387" t="s">
        <v>4026</v>
      </c>
      <c r="K387" s="2">
        <v>44518</v>
      </c>
      <c r="L387" s="2">
        <v>44525</v>
      </c>
      <c r="M387">
        <v>4</v>
      </c>
      <c r="N387">
        <v>168</v>
      </c>
      <c r="O387">
        <f>IF(Tickets[[#This Row],[Ticket Priority]]="Critical",24,
IF(Tickets[[#This Row],[Ticket Priority]]="High",48,
IF(Tickets[[#This Row],[Ticket Priority]]="Medium",120,168)))</f>
        <v>168</v>
      </c>
      <c r="P387" t="str">
        <f>IF(Tickets[[#This Row],[Resolution Duration Hours]] &lt;= Tickets[[#This Row],[SLA_Target_Hours]], "Yes", "No")</f>
        <v>Yes</v>
      </c>
    </row>
    <row r="388" spans="1:16">
      <c r="A388">
        <v>137</v>
      </c>
      <c r="B388" t="s">
        <v>150</v>
      </c>
      <c r="C388" t="s">
        <v>2120</v>
      </c>
      <c r="D388" t="s">
        <v>3996</v>
      </c>
      <c r="E388" s="1">
        <v>45053</v>
      </c>
      <c r="F388" t="s">
        <v>3998</v>
      </c>
      <c r="G388" t="s">
        <v>4003</v>
      </c>
      <c r="H388" t="s">
        <v>4020</v>
      </c>
      <c r="I388" t="s">
        <v>4024</v>
      </c>
      <c r="J388" t="s">
        <v>4025</v>
      </c>
      <c r="K388" s="2">
        <v>45119</v>
      </c>
      <c r="L388" s="2">
        <v>45129</v>
      </c>
      <c r="N388">
        <v>240</v>
      </c>
      <c r="O388">
        <f>IF(Tickets[[#This Row],[Ticket Priority]]="Critical",24,
IF(Tickets[[#This Row],[Ticket Priority]]="High",48,
IF(Tickets[[#This Row],[Ticket Priority]]="Medium",120,168)))</f>
        <v>168</v>
      </c>
      <c r="P388" t="str">
        <f>IF(Tickets[[#This Row],[Resolution Duration Hours]] &lt;= Tickets[[#This Row],[SLA_Target_Hours]], "Yes", "No")</f>
        <v>No</v>
      </c>
    </row>
    <row r="389" spans="1:16" hidden="1">
      <c r="A389">
        <v>388</v>
      </c>
      <c r="B389" t="s">
        <v>401</v>
      </c>
      <c r="C389" t="s">
        <v>2371</v>
      </c>
      <c r="D389" t="s">
        <v>3980</v>
      </c>
      <c r="E389" s="1">
        <v>44140</v>
      </c>
      <c r="F389" t="s">
        <v>4001</v>
      </c>
      <c r="G389" t="s">
        <v>4014</v>
      </c>
      <c r="H389" t="s">
        <v>4018</v>
      </c>
      <c r="I389" t="s">
        <v>4021</v>
      </c>
      <c r="J389" t="s">
        <v>4027</v>
      </c>
      <c r="K389" s="2">
        <v>44419</v>
      </c>
      <c r="L389" s="2">
        <v>44421</v>
      </c>
      <c r="N389">
        <v>48</v>
      </c>
      <c r="O389">
        <f>IF(Tickets[[#This Row],[Ticket Priority]]="Critical",24,
IF(Tickets[[#This Row],[Ticket Priority]]="High",48,
IF(Tickets[[#This Row],[Ticket Priority]]="Medium",120,168)))</f>
        <v>48</v>
      </c>
      <c r="P389" t="str">
        <f>IF(Tickets[[#This Row],[Resolution Duration Hours]] &lt;= Tickets[[#This Row],[SLA_Target_Hours]], "Yes", "No")</f>
        <v>Yes</v>
      </c>
    </row>
    <row r="390" spans="1:16" hidden="1">
      <c r="A390">
        <v>389</v>
      </c>
      <c r="B390" t="s">
        <v>402</v>
      </c>
      <c r="C390" t="s">
        <v>2372</v>
      </c>
      <c r="D390" t="s">
        <v>3997</v>
      </c>
      <c r="E390" s="1">
        <v>44576</v>
      </c>
      <c r="F390" t="s">
        <v>3999</v>
      </c>
      <c r="G390" t="s">
        <v>4010</v>
      </c>
      <c r="H390" t="s">
        <v>4017</v>
      </c>
      <c r="I390" t="s">
        <v>4023</v>
      </c>
      <c r="J390" t="s">
        <v>4028</v>
      </c>
      <c r="K390" s="2">
        <v>44637</v>
      </c>
      <c r="L390" s="2">
        <v>44641</v>
      </c>
      <c r="N390">
        <v>96</v>
      </c>
      <c r="O390">
        <f>IF(Tickets[[#This Row],[Ticket Priority]]="Critical",24,
IF(Tickets[[#This Row],[Ticket Priority]]="High",48,
IF(Tickets[[#This Row],[Ticket Priority]]="Medium",120,168)))</f>
        <v>120</v>
      </c>
      <c r="P390" t="str">
        <f>IF(Tickets[[#This Row],[Resolution Duration Hours]] &lt;= Tickets[[#This Row],[SLA_Target_Hours]], "Yes", "No")</f>
        <v>Yes</v>
      </c>
    </row>
    <row r="391" spans="1:16" hidden="1">
      <c r="A391">
        <v>390</v>
      </c>
      <c r="B391" t="s">
        <v>403</v>
      </c>
      <c r="C391" t="s">
        <v>2373</v>
      </c>
      <c r="D391" t="s">
        <v>3983</v>
      </c>
      <c r="E391" s="1">
        <v>44758</v>
      </c>
      <c r="F391" t="s">
        <v>3998</v>
      </c>
      <c r="G391" t="s">
        <v>4016</v>
      </c>
      <c r="H391" t="s">
        <v>4018</v>
      </c>
      <c r="I391" t="s">
        <v>4021</v>
      </c>
      <c r="J391" t="s">
        <v>4027</v>
      </c>
      <c r="K391" s="2">
        <v>44996</v>
      </c>
      <c r="L391" s="2">
        <v>44997</v>
      </c>
      <c r="M391">
        <v>4</v>
      </c>
      <c r="N391">
        <v>24</v>
      </c>
      <c r="O391">
        <f>IF(Tickets[[#This Row],[Ticket Priority]]="Critical",24,
IF(Tickets[[#This Row],[Ticket Priority]]="High",48,
IF(Tickets[[#This Row],[Ticket Priority]]="Medium",120,168)))</f>
        <v>48</v>
      </c>
      <c r="P391" t="str">
        <f>IF(Tickets[[#This Row],[Resolution Duration Hours]] &lt;= Tickets[[#This Row],[SLA_Target_Hours]], "Yes", "No")</f>
        <v>Yes</v>
      </c>
    </row>
    <row r="392" spans="1:16">
      <c r="A392">
        <v>190</v>
      </c>
      <c r="B392" t="s">
        <v>203</v>
      </c>
      <c r="C392" t="s">
        <v>2173</v>
      </c>
      <c r="D392" t="s">
        <v>3990</v>
      </c>
      <c r="E392" s="1">
        <v>44631</v>
      </c>
      <c r="F392" t="s">
        <v>4002</v>
      </c>
      <c r="G392" t="s">
        <v>4013</v>
      </c>
      <c r="H392" t="s">
        <v>4017</v>
      </c>
      <c r="I392" t="s">
        <v>4024</v>
      </c>
      <c r="J392" t="s">
        <v>4027</v>
      </c>
      <c r="K392" s="2">
        <v>44701</v>
      </c>
      <c r="L392" s="2">
        <v>44711</v>
      </c>
      <c r="N392">
        <v>240</v>
      </c>
      <c r="O392">
        <f>IF(Tickets[[#This Row],[Ticket Priority]]="Critical",24,
IF(Tickets[[#This Row],[Ticket Priority]]="High",48,
IF(Tickets[[#This Row],[Ticket Priority]]="Medium",120,168)))</f>
        <v>168</v>
      </c>
      <c r="P392" t="str">
        <f>IF(Tickets[[#This Row],[Resolution Duration Hours]] &lt;= Tickets[[#This Row],[SLA_Target_Hours]], "Yes", "No")</f>
        <v>No</v>
      </c>
    </row>
    <row r="393" spans="1:16">
      <c r="A393">
        <v>353</v>
      </c>
      <c r="B393" t="s">
        <v>366</v>
      </c>
      <c r="C393" t="s">
        <v>2336</v>
      </c>
      <c r="D393" t="s">
        <v>3987</v>
      </c>
      <c r="E393" s="1">
        <v>44635</v>
      </c>
      <c r="F393" t="s">
        <v>3998</v>
      </c>
      <c r="G393" t="s">
        <v>4009</v>
      </c>
      <c r="H393" t="s">
        <v>4018</v>
      </c>
      <c r="I393" t="s">
        <v>4024</v>
      </c>
      <c r="J393" t="s">
        <v>4026</v>
      </c>
      <c r="K393" s="2">
        <v>44981</v>
      </c>
      <c r="L393" s="2">
        <v>44991</v>
      </c>
      <c r="M393">
        <v>4</v>
      </c>
      <c r="N393">
        <v>240</v>
      </c>
      <c r="O393">
        <f>IF(Tickets[[#This Row],[Ticket Priority]]="Critical",24,
IF(Tickets[[#This Row],[Ticket Priority]]="High",48,
IF(Tickets[[#This Row],[Ticket Priority]]="Medium",120,168)))</f>
        <v>168</v>
      </c>
      <c r="P393" t="str">
        <f>IF(Tickets[[#This Row],[Resolution Duration Hours]] &lt;= Tickets[[#This Row],[SLA_Target_Hours]], "Yes", "No")</f>
        <v>No</v>
      </c>
    </row>
    <row r="394" spans="1:16" hidden="1">
      <c r="A394">
        <v>393</v>
      </c>
      <c r="B394" t="s">
        <v>406</v>
      </c>
      <c r="C394" t="s">
        <v>2376</v>
      </c>
      <c r="D394" t="s">
        <v>3991</v>
      </c>
      <c r="E394" s="1">
        <v>44198</v>
      </c>
      <c r="F394" t="s">
        <v>4001</v>
      </c>
      <c r="G394" t="s">
        <v>4013</v>
      </c>
      <c r="H394" t="s">
        <v>4018</v>
      </c>
      <c r="I394" t="s">
        <v>4024</v>
      </c>
      <c r="J394" t="s">
        <v>4028</v>
      </c>
      <c r="K394" s="2">
        <v>44530</v>
      </c>
      <c r="L394" s="2">
        <v>44534</v>
      </c>
      <c r="N394">
        <v>96</v>
      </c>
      <c r="O394">
        <f>IF(Tickets[[#This Row],[Ticket Priority]]="Critical",24,
IF(Tickets[[#This Row],[Ticket Priority]]="High",48,
IF(Tickets[[#This Row],[Ticket Priority]]="Medium",120,168)))</f>
        <v>168</v>
      </c>
      <c r="P394" t="str">
        <f>IF(Tickets[[#This Row],[Resolution Duration Hours]] &lt;= Tickets[[#This Row],[SLA_Target_Hours]], "Yes", "No")</f>
        <v>Yes</v>
      </c>
    </row>
    <row r="395" spans="1:16" hidden="1">
      <c r="A395">
        <v>394</v>
      </c>
      <c r="B395" t="s">
        <v>407</v>
      </c>
      <c r="C395" t="s">
        <v>2377</v>
      </c>
      <c r="D395" t="s">
        <v>3996</v>
      </c>
      <c r="E395" s="1">
        <v>44706</v>
      </c>
      <c r="F395" t="s">
        <v>3998</v>
      </c>
      <c r="G395" t="s">
        <v>4011</v>
      </c>
      <c r="H395" t="s">
        <v>4020</v>
      </c>
      <c r="I395" t="s">
        <v>4023</v>
      </c>
      <c r="J395" t="s">
        <v>4026</v>
      </c>
      <c r="K395" s="2">
        <v>44764</v>
      </c>
      <c r="L395" s="2">
        <v>44767</v>
      </c>
      <c r="N395">
        <v>72</v>
      </c>
      <c r="O395">
        <f>IF(Tickets[[#This Row],[Ticket Priority]]="Critical",24,
IF(Tickets[[#This Row],[Ticket Priority]]="High",48,
IF(Tickets[[#This Row],[Ticket Priority]]="Medium",120,168)))</f>
        <v>120</v>
      </c>
      <c r="P395" t="str">
        <f>IF(Tickets[[#This Row],[Resolution Duration Hours]] &lt;= Tickets[[#This Row],[SLA_Target_Hours]], "Yes", "No")</f>
        <v>Yes</v>
      </c>
    </row>
    <row r="396" spans="1:16" hidden="1">
      <c r="A396">
        <v>395</v>
      </c>
      <c r="B396" t="s">
        <v>408</v>
      </c>
      <c r="C396" t="s">
        <v>2378</v>
      </c>
      <c r="D396" t="s">
        <v>3992</v>
      </c>
      <c r="E396" s="1">
        <v>43889</v>
      </c>
      <c r="F396" t="s">
        <v>3998</v>
      </c>
      <c r="G396" t="s">
        <v>4004</v>
      </c>
      <c r="H396" t="s">
        <v>4017</v>
      </c>
      <c r="I396" t="s">
        <v>4024</v>
      </c>
      <c r="J396" t="s">
        <v>4026</v>
      </c>
      <c r="K396" s="2">
        <v>43911</v>
      </c>
      <c r="L396" s="2">
        <v>43918</v>
      </c>
      <c r="N396">
        <v>168</v>
      </c>
      <c r="O396">
        <f>IF(Tickets[[#This Row],[Ticket Priority]]="Critical",24,
IF(Tickets[[#This Row],[Ticket Priority]]="High",48,
IF(Tickets[[#This Row],[Ticket Priority]]="Medium",120,168)))</f>
        <v>168</v>
      </c>
      <c r="P396" t="str">
        <f>IF(Tickets[[#This Row],[Resolution Duration Hours]] &lt;= Tickets[[#This Row],[SLA_Target_Hours]], "Yes", "No")</f>
        <v>Yes</v>
      </c>
    </row>
    <row r="397" spans="1:16">
      <c r="A397">
        <v>379</v>
      </c>
      <c r="B397" t="s">
        <v>392</v>
      </c>
      <c r="C397" t="s">
        <v>2362</v>
      </c>
      <c r="D397" t="s">
        <v>3982</v>
      </c>
      <c r="E397" s="1">
        <v>44075</v>
      </c>
      <c r="F397" t="s">
        <v>3998</v>
      </c>
      <c r="G397" t="s">
        <v>4006</v>
      </c>
      <c r="H397" t="s">
        <v>4018</v>
      </c>
      <c r="I397" t="s">
        <v>4024</v>
      </c>
      <c r="J397" t="s">
        <v>4027</v>
      </c>
      <c r="K397" s="2">
        <v>44429</v>
      </c>
      <c r="L397" s="2">
        <v>44439</v>
      </c>
      <c r="M397">
        <v>4</v>
      </c>
      <c r="N397">
        <v>240</v>
      </c>
      <c r="O397">
        <f>IF(Tickets[[#This Row],[Ticket Priority]]="Critical",24,
IF(Tickets[[#This Row],[Ticket Priority]]="High",48,
IF(Tickets[[#This Row],[Ticket Priority]]="Medium",120,168)))</f>
        <v>168</v>
      </c>
      <c r="P397" t="str">
        <f>IF(Tickets[[#This Row],[Resolution Duration Hours]] &lt;= Tickets[[#This Row],[SLA_Target_Hours]], "Yes", "No")</f>
        <v>No</v>
      </c>
    </row>
    <row r="398" spans="1:16">
      <c r="A398">
        <v>396</v>
      </c>
      <c r="B398" t="s">
        <v>409</v>
      </c>
      <c r="C398" t="s">
        <v>2379</v>
      </c>
      <c r="D398" t="s">
        <v>3987</v>
      </c>
      <c r="E398" s="1">
        <v>44033</v>
      </c>
      <c r="F398" t="s">
        <v>3998</v>
      </c>
      <c r="G398" t="s">
        <v>4016</v>
      </c>
      <c r="H398" t="s">
        <v>4018</v>
      </c>
      <c r="I398" t="s">
        <v>4024</v>
      </c>
      <c r="J398" t="s">
        <v>4026</v>
      </c>
      <c r="K398" s="2">
        <v>44353</v>
      </c>
      <c r="L398" s="2">
        <v>44363</v>
      </c>
      <c r="M398">
        <v>3</v>
      </c>
      <c r="N398">
        <v>240</v>
      </c>
      <c r="O398">
        <f>IF(Tickets[[#This Row],[Ticket Priority]]="Critical",24,
IF(Tickets[[#This Row],[Ticket Priority]]="High",48,
IF(Tickets[[#This Row],[Ticket Priority]]="Medium",120,168)))</f>
        <v>168</v>
      </c>
      <c r="P398" t="str">
        <f>IF(Tickets[[#This Row],[Resolution Duration Hours]] &lt;= Tickets[[#This Row],[SLA_Target_Hours]], "Yes", "No")</f>
        <v>No</v>
      </c>
    </row>
    <row r="399" spans="1:16" hidden="1">
      <c r="A399">
        <v>398</v>
      </c>
      <c r="B399" t="s">
        <v>411</v>
      </c>
      <c r="C399" t="s">
        <v>2381</v>
      </c>
      <c r="D399" t="s">
        <v>3988</v>
      </c>
      <c r="E399" s="1">
        <v>44741</v>
      </c>
      <c r="F399" t="s">
        <v>4000</v>
      </c>
      <c r="G399" t="s">
        <v>4013</v>
      </c>
      <c r="H399" t="s">
        <v>4020</v>
      </c>
      <c r="I399" t="s">
        <v>4023</v>
      </c>
      <c r="J399" t="s">
        <v>4026</v>
      </c>
      <c r="K399" s="2">
        <v>44768</v>
      </c>
      <c r="L399" s="2">
        <v>44771</v>
      </c>
      <c r="N399">
        <v>72</v>
      </c>
      <c r="O399">
        <f>IF(Tickets[[#This Row],[Ticket Priority]]="Critical",24,
IF(Tickets[[#This Row],[Ticket Priority]]="High",48,
IF(Tickets[[#This Row],[Ticket Priority]]="Medium",120,168)))</f>
        <v>120</v>
      </c>
      <c r="P399" t="str">
        <f>IF(Tickets[[#This Row],[Resolution Duration Hours]] &lt;= Tickets[[#This Row],[SLA_Target_Hours]], "Yes", "No")</f>
        <v>Yes</v>
      </c>
    </row>
    <row r="400" spans="1:16" hidden="1">
      <c r="A400">
        <v>399</v>
      </c>
      <c r="B400" t="s">
        <v>412</v>
      </c>
      <c r="C400" t="s">
        <v>2382</v>
      </c>
      <c r="D400" t="s">
        <v>3996</v>
      </c>
      <c r="E400" s="1">
        <v>44587</v>
      </c>
      <c r="F400" t="s">
        <v>4001</v>
      </c>
      <c r="G400" t="s">
        <v>4008</v>
      </c>
      <c r="H400" t="s">
        <v>4017</v>
      </c>
      <c r="I400" t="s">
        <v>4023</v>
      </c>
      <c r="J400" t="s">
        <v>4025</v>
      </c>
      <c r="K400" s="2">
        <v>44808</v>
      </c>
      <c r="L400" s="2">
        <v>44811</v>
      </c>
      <c r="N400">
        <v>72</v>
      </c>
      <c r="O400">
        <f>IF(Tickets[[#This Row],[Ticket Priority]]="Critical",24,
IF(Tickets[[#This Row],[Ticket Priority]]="High",48,
IF(Tickets[[#This Row],[Ticket Priority]]="Medium",120,168)))</f>
        <v>120</v>
      </c>
      <c r="P400" t="str">
        <f>IF(Tickets[[#This Row],[Resolution Duration Hours]] &lt;= Tickets[[#This Row],[SLA_Target_Hours]], "Yes", "No")</f>
        <v>Yes</v>
      </c>
    </row>
    <row r="401" spans="1:16" hidden="1">
      <c r="A401">
        <v>400</v>
      </c>
      <c r="B401" t="s">
        <v>413</v>
      </c>
      <c r="C401" t="s">
        <v>2383</v>
      </c>
      <c r="D401" t="s">
        <v>3980</v>
      </c>
      <c r="E401" s="1">
        <v>44307</v>
      </c>
      <c r="F401" t="s">
        <v>3999</v>
      </c>
      <c r="G401" t="s">
        <v>4009</v>
      </c>
      <c r="H401" t="s">
        <v>4017</v>
      </c>
      <c r="I401" t="s">
        <v>4021</v>
      </c>
      <c r="J401" t="s">
        <v>4025</v>
      </c>
      <c r="K401" s="2">
        <v>44330</v>
      </c>
      <c r="L401" s="2">
        <v>44331</v>
      </c>
      <c r="N401">
        <v>24</v>
      </c>
      <c r="O401">
        <f>IF(Tickets[[#This Row],[Ticket Priority]]="Critical",24,
IF(Tickets[[#This Row],[Ticket Priority]]="High",48,
IF(Tickets[[#This Row],[Ticket Priority]]="Medium",120,168)))</f>
        <v>48</v>
      </c>
      <c r="P401" t="str">
        <f>IF(Tickets[[#This Row],[Resolution Duration Hours]] &lt;= Tickets[[#This Row],[SLA_Target_Hours]], "Yes", "No")</f>
        <v>Yes</v>
      </c>
    </row>
    <row r="402" spans="1:16" hidden="1">
      <c r="A402">
        <v>401</v>
      </c>
      <c r="B402" t="s">
        <v>414</v>
      </c>
      <c r="C402" t="s">
        <v>2384</v>
      </c>
      <c r="D402" t="s">
        <v>3988</v>
      </c>
      <c r="E402" s="1">
        <v>45028</v>
      </c>
      <c r="F402" t="s">
        <v>4002</v>
      </c>
      <c r="G402" t="s">
        <v>4015</v>
      </c>
      <c r="H402" t="s">
        <v>4018</v>
      </c>
      <c r="I402" t="s">
        <v>4023</v>
      </c>
      <c r="J402" t="s">
        <v>4028</v>
      </c>
      <c r="K402" s="2">
        <v>45172</v>
      </c>
      <c r="L402" s="2">
        <v>45173</v>
      </c>
      <c r="M402">
        <v>5</v>
      </c>
      <c r="N402">
        <v>24</v>
      </c>
      <c r="O402">
        <f>IF(Tickets[[#This Row],[Ticket Priority]]="Critical",24,
IF(Tickets[[#This Row],[Ticket Priority]]="High",48,
IF(Tickets[[#This Row],[Ticket Priority]]="Medium",120,168)))</f>
        <v>120</v>
      </c>
      <c r="P402" t="str">
        <f>IF(Tickets[[#This Row],[Resolution Duration Hours]] &lt;= Tickets[[#This Row],[SLA_Target_Hours]], "Yes", "No")</f>
        <v>Yes</v>
      </c>
    </row>
    <row r="403" spans="1:16" hidden="1">
      <c r="A403">
        <v>402</v>
      </c>
      <c r="B403" t="s">
        <v>415</v>
      </c>
      <c r="C403" t="s">
        <v>2385</v>
      </c>
      <c r="D403" t="s">
        <v>3991</v>
      </c>
      <c r="E403" s="1">
        <v>44049</v>
      </c>
      <c r="F403" t="s">
        <v>3999</v>
      </c>
      <c r="G403" t="s">
        <v>4010</v>
      </c>
      <c r="H403" t="s">
        <v>4020</v>
      </c>
      <c r="I403" t="s">
        <v>4021</v>
      </c>
      <c r="J403" t="s">
        <v>4025</v>
      </c>
      <c r="K403" s="2">
        <v>44201</v>
      </c>
      <c r="L403" s="2">
        <v>44203</v>
      </c>
      <c r="N403">
        <v>48</v>
      </c>
      <c r="O403">
        <f>IF(Tickets[[#This Row],[Ticket Priority]]="Critical",24,
IF(Tickets[[#This Row],[Ticket Priority]]="High",48,
IF(Tickets[[#This Row],[Ticket Priority]]="Medium",120,168)))</f>
        <v>48</v>
      </c>
      <c r="P403" t="str">
        <f>IF(Tickets[[#This Row],[Resolution Duration Hours]] &lt;= Tickets[[#This Row],[SLA_Target_Hours]], "Yes", "No")</f>
        <v>Yes</v>
      </c>
    </row>
    <row r="404" spans="1:16" hidden="1">
      <c r="A404">
        <v>403</v>
      </c>
      <c r="B404" t="s">
        <v>416</v>
      </c>
      <c r="C404" t="s">
        <v>2386</v>
      </c>
      <c r="D404" t="s">
        <v>3991</v>
      </c>
      <c r="E404" s="1">
        <v>43848</v>
      </c>
      <c r="F404" t="s">
        <v>4002</v>
      </c>
      <c r="G404" t="s">
        <v>4015</v>
      </c>
      <c r="H404" t="s">
        <v>4018</v>
      </c>
      <c r="I404" t="s">
        <v>4022</v>
      </c>
      <c r="J404" t="s">
        <v>4026</v>
      </c>
      <c r="K404" s="2">
        <v>44132</v>
      </c>
      <c r="L404" s="2">
        <v>44132</v>
      </c>
      <c r="M404">
        <v>3</v>
      </c>
      <c r="N404">
        <v>0</v>
      </c>
      <c r="O404">
        <f>IF(Tickets[[#This Row],[Ticket Priority]]="Critical",24,
IF(Tickets[[#This Row],[Ticket Priority]]="High",48,
IF(Tickets[[#This Row],[Ticket Priority]]="Medium",120,168)))</f>
        <v>24</v>
      </c>
      <c r="P404" t="str">
        <f>IF(Tickets[[#This Row],[Resolution Duration Hours]] &lt;= Tickets[[#This Row],[SLA_Target_Hours]], "Yes", "No")</f>
        <v>Yes</v>
      </c>
    </row>
    <row r="405" spans="1:16" hidden="1">
      <c r="A405">
        <v>404</v>
      </c>
      <c r="B405" t="s">
        <v>417</v>
      </c>
      <c r="C405" t="s">
        <v>2387</v>
      </c>
      <c r="D405" t="s">
        <v>3981</v>
      </c>
      <c r="E405" s="1">
        <v>44511</v>
      </c>
      <c r="F405" t="s">
        <v>4002</v>
      </c>
      <c r="G405" t="s">
        <v>4003</v>
      </c>
      <c r="H405" t="s">
        <v>4018</v>
      </c>
      <c r="I405" t="s">
        <v>4023</v>
      </c>
      <c r="J405" t="s">
        <v>4025</v>
      </c>
      <c r="K405" s="2">
        <v>44619</v>
      </c>
      <c r="L405" s="2">
        <v>44622</v>
      </c>
      <c r="M405">
        <v>5</v>
      </c>
      <c r="N405">
        <v>72</v>
      </c>
      <c r="O405">
        <f>IF(Tickets[[#This Row],[Ticket Priority]]="Critical",24,
IF(Tickets[[#This Row],[Ticket Priority]]="High",48,
IF(Tickets[[#This Row],[Ticket Priority]]="Medium",120,168)))</f>
        <v>120</v>
      </c>
      <c r="P405" t="str">
        <f>IF(Tickets[[#This Row],[Resolution Duration Hours]] &lt;= Tickets[[#This Row],[SLA_Target_Hours]], "Yes", "No")</f>
        <v>Yes</v>
      </c>
    </row>
    <row r="406" spans="1:16" hidden="1">
      <c r="A406">
        <v>405</v>
      </c>
      <c r="B406" t="s">
        <v>418</v>
      </c>
      <c r="C406" t="s">
        <v>2388</v>
      </c>
      <c r="D406" t="s">
        <v>3980</v>
      </c>
      <c r="E406" s="1">
        <v>44414</v>
      </c>
      <c r="F406" t="s">
        <v>4001</v>
      </c>
      <c r="G406" t="s">
        <v>4012</v>
      </c>
      <c r="H406" t="s">
        <v>4018</v>
      </c>
      <c r="I406" t="s">
        <v>4024</v>
      </c>
      <c r="J406" t="s">
        <v>4026</v>
      </c>
      <c r="K406" s="2">
        <v>44441</v>
      </c>
      <c r="L406" s="2">
        <v>44447</v>
      </c>
      <c r="M406">
        <v>3</v>
      </c>
      <c r="N406">
        <v>144</v>
      </c>
      <c r="O406">
        <f>IF(Tickets[[#This Row],[Ticket Priority]]="Critical",24,
IF(Tickets[[#This Row],[Ticket Priority]]="High",48,
IF(Tickets[[#This Row],[Ticket Priority]]="Medium",120,168)))</f>
        <v>168</v>
      </c>
      <c r="P406" t="str">
        <f>IF(Tickets[[#This Row],[Resolution Duration Hours]] &lt;= Tickets[[#This Row],[SLA_Target_Hours]], "Yes", "No")</f>
        <v>Yes</v>
      </c>
    </row>
    <row r="407" spans="1:16" hidden="1">
      <c r="A407">
        <v>406</v>
      </c>
      <c r="B407" t="s">
        <v>419</v>
      </c>
      <c r="C407" t="s">
        <v>2389</v>
      </c>
      <c r="D407" t="s">
        <v>3980</v>
      </c>
      <c r="E407" s="1">
        <v>44289</v>
      </c>
      <c r="F407" t="s">
        <v>4002</v>
      </c>
      <c r="G407" t="s">
        <v>4007</v>
      </c>
      <c r="H407" t="s">
        <v>4018</v>
      </c>
      <c r="I407" t="s">
        <v>4023</v>
      </c>
      <c r="J407" t="s">
        <v>4026</v>
      </c>
      <c r="K407" s="2">
        <v>44539</v>
      </c>
      <c r="L407" s="2">
        <v>44542</v>
      </c>
      <c r="M407">
        <v>4</v>
      </c>
      <c r="N407">
        <v>72</v>
      </c>
      <c r="O407">
        <f>IF(Tickets[[#This Row],[Ticket Priority]]="Critical",24,
IF(Tickets[[#This Row],[Ticket Priority]]="High",48,
IF(Tickets[[#This Row],[Ticket Priority]]="Medium",120,168)))</f>
        <v>120</v>
      </c>
      <c r="P407" t="str">
        <f>IF(Tickets[[#This Row],[Resolution Duration Hours]] &lt;= Tickets[[#This Row],[SLA_Target_Hours]], "Yes", "No")</f>
        <v>Yes</v>
      </c>
    </row>
    <row r="408" spans="1:16" hidden="1">
      <c r="A408">
        <v>407</v>
      </c>
      <c r="B408" t="s">
        <v>420</v>
      </c>
      <c r="C408" t="s">
        <v>2390</v>
      </c>
      <c r="D408" t="s">
        <v>3983</v>
      </c>
      <c r="E408" s="1">
        <v>43947</v>
      </c>
      <c r="F408" t="s">
        <v>4002</v>
      </c>
      <c r="G408" t="s">
        <v>4010</v>
      </c>
      <c r="H408" t="s">
        <v>4020</v>
      </c>
      <c r="I408" t="s">
        <v>4024</v>
      </c>
      <c r="J408" t="s">
        <v>4027</v>
      </c>
      <c r="K408" s="2">
        <v>44262</v>
      </c>
      <c r="L408" s="2">
        <v>44262</v>
      </c>
      <c r="N408">
        <v>0</v>
      </c>
      <c r="O408">
        <f>IF(Tickets[[#This Row],[Ticket Priority]]="Critical",24,
IF(Tickets[[#This Row],[Ticket Priority]]="High",48,
IF(Tickets[[#This Row],[Ticket Priority]]="Medium",120,168)))</f>
        <v>168</v>
      </c>
      <c r="P408" t="str">
        <f>IF(Tickets[[#This Row],[Resolution Duration Hours]] &lt;= Tickets[[#This Row],[SLA_Target_Hours]], "Yes", "No")</f>
        <v>Yes</v>
      </c>
    </row>
    <row r="409" spans="1:16" hidden="1">
      <c r="A409">
        <v>408</v>
      </c>
      <c r="B409" t="s">
        <v>421</v>
      </c>
      <c r="C409" t="s">
        <v>2391</v>
      </c>
      <c r="D409" t="s">
        <v>3983</v>
      </c>
      <c r="E409" s="1">
        <v>44087</v>
      </c>
      <c r="F409" t="s">
        <v>3999</v>
      </c>
      <c r="G409" t="s">
        <v>4006</v>
      </c>
      <c r="H409" t="s">
        <v>4018</v>
      </c>
      <c r="I409" t="s">
        <v>4024</v>
      </c>
      <c r="J409" t="s">
        <v>4028</v>
      </c>
      <c r="K409" s="2">
        <v>44213</v>
      </c>
      <c r="L409" s="2">
        <v>44219</v>
      </c>
      <c r="M409">
        <v>4</v>
      </c>
      <c r="N409">
        <v>144</v>
      </c>
      <c r="O409">
        <f>IF(Tickets[[#This Row],[Ticket Priority]]="Critical",24,
IF(Tickets[[#This Row],[Ticket Priority]]="High",48,
IF(Tickets[[#This Row],[Ticket Priority]]="Medium",120,168)))</f>
        <v>168</v>
      </c>
      <c r="P409" t="str">
        <f>IF(Tickets[[#This Row],[Resolution Duration Hours]] &lt;= Tickets[[#This Row],[SLA_Target_Hours]], "Yes", "No")</f>
        <v>Yes</v>
      </c>
    </row>
    <row r="410" spans="1:16" hidden="1">
      <c r="A410">
        <v>409</v>
      </c>
      <c r="B410" t="s">
        <v>422</v>
      </c>
      <c r="C410" t="s">
        <v>2392</v>
      </c>
      <c r="D410" t="s">
        <v>3984</v>
      </c>
      <c r="E410" s="1">
        <v>44691</v>
      </c>
      <c r="F410" t="s">
        <v>4002</v>
      </c>
      <c r="G410" t="s">
        <v>4006</v>
      </c>
      <c r="H410" t="s">
        <v>4018</v>
      </c>
      <c r="I410" t="s">
        <v>4023</v>
      </c>
      <c r="J410" t="s">
        <v>4026</v>
      </c>
      <c r="K410" s="2">
        <v>44874</v>
      </c>
      <c r="L410" s="2">
        <v>44879</v>
      </c>
      <c r="M410">
        <v>5</v>
      </c>
      <c r="N410">
        <v>120</v>
      </c>
      <c r="O410">
        <f>IF(Tickets[[#This Row],[Ticket Priority]]="Critical",24,
IF(Tickets[[#This Row],[Ticket Priority]]="High",48,
IF(Tickets[[#This Row],[Ticket Priority]]="Medium",120,168)))</f>
        <v>120</v>
      </c>
      <c r="P410" t="str">
        <f>IF(Tickets[[#This Row],[Resolution Duration Hours]] &lt;= Tickets[[#This Row],[SLA_Target_Hours]], "Yes", "No")</f>
        <v>Yes</v>
      </c>
    </row>
    <row r="411" spans="1:16">
      <c r="A411">
        <v>421</v>
      </c>
      <c r="B411" t="s">
        <v>434</v>
      </c>
      <c r="C411" t="s">
        <v>2404</v>
      </c>
      <c r="D411" t="s">
        <v>3992</v>
      </c>
      <c r="E411" s="1">
        <v>45051</v>
      </c>
      <c r="F411" t="s">
        <v>3998</v>
      </c>
      <c r="G411" t="s">
        <v>4012</v>
      </c>
      <c r="H411" t="s">
        <v>4020</v>
      </c>
      <c r="I411" t="s">
        <v>4024</v>
      </c>
      <c r="J411" t="s">
        <v>4026</v>
      </c>
      <c r="K411" s="2">
        <v>45297</v>
      </c>
      <c r="L411" s="2">
        <v>45307</v>
      </c>
      <c r="N411">
        <v>240</v>
      </c>
      <c r="O411">
        <f>IF(Tickets[[#This Row],[Ticket Priority]]="Critical",24,
IF(Tickets[[#This Row],[Ticket Priority]]="High",48,
IF(Tickets[[#This Row],[Ticket Priority]]="Medium",120,168)))</f>
        <v>168</v>
      </c>
      <c r="P411" t="str">
        <f>IF(Tickets[[#This Row],[Resolution Duration Hours]] &lt;= Tickets[[#This Row],[SLA_Target_Hours]], "Yes", "No")</f>
        <v>No</v>
      </c>
    </row>
    <row r="412" spans="1:16" hidden="1">
      <c r="A412">
        <v>411</v>
      </c>
      <c r="B412" t="s">
        <v>424</v>
      </c>
      <c r="C412" t="s">
        <v>2394</v>
      </c>
      <c r="D412" t="s">
        <v>3994</v>
      </c>
      <c r="E412" s="1">
        <v>44802</v>
      </c>
      <c r="F412" t="s">
        <v>3998</v>
      </c>
      <c r="G412" t="s">
        <v>4015</v>
      </c>
      <c r="H412" t="s">
        <v>4018</v>
      </c>
      <c r="I412" t="s">
        <v>4024</v>
      </c>
      <c r="J412" t="s">
        <v>4026</v>
      </c>
      <c r="K412" s="2">
        <v>45084</v>
      </c>
      <c r="L412" s="2">
        <v>45090</v>
      </c>
      <c r="N412">
        <v>144</v>
      </c>
      <c r="O412">
        <f>IF(Tickets[[#This Row],[Ticket Priority]]="Critical",24,
IF(Tickets[[#This Row],[Ticket Priority]]="High",48,
IF(Tickets[[#This Row],[Ticket Priority]]="Medium",120,168)))</f>
        <v>168</v>
      </c>
      <c r="P412" t="str">
        <f>IF(Tickets[[#This Row],[Resolution Duration Hours]] &lt;= Tickets[[#This Row],[SLA_Target_Hours]], "Yes", "No")</f>
        <v>Yes</v>
      </c>
    </row>
    <row r="413" spans="1:16" hidden="1">
      <c r="A413">
        <v>412</v>
      </c>
      <c r="B413" t="s">
        <v>425</v>
      </c>
      <c r="C413" t="s">
        <v>2395</v>
      </c>
      <c r="D413" t="s">
        <v>3985</v>
      </c>
      <c r="E413" s="1">
        <v>44010</v>
      </c>
      <c r="F413" t="s">
        <v>3998</v>
      </c>
      <c r="G413" t="s">
        <v>4013</v>
      </c>
      <c r="H413" t="s">
        <v>4017</v>
      </c>
      <c r="I413" t="s">
        <v>4021</v>
      </c>
      <c r="J413" t="s">
        <v>4026</v>
      </c>
      <c r="K413" s="2">
        <v>44247</v>
      </c>
      <c r="L413" s="2">
        <v>44248</v>
      </c>
      <c r="N413">
        <v>24</v>
      </c>
      <c r="O413">
        <f>IF(Tickets[[#This Row],[Ticket Priority]]="Critical",24,
IF(Tickets[[#This Row],[Ticket Priority]]="High",48,
IF(Tickets[[#This Row],[Ticket Priority]]="Medium",120,168)))</f>
        <v>48</v>
      </c>
      <c r="P413" t="str">
        <f>IF(Tickets[[#This Row],[Resolution Duration Hours]] &lt;= Tickets[[#This Row],[SLA_Target_Hours]], "Yes", "No")</f>
        <v>Yes</v>
      </c>
    </row>
    <row r="414" spans="1:16">
      <c r="A414">
        <v>535</v>
      </c>
      <c r="B414" t="s">
        <v>545</v>
      </c>
      <c r="C414" t="s">
        <v>2518</v>
      </c>
      <c r="D414" t="s">
        <v>3994</v>
      </c>
      <c r="E414" s="1">
        <v>44460</v>
      </c>
      <c r="F414" t="s">
        <v>3999</v>
      </c>
      <c r="G414" t="s">
        <v>4003</v>
      </c>
      <c r="H414" t="s">
        <v>4018</v>
      </c>
      <c r="I414" t="s">
        <v>4024</v>
      </c>
      <c r="J414" t="s">
        <v>4028</v>
      </c>
      <c r="K414" s="2">
        <v>44726</v>
      </c>
      <c r="L414" s="2">
        <v>44736</v>
      </c>
      <c r="N414">
        <v>240</v>
      </c>
      <c r="O414">
        <f>IF(Tickets[[#This Row],[Ticket Priority]]="Critical",24,
IF(Tickets[[#This Row],[Ticket Priority]]="High",48,
IF(Tickets[[#This Row],[Ticket Priority]]="Medium",120,168)))</f>
        <v>168</v>
      </c>
      <c r="P414" t="str">
        <f>IF(Tickets[[#This Row],[Resolution Duration Hours]] &lt;= Tickets[[#This Row],[SLA_Target_Hours]], "Yes", "No")</f>
        <v>No</v>
      </c>
    </row>
    <row r="415" spans="1:16" hidden="1">
      <c r="A415">
        <v>414</v>
      </c>
      <c r="B415" t="s">
        <v>427</v>
      </c>
      <c r="C415" t="s">
        <v>2397</v>
      </c>
      <c r="D415" t="s">
        <v>3994</v>
      </c>
      <c r="E415" s="1">
        <v>44707</v>
      </c>
      <c r="F415" t="s">
        <v>3999</v>
      </c>
      <c r="G415" t="s">
        <v>4000</v>
      </c>
      <c r="H415" t="s">
        <v>4018</v>
      </c>
      <c r="I415" t="s">
        <v>4021</v>
      </c>
      <c r="J415" t="s">
        <v>4028</v>
      </c>
      <c r="K415" s="2">
        <v>44819</v>
      </c>
      <c r="L415" s="2">
        <v>44821</v>
      </c>
      <c r="M415">
        <v>4</v>
      </c>
      <c r="N415">
        <v>48</v>
      </c>
      <c r="O415">
        <f>IF(Tickets[[#This Row],[Ticket Priority]]="Critical",24,
IF(Tickets[[#This Row],[Ticket Priority]]="High",48,
IF(Tickets[[#This Row],[Ticket Priority]]="Medium",120,168)))</f>
        <v>48</v>
      </c>
      <c r="P415" t="str">
        <f>IF(Tickets[[#This Row],[Resolution Duration Hours]] &lt;= Tickets[[#This Row],[SLA_Target_Hours]], "Yes", "No")</f>
        <v>Yes</v>
      </c>
    </row>
    <row r="416" spans="1:16" hidden="1">
      <c r="A416">
        <v>415</v>
      </c>
      <c r="B416" t="s">
        <v>428</v>
      </c>
      <c r="C416" t="s">
        <v>2398</v>
      </c>
      <c r="D416" t="s">
        <v>3984</v>
      </c>
      <c r="E416" s="1">
        <v>45006</v>
      </c>
      <c r="F416" t="s">
        <v>3999</v>
      </c>
      <c r="G416" t="s">
        <v>4009</v>
      </c>
      <c r="H416" t="s">
        <v>4018</v>
      </c>
      <c r="I416" t="s">
        <v>4023</v>
      </c>
      <c r="J416" t="s">
        <v>4026</v>
      </c>
      <c r="K416" s="2">
        <v>45029</v>
      </c>
      <c r="L416" s="2">
        <v>45032</v>
      </c>
      <c r="M416">
        <v>4</v>
      </c>
      <c r="N416">
        <v>72</v>
      </c>
      <c r="O416">
        <f>IF(Tickets[[#This Row],[Ticket Priority]]="Critical",24,
IF(Tickets[[#This Row],[Ticket Priority]]="High",48,
IF(Tickets[[#This Row],[Ticket Priority]]="Medium",120,168)))</f>
        <v>120</v>
      </c>
      <c r="P416" t="str">
        <f>IF(Tickets[[#This Row],[Resolution Duration Hours]] &lt;= Tickets[[#This Row],[SLA_Target_Hours]], "Yes", "No")</f>
        <v>Yes</v>
      </c>
    </row>
    <row r="417" spans="1:16" hidden="1">
      <c r="A417">
        <v>416</v>
      </c>
      <c r="B417" t="s">
        <v>429</v>
      </c>
      <c r="C417" t="s">
        <v>2399</v>
      </c>
      <c r="D417" t="s">
        <v>3982</v>
      </c>
      <c r="E417" s="1">
        <v>44720</v>
      </c>
      <c r="F417" t="s">
        <v>4002</v>
      </c>
      <c r="G417" t="s">
        <v>4004</v>
      </c>
      <c r="H417" t="s">
        <v>4018</v>
      </c>
      <c r="I417" t="s">
        <v>4023</v>
      </c>
      <c r="J417" t="s">
        <v>4026</v>
      </c>
      <c r="K417" s="2">
        <v>44912</v>
      </c>
      <c r="L417" s="2">
        <v>44915</v>
      </c>
      <c r="M417">
        <v>4</v>
      </c>
      <c r="N417">
        <v>72</v>
      </c>
      <c r="O417">
        <f>IF(Tickets[[#This Row],[Ticket Priority]]="Critical",24,
IF(Tickets[[#This Row],[Ticket Priority]]="High",48,
IF(Tickets[[#This Row],[Ticket Priority]]="Medium",120,168)))</f>
        <v>120</v>
      </c>
      <c r="P417" t="str">
        <f>IF(Tickets[[#This Row],[Resolution Duration Hours]] &lt;= Tickets[[#This Row],[SLA_Target_Hours]], "Yes", "No")</f>
        <v>Yes</v>
      </c>
    </row>
    <row r="418" spans="1:16">
      <c r="A418">
        <v>601</v>
      </c>
      <c r="B418" t="s">
        <v>611</v>
      </c>
      <c r="C418" t="s">
        <v>2584</v>
      </c>
      <c r="D418" t="s">
        <v>3992</v>
      </c>
      <c r="E418" s="1">
        <v>44445</v>
      </c>
      <c r="F418" t="s">
        <v>4002</v>
      </c>
      <c r="G418" t="s">
        <v>4011</v>
      </c>
      <c r="H418" t="s">
        <v>4018</v>
      </c>
      <c r="I418" t="s">
        <v>4024</v>
      </c>
      <c r="J418" t="s">
        <v>4026</v>
      </c>
      <c r="K418" s="2">
        <v>44744</v>
      </c>
      <c r="L418" s="2">
        <v>44754</v>
      </c>
      <c r="M418">
        <v>4</v>
      </c>
      <c r="N418">
        <v>240</v>
      </c>
      <c r="O418">
        <f>IF(Tickets[[#This Row],[Ticket Priority]]="Critical",24,
IF(Tickets[[#This Row],[Ticket Priority]]="High",48,
IF(Tickets[[#This Row],[Ticket Priority]]="Medium",120,168)))</f>
        <v>168</v>
      </c>
      <c r="P418" t="str">
        <f>IF(Tickets[[#This Row],[Resolution Duration Hours]] &lt;= Tickets[[#This Row],[SLA_Target_Hours]], "Yes", "No")</f>
        <v>No</v>
      </c>
    </row>
    <row r="419" spans="1:16" hidden="1">
      <c r="A419">
        <v>418</v>
      </c>
      <c r="B419" t="s">
        <v>431</v>
      </c>
      <c r="C419" t="s">
        <v>2401</v>
      </c>
      <c r="D419" t="s">
        <v>3982</v>
      </c>
      <c r="E419" s="1">
        <v>43897</v>
      </c>
      <c r="F419" t="s">
        <v>4000</v>
      </c>
      <c r="G419" t="s">
        <v>4011</v>
      </c>
      <c r="H419" t="s">
        <v>4018</v>
      </c>
      <c r="I419" t="s">
        <v>4024</v>
      </c>
      <c r="J419" t="s">
        <v>4026</v>
      </c>
      <c r="K419" s="2">
        <v>44082</v>
      </c>
      <c r="L419" s="2">
        <v>44087</v>
      </c>
      <c r="M419">
        <v>3</v>
      </c>
      <c r="N419">
        <v>120</v>
      </c>
      <c r="O419">
        <f>IF(Tickets[[#This Row],[Ticket Priority]]="Critical",24,
IF(Tickets[[#This Row],[Ticket Priority]]="High",48,
IF(Tickets[[#This Row],[Ticket Priority]]="Medium",120,168)))</f>
        <v>168</v>
      </c>
      <c r="P419" t="str">
        <f>IF(Tickets[[#This Row],[Resolution Duration Hours]] &lt;= Tickets[[#This Row],[SLA_Target_Hours]], "Yes", "No")</f>
        <v>Yes</v>
      </c>
    </row>
    <row r="420" spans="1:16" hidden="1">
      <c r="A420">
        <v>419</v>
      </c>
      <c r="B420" t="s">
        <v>432</v>
      </c>
      <c r="C420" t="s">
        <v>2402</v>
      </c>
      <c r="D420" t="s">
        <v>3982</v>
      </c>
      <c r="E420" s="1">
        <v>43935</v>
      </c>
      <c r="F420" t="s">
        <v>4001</v>
      </c>
      <c r="G420" t="s">
        <v>4006</v>
      </c>
      <c r="H420" t="s">
        <v>4018</v>
      </c>
      <c r="I420" t="s">
        <v>4022</v>
      </c>
      <c r="J420" t="s">
        <v>4028</v>
      </c>
      <c r="K420" s="2">
        <v>44266</v>
      </c>
      <c r="L420" s="2">
        <v>44267</v>
      </c>
      <c r="M420">
        <v>4</v>
      </c>
      <c r="N420">
        <v>24</v>
      </c>
      <c r="O420">
        <f>IF(Tickets[[#This Row],[Ticket Priority]]="Critical",24,
IF(Tickets[[#This Row],[Ticket Priority]]="High",48,
IF(Tickets[[#This Row],[Ticket Priority]]="Medium",120,168)))</f>
        <v>24</v>
      </c>
      <c r="P420" t="str">
        <f>IF(Tickets[[#This Row],[Resolution Duration Hours]] &lt;= Tickets[[#This Row],[SLA_Target_Hours]], "Yes", "No")</f>
        <v>Yes</v>
      </c>
    </row>
    <row r="421" spans="1:16">
      <c r="A421">
        <v>673</v>
      </c>
      <c r="B421" t="s">
        <v>683</v>
      </c>
      <c r="C421" t="s">
        <v>2656</v>
      </c>
      <c r="D421" t="s">
        <v>3985</v>
      </c>
      <c r="E421" s="1">
        <v>44911</v>
      </c>
      <c r="F421" t="s">
        <v>4000</v>
      </c>
      <c r="G421" t="s">
        <v>4008</v>
      </c>
      <c r="H421" t="s">
        <v>4020</v>
      </c>
      <c r="I421" t="s">
        <v>4024</v>
      </c>
      <c r="J421" t="s">
        <v>4027</v>
      </c>
      <c r="K421" s="2">
        <v>44925</v>
      </c>
      <c r="L421" s="2">
        <v>44935</v>
      </c>
      <c r="N421">
        <v>240</v>
      </c>
      <c r="O421">
        <f>IF(Tickets[[#This Row],[Ticket Priority]]="Critical",24,
IF(Tickets[[#This Row],[Ticket Priority]]="High",48,
IF(Tickets[[#This Row],[Ticket Priority]]="Medium",120,168)))</f>
        <v>168</v>
      </c>
      <c r="P421" t="str">
        <f>IF(Tickets[[#This Row],[Resolution Duration Hours]] &lt;= Tickets[[#This Row],[SLA_Target_Hours]], "Yes", "No")</f>
        <v>No</v>
      </c>
    </row>
    <row r="422" spans="1:16">
      <c r="A422">
        <v>806</v>
      </c>
      <c r="B422" t="s">
        <v>814</v>
      </c>
      <c r="C422" t="s">
        <v>2788</v>
      </c>
      <c r="D422" t="s">
        <v>3995</v>
      </c>
      <c r="E422" s="1">
        <v>44565</v>
      </c>
      <c r="F422" t="s">
        <v>3999</v>
      </c>
      <c r="G422" t="s">
        <v>4015</v>
      </c>
      <c r="H422" t="s">
        <v>4017</v>
      </c>
      <c r="I422" t="s">
        <v>4024</v>
      </c>
      <c r="J422" t="s">
        <v>4027</v>
      </c>
      <c r="K422" s="2">
        <v>44672</v>
      </c>
      <c r="L422" s="2">
        <v>44682</v>
      </c>
      <c r="N422">
        <v>240</v>
      </c>
      <c r="O422">
        <f>IF(Tickets[[#This Row],[Ticket Priority]]="Critical",24,
IF(Tickets[[#This Row],[Ticket Priority]]="High",48,
IF(Tickets[[#This Row],[Ticket Priority]]="Medium",120,168)))</f>
        <v>168</v>
      </c>
      <c r="P422" t="str">
        <f>IF(Tickets[[#This Row],[Resolution Duration Hours]] &lt;= Tickets[[#This Row],[SLA_Target_Hours]], "Yes", "No")</f>
        <v>No</v>
      </c>
    </row>
    <row r="423" spans="1:16" hidden="1">
      <c r="A423">
        <v>422</v>
      </c>
      <c r="B423" t="s">
        <v>435</v>
      </c>
      <c r="C423" t="s">
        <v>2405</v>
      </c>
      <c r="D423" t="s">
        <v>3982</v>
      </c>
      <c r="E423" s="1">
        <v>44719</v>
      </c>
      <c r="F423" t="s">
        <v>4002</v>
      </c>
      <c r="G423" t="s">
        <v>4004</v>
      </c>
      <c r="H423" t="s">
        <v>4018</v>
      </c>
      <c r="I423" t="s">
        <v>4023</v>
      </c>
      <c r="J423" t="s">
        <v>4026</v>
      </c>
      <c r="K423" s="2">
        <v>45070</v>
      </c>
      <c r="L423" s="2">
        <v>45075</v>
      </c>
      <c r="N423">
        <v>120</v>
      </c>
      <c r="O423">
        <f>IF(Tickets[[#This Row],[Ticket Priority]]="Critical",24,
IF(Tickets[[#This Row],[Ticket Priority]]="High",48,
IF(Tickets[[#This Row],[Ticket Priority]]="Medium",120,168)))</f>
        <v>120</v>
      </c>
      <c r="P423" t="str">
        <f>IF(Tickets[[#This Row],[Resolution Duration Hours]] &lt;= Tickets[[#This Row],[SLA_Target_Hours]], "Yes", "No")</f>
        <v>Yes</v>
      </c>
    </row>
    <row r="424" spans="1:16" hidden="1">
      <c r="A424">
        <v>423</v>
      </c>
      <c r="B424" t="s">
        <v>436</v>
      </c>
      <c r="C424" t="s">
        <v>2406</v>
      </c>
      <c r="D424" t="s">
        <v>3997</v>
      </c>
      <c r="E424" s="1">
        <v>43891</v>
      </c>
      <c r="F424" t="s">
        <v>3998</v>
      </c>
      <c r="G424" t="s">
        <v>4004</v>
      </c>
      <c r="H424" t="s">
        <v>4018</v>
      </c>
      <c r="I424" t="s">
        <v>4021</v>
      </c>
      <c r="J424" t="s">
        <v>4026</v>
      </c>
      <c r="K424" s="2">
        <v>44241</v>
      </c>
      <c r="L424" s="2">
        <v>44241</v>
      </c>
      <c r="M424">
        <v>4</v>
      </c>
      <c r="N424">
        <v>0</v>
      </c>
      <c r="O424">
        <f>IF(Tickets[[#This Row],[Ticket Priority]]="Critical",24,
IF(Tickets[[#This Row],[Ticket Priority]]="High",48,
IF(Tickets[[#This Row],[Ticket Priority]]="Medium",120,168)))</f>
        <v>48</v>
      </c>
      <c r="P424" t="str">
        <f>IF(Tickets[[#This Row],[Resolution Duration Hours]] &lt;= Tickets[[#This Row],[SLA_Target_Hours]], "Yes", "No")</f>
        <v>Yes</v>
      </c>
    </row>
    <row r="425" spans="1:16" hidden="1">
      <c r="A425">
        <v>424</v>
      </c>
      <c r="B425" t="s">
        <v>437</v>
      </c>
      <c r="C425" t="s">
        <v>2407</v>
      </c>
      <c r="D425" t="s">
        <v>3988</v>
      </c>
      <c r="E425" s="1">
        <v>43862</v>
      </c>
      <c r="F425" t="s">
        <v>4000</v>
      </c>
      <c r="G425" t="s">
        <v>4004</v>
      </c>
      <c r="H425" t="s">
        <v>4017</v>
      </c>
      <c r="I425" t="s">
        <v>4024</v>
      </c>
      <c r="J425" t="s">
        <v>4027</v>
      </c>
      <c r="K425" s="2">
        <v>44108</v>
      </c>
      <c r="L425" s="2">
        <v>44113</v>
      </c>
      <c r="N425">
        <v>120</v>
      </c>
      <c r="O425">
        <f>IF(Tickets[[#This Row],[Ticket Priority]]="Critical",24,
IF(Tickets[[#This Row],[Ticket Priority]]="High",48,
IF(Tickets[[#This Row],[Ticket Priority]]="Medium",120,168)))</f>
        <v>168</v>
      </c>
      <c r="P425" t="str">
        <f>IF(Tickets[[#This Row],[Resolution Duration Hours]] &lt;= Tickets[[#This Row],[SLA_Target_Hours]], "Yes", "No")</f>
        <v>Yes</v>
      </c>
    </row>
    <row r="426" spans="1:16" hidden="1">
      <c r="A426">
        <v>425</v>
      </c>
      <c r="B426" t="s">
        <v>438</v>
      </c>
      <c r="C426" t="s">
        <v>2408</v>
      </c>
      <c r="D426" t="s">
        <v>3995</v>
      </c>
      <c r="E426" s="1">
        <v>44185</v>
      </c>
      <c r="F426" t="s">
        <v>3999</v>
      </c>
      <c r="G426" t="s">
        <v>4009</v>
      </c>
      <c r="H426" t="s">
        <v>4018</v>
      </c>
      <c r="I426" t="s">
        <v>4024</v>
      </c>
      <c r="J426" t="s">
        <v>4025</v>
      </c>
      <c r="K426" s="2">
        <v>44374</v>
      </c>
      <c r="L426" s="2">
        <v>44377</v>
      </c>
      <c r="M426">
        <v>3</v>
      </c>
      <c r="N426">
        <v>72</v>
      </c>
      <c r="O426">
        <f>IF(Tickets[[#This Row],[Ticket Priority]]="Critical",24,
IF(Tickets[[#This Row],[Ticket Priority]]="High",48,
IF(Tickets[[#This Row],[Ticket Priority]]="Medium",120,168)))</f>
        <v>168</v>
      </c>
      <c r="P426" t="str">
        <f>IF(Tickets[[#This Row],[Resolution Duration Hours]] &lt;= Tickets[[#This Row],[SLA_Target_Hours]], "Yes", "No")</f>
        <v>Yes</v>
      </c>
    </row>
    <row r="427" spans="1:16" hidden="1">
      <c r="A427">
        <v>426</v>
      </c>
      <c r="B427" t="s">
        <v>439</v>
      </c>
      <c r="C427" t="s">
        <v>2409</v>
      </c>
      <c r="D427" t="s">
        <v>3980</v>
      </c>
      <c r="E427" s="1">
        <v>43969</v>
      </c>
      <c r="F427" t="s">
        <v>3998</v>
      </c>
      <c r="G427" t="s">
        <v>4000</v>
      </c>
      <c r="H427" t="s">
        <v>4018</v>
      </c>
      <c r="I427" t="s">
        <v>4023</v>
      </c>
      <c r="J427" t="s">
        <v>4028</v>
      </c>
      <c r="K427" s="2">
        <v>44019</v>
      </c>
      <c r="L427" s="2">
        <v>44021</v>
      </c>
      <c r="M427">
        <v>5</v>
      </c>
      <c r="N427">
        <v>48</v>
      </c>
      <c r="O427">
        <f>IF(Tickets[[#This Row],[Ticket Priority]]="Critical",24,
IF(Tickets[[#This Row],[Ticket Priority]]="High",48,
IF(Tickets[[#This Row],[Ticket Priority]]="Medium",120,168)))</f>
        <v>120</v>
      </c>
      <c r="P427" t="str">
        <f>IF(Tickets[[#This Row],[Resolution Duration Hours]] &lt;= Tickets[[#This Row],[SLA_Target_Hours]], "Yes", "No")</f>
        <v>Yes</v>
      </c>
    </row>
    <row r="428" spans="1:16" hidden="1">
      <c r="A428">
        <v>427</v>
      </c>
      <c r="B428" t="s">
        <v>440</v>
      </c>
      <c r="C428" t="s">
        <v>2410</v>
      </c>
      <c r="D428" t="s">
        <v>3987</v>
      </c>
      <c r="E428" s="1">
        <v>44631</v>
      </c>
      <c r="F428" t="s">
        <v>3999</v>
      </c>
      <c r="G428" t="s">
        <v>4000</v>
      </c>
      <c r="H428" t="s">
        <v>4018</v>
      </c>
      <c r="I428" t="s">
        <v>4022</v>
      </c>
      <c r="J428" t="s">
        <v>4026</v>
      </c>
      <c r="K428" s="2">
        <v>44994</v>
      </c>
      <c r="L428" s="2">
        <v>44995</v>
      </c>
      <c r="M428">
        <v>5</v>
      </c>
      <c r="N428">
        <v>24</v>
      </c>
      <c r="O428">
        <f>IF(Tickets[[#This Row],[Ticket Priority]]="Critical",24,
IF(Tickets[[#This Row],[Ticket Priority]]="High",48,
IF(Tickets[[#This Row],[Ticket Priority]]="Medium",120,168)))</f>
        <v>24</v>
      </c>
      <c r="P428" t="str">
        <f>IF(Tickets[[#This Row],[Resolution Duration Hours]] &lt;= Tickets[[#This Row],[SLA_Target_Hours]], "Yes", "No")</f>
        <v>Yes</v>
      </c>
    </row>
    <row r="429" spans="1:16" hidden="1">
      <c r="A429">
        <v>428</v>
      </c>
      <c r="B429" t="s">
        <v>441</v>
      </c>
      <c r="C429" t="s">
        <v>2411</v>
      </c>
      <c r="D429" t="s">
        <v>3985</v>
      </c>
      <c r="E429" s="1">
        <v>43875</v>
      </c>
      <c r="F429" t="s">
        <v>4000</v>
      </c>
      <c r="G429" t="s">
        <v>4008</v>
      </c>
      <c r="H429" t="s">
        <v>4018</v>
      </c>
      <c r="I429" t="s">
        <v>4023</v>
      </c>
      <c r="J429" t="s">
        <v>4026</v>
      </c>
      <c r="K429" s="2">
        <v>44093</v>
      </c>
      <c r="L429" s="2">
        <v>44098</v>
      </c>
      <c r="M429">
        <v>3</v>
      </c>
      <c r="N429">
        <v>120</v>
      </c>
      <c r="O429">
        <f>IF(Tickets[[#This Row],[Ticket Priority]]="Critical",24,
IF(Tickets[[#This Row],[Ticket Priority]]="High",48,
IF(Tickets[[#This Row],[Ticket Priority]]="Medium",120,168)))</f>
        <v>120</v>
      </c>
      <c r="P429" t="str">
        <f>IF(Tickets[[#This Row],[Resolution Duration Hours]] &lt;= Tickets[[#This Row],[SLA_Target_Hours]], "Yes", "No")</f>
        <v>Yes</v>
      </c>
    </row>
    <row r="430" spans="1:16" hidden="1">
      <c r="A430">
        <v>429</v>
      </c>
      <c r="B430" t="s">
        <v>442</v>
      </c>
      <c r="C430" t="s">
        <v>2412</v>
      </c>
      <c r="D430" t="s">
        <v>3991</v>
      </c>
      <c r="E430" s="1">
        <v>44925</v>
      </c>
      <c r="F430" t="s">
        <v>4000</v>
      </c>
      <c r="G430" t="s">
        <v>4015</v>
      </c>
      <c r="H430" t="s">
        <v>4018</v>
      </c>
      <c r="I430" t="s">
        <v>4023</v>
      </c>
      <c r="J430" t="s">
        <v>4026</v>
      </c>
      <c r="K430" s="2">
        <v>45210</v>
      </c>
      <c r="L430" s="2">
        <v>45213</v>
      </c>
      <c r="M430">
        <v>4</v>
      </c>
      <c r="N430">
        <v>72</v>
      </c>
      <c r="O430">
        <f>IF(Tickets[[#This Row],[Ticket Priority]]="Critical",24,
IF(Tickets[[#This Row],[Ticket Priority]]="High",48,
IF(Tickets[[#This Row],[Ticket Priority]]="Medium",120,168)))</f>
        <v>120</v>
      </c>
      <c r="P430" t="str">
        <f>IF(Tickets[[#This Row],[Resolution Duration Hours]] &lt;= Tickets[[#This Row],[SLA_Target_Hours]], "Yes", "No")</f>
        <v>Yes</v>
      </c>
    </row>
    <row r="431" spans="1:16" hidden="1">
      <c r="A431">
        <v>430</v>
      </c>
      <c r="B431" t="s">
        <v>443</v>
      </c>
      <c r="C431" t="s">
        <v>2413</v>
      </c>
      <c r="D431" t="s">
        <v>3979</v>
      </c>
      <c r="E431" s="1">
        <v>43878</v>
      </c>
      <c r="F431" t="s">
        <v>3998</v>
      </c>
      <c r="G431" t="s">
        <v>4009</v>
      </c>
      <c r="H431" t="s">
        <v>4018</v>
      </c>
      <c r="I431" t="s">
        <v>4024</v>
      </c>
      <c r="J431" t="s">
        <v>4026</v>
      </c>
      <c r="K431" s="2">
        <v>43995</v>
      </c>
      <c r="L431" s="2">
        <v>43998</v>
      </c>
      <c r="M431">
        <v>5</v>
      </c>
      <c r="N431">
        <v>72</v>
      </c>
      <c r="O431">
        <f>IF(Tickets[[#This Row],[Ticket Priority]]="Critical",24,
IF(Tickets[[#This Row],[Ticket Priority]]="High",48,
IF(Tickets[[#This Row],[Ticket Priority]]="Medium",120,168)))</f>
        <v>168</v>
      </c>
      <c r="P431" t="str">
        <f>IF(Tickets[[#This Row],[Resolution Duration Hours]] &lt;= Tickets[[#This Row],[SLA_Target_Hours]], "Yes", "No")</f>
        <v>Yes</v>
      </c>
    </row>
    <row r="432" spans="1:16" hidden="1">
      <c r="A432">
        <v>431</v>
      </c>
      <c r="B432" t="s">
        <v>444</v>
      </c>
      <c r="C432" t="s">
        <v>2414</v>
      </c>
      <c r="D432" t="s">
        <v>3994</v>
      </c>
      <c r="E432" s="1">
        <v>44085</v>
      </c>
      <c r="F432" t="s">
        <v>4001</v>
      </c>
      <c r="G432" t="s">
        <v>4003</v>
      </c>
      <c r="H432" t="s">
        <v>4018</v>
      </c>
      <c r="I432" t="s">
        <v>4023</v>
      </c>
      <c r="J432" t="s">
        <v>4028</v>
      </c>
      <c r="K432" s="2">
        <v>44167</v>
      </c>
      <c r="L432" s="2">
        <v>44170</v>
      </c>
      <c r="M432">
        <v>4</v>
      </c>
      <c r="N432">
        <v>72</v>
      </c>
      <c r="O432">
        <f>IF(Tickets[[#This Row],[Ticket Priority]]="Critical",24,
IF(Tickets[[#This Row],[Ticket Priority]]="High",48,
IF(Tickets[[#This Row],[Ticket Priority]]="Medium",120,168)))</f>
        <v>120</v>
      </c>
      <c r="P432" t="str">
        <f>IF(Tickets[[#This Row],[Resolution Duration Hours]] &lt;= Tickets[[#This Row],[SLA_Target_Hours]], "Yes", "No")</f>
        <v>Yes</v>
      </c>
    </row>
    <row r="433" spans="1:16">
      <c r="A433">
        <v>807</v>
      </c>
      <c r="B433" t="s">
        <v>815</v>
      </c>
      <c r="C433" t="s">
        <v>2789</v>
      </c>
      <c r="D433" t="s">
        <v>3987</v>
      </c>
      <c r="E433" s="1">
        <v>43875</v>
      </c>
      <c r="F433" t="s">
        <v>3998</v>
      </c>
      <c r="G433" t="s">
        <v>4012</v>
      </c>
      <c r="H433" t="s">
        <v>4018</v>
      </c>
      <c r="I433" t="s">
        <v>4024</v>
      </c>
      <c r="J433" t="s">
        <v>4026</v>
      </c>
      <c r="K433" s="2">
        <v>44130</v>
      </c>
      <c r="L433" s="2">
        <v>44140</v>
      </c>
      <c r="M433">
        <v>4</v>
      </c>
      <c r="N433">
        <v>240</v>
      </c>
      <c r="O433">
        <f>IF(Tickets[[#This Row],[Ticket Priority]]="Critical",24,
IF(Tickets[[#This Row],[Ticket Priority]]="High",48,
IF(Tickets[[#This Row],[Ticket Priority]]="Medium",120,168)))</f>
        <v>168</v>
      </c>
      <c r="P433" t="str">
        <f>IF(Tickets[[#This Row],[Resolution Duration Hours]] &lt;= Tickets[[#This Row],[SLA_Target_Hours]], "Yes", "No")</f>
        <v>No</v>
      </c>
    </row>
    <row r="434" spans="1:16" hidden="1">
      <c r="A434">
        <v>433</v>
      </c>
      <c r="B434" t="s">
        <v>446</v>
      </c>
      <c r="C434" t="s">
        <v>2416</v>
      </c>
      <c r="D434" t="s">
        <v>3982</v>
      </c>
      <c r="E434" s="1">
        <v>44628</v>
      </c>
      <c r="F434" t="s">
        <v>3998</v>
      </c>
      <c r="G434" t="s">
        <v>4004</v>
      </c>
      <c r="H434" t="s">
        <v>4018</v>
      </c>
      <c r="I434" t="s">
        <v>4022</v>
      </c>
      <c r="J434" t="s">
        <v>4026</v>
      </c>
      <c r="K434" s="2">
        <v>44955</v>
      </c>
      <c r="L434" s="2">
        <v>44956</v>
      </c>
      <c r="M434">
        <v>4</v>
      </c>
      <c r="N434">
        <v>24</v>
      </c>
      <c r="O434">
        <f>IF(Tickets[[#This Row],[Ticket Priority]]="Critical",24,
IF(Tickets[[#This Row],[Ticket Priority]]="High",48,
IF(Tickets[[#This Row],[Ticket Priority]]="Medium",120,168)))</f>
        <v>24</v>
      </c>
      <c r="P434" t="str">
        <f>IF(Tickets[[#This Row],[Resolution Duration Hours]] &lt;= Tickets[[#This Row],[SLA_Target_Hours]], "Yes", "No")</f>
        <v>Yes</v>
      </c>
    </row>
    <row r="435" spans="1:16" hidden="1">
      <c r="A435">
        <v>434</v>
      </c>
      <c r="B435" t="s">
        <v>447</v>
      </c>
      <c r="C435" t="s">
        <v>2417</v>
      </c>
      <c r="D435" t="s">
        <v>3993</v>
      </c>
      <c r="E435" s="1">
        <v>44764</v>
      </c>
      <c r="F435" t="s">
        <v>3999</v>
      </c>
      <c r="G435" t="s">
        <v>4008</v>
      </c>
      <c r="H435" t="s">
        <v>4017</v>
      </c>
      <c r="I435" t="s">
        <v>4022</v>
      </c>
      <c r="J435" t="s">
        <v>4026</v>
      </c>
      <c r="K435" s="2">
        <v>45078</v>
      </c>
      <c r="L435" s="2">
        <v>45079</v>
      </c>
      <c r="N435">
        <v>24</v>
      </c>
      <c r="O435">
        <f>IF(Tickets[[#This Row],[Ticket Priority]]="Critical",24,
IF(Tickets[[#This Row],[Ticket Priority]]="High",48,
IF(Tickets[[#This Row],[Ticket Priority]]="Medium",120,168)))</f>
        <v>24</v>
      </c>
      <c r="P435" t="str">
        <f>IF(Tickets[[#This Row],[Resolution Duration Hours]] &lt;= Tickets[[#This Row],[SLA_Target_Hours]], "Yes", "No")</f>
        <v>Yes</v>
      </c>
    </row>
    <row r="436" spans="1:16" hidden="1">
      <c r="A436">
        <v>435</v>
      </c>
      <c r="B436" t="s">
        <v>448</v>
      </c>
      <c r="C436" t="s">
        <v>2418</v>
      </c>
      <c r="D436" t="s">
        <v>3996</v>
      </c>
      <c r="E436" s="1">
        <v>44372</v>
      </c>
      <c r="F436" t="s">
        <v>4001</v>
      </c>
      <c r="G436" t="s">
        <v>4004</v>
      </c>
      <c r="H436" t="s">
        <v>4017</v>
      </c>
      <c r="I436" t="s">
        <v>4023</v>
      </c>
      <c r="J436" t="s">
        <v>4025</v>
      </c>
      <c r="K436" s="2">
        <v>44552</v>
      </c>
      <c r="L436" s="2">
        <v>44554</v>
      </c>
      <c r="N436">
        <v>48</v>
      </c>
      <c r="O436">
        <f>IF(Tickets[[#This Row],[Ticket Priority]]="Critical",24,
IF(Tickets[[#This Row],[Ticket Priority]]="High",48,
IF(Tickets[[#This Row],[Ticket Priority]]="Medium",120,168)))</f>
        <v>120</v>
      </c>
      <c r="P436" t="str">
        <f>IF(Tickets[[#This Row],[Resolution Duration Hours]] &lt;= Tickets[[#This Row],[SLA_Target_Hours]], "Yes", "No")</f>
        <v>Yes</v>
      </c>
    </row>
    <row r="437" spans="1:16" hidden="1">
      <c r="A437">
        <v>436</v>
      </c>
      <c r="B437" t="s">
        <v>449</v>
      </c>
      <c r="C437" t="s">
        <v>2419</v>
      </c>
      <c r="D437" t="s">
        <v>3986</v>
      </c>
      <c r="E437" s="1">
        <v>44859</v>
      </c>
      <c r="F437" t="s">
        <v>4000</v>
      </c>
      <c r="G437" t="s">
        <v>4009</v>
      </c>
      <c r="H437" t="s">
        <v>4018</v>
      </c>
      <c r="I437" t="s">
        <v>4023</v>
      </c>
      <c r="J437" t="s">
        <v>4026</v>
      </c>
      <c r="K437" s="2">
        <v>45145</v>
      </c>
      <c r="L437" s="2">
        <v>45149</v>
      </c>
      <c r="M437">
        <v>4</v>
      </c>
      <c r="N437">
        <v>96</v>
      </c>
      <c r="O437">
        <f>IF(Tickets[[#This Row],[Ticket Priority]]="Critical",24,
IF(Tickets[[#This Row],[Ticket Priority]]="High",48,
IF(Tickets[[#This Row],[Ticket Priority]]="Medium",120,168)))</f>
        <v>120</v>
      </c>
      <c r="P437" t="str">
        <f>IF(Tickets[[#This Row],[Resolution Duration Hours]] &lt;= Tickets[[#This Row],[SLA_Target_Hours]], "Yes", "No")</f>
        <v>Yes</v>
      </c>
    </row>
    <row r="438" spans="1:16" hidden="1">
      <c r="A438">
        <v>437</v>
      </c>
      <c r="B438" t="s">
        <v>450</v>
      </c>
      <c r="C438" t="s">
        <v>2420</v>
      </c>
      <c r="D438" t="s">
        <v>3982</v>
      </c>
      <c r="E438" s="1">
        <v>44353</v>
      </c>
      <c r="F438" t="s">
        <v>3999</v>
      </c>
      <c r="G438" t="s">
        <v>4006</v>
      </c>
      <c r="H438" t="s">
        <v>4018</v>
      </c>
      <c r="I438" t="s">
        <v>4023</v>
      </c>
      <c r="J438" t="s">
        <v>4028</v>
      </c>
      <c r="K438" s="2">
        <v>44561</v>
      </c>
      <c r="L438" s="2">
        <v>44564</v>
      </c>
      <c r="M438">
        <v>4</v>
      </c>
      <c r="N438">
        <v>72</v>
      </c>
      <c r="O438">
        <f>IF(Tickets[[#This Row],[Ticket Priority]]="Critical",24,
IF(Tickets[[#This Row],[Ticket Priority]]="High",48,
IF(Tickets[[#This Row],[Ticket Priority]]="Medium",120,168)))</f>
        <v>120</v>
      </c>
      <c r="P438" t="str">
        <f>IF(Tickets[[#This Row],[Resolution Duration Hours]] &lt;= Tickets[[#This Row],[SLA_Target_Hours]], "Yes", "No")</f>
        <v>Yes</v>
      </c>
    </row>
    <row r="439" spans="1:16" hidden="1">
      <c r="A439">
        <v>438</v>
      </c>
      <c r="B439" t="s">
        <v>451</v>
      </c>
      <c r="C439" t="s">
        <v>2421</v>
      </c>
      <c r="D439" t="s">
        <v>3980</v>
      </c>
      <c r="E439" s="1">
        <v>45077</v>
      </c>
      <c r="F439" t="s">
        <v>4000</v>
      </c>
      <c r="G439" t="s">
        <v>4013</v>
      </c>
      <c r="H439" t="s">
        <v>4020</v>
      </c>
      <c r="I439" t="s">
        <v>4024</v>
      </c>
      <c r="J439" t="s">
        <v>4027</v>
      </c>
      <c r="K439" s="2">
        <v>45205</v>
      </c>
      <c r="L439" s="2">
        <v>45208</v>
      </c>
      <c r="N439">
        <v>72</v>
      </c>
      <c r="O439">
        <f>IF(Tickets[[#This Row],[Ticket Priority]]="Critical",24,
IF(Tickets[[#This Row],[Ticket Priority]]="High",48,
IF(Tickets[[#This Row],[Ticket Priority]]="Medium",120,168)))</f>
        <v>168</v>
      </c>
      <c r="P439" t="str">
        <f>IF(Tickets[[#This Row],[Resolution Duration Hours]] &lt;= Tickets[[#This Row],[SLA_Target_Hours]], "Yes", "No")</f>
        <v>Yes</v>
      </c>
    </row>
    <row r="440" spans="1:16" hidden="1">
      <c r="A440">
        <v>439</v>
      </c>
      <c r="B440" t="s">
        <v>452</v>
      </c>
      <c r="C440" t="s">
        <v>2422</v>
      </c>
      <c r="D440" t="s">
        <v>3984</v>
      </c>
      <c r="E440" s="1">
        <v>44234</v>
      </c>
      <c r="F440" t="s">
        <v>4002</v>
      </c>
      <c r="G440" t="s">
        <v>4008</v>
      </c>
      <c r="H440" t="s">
        <v>4020</v>
      </c>
      <c r="I440" t="s">
        <v>4023</v>
      </c>
      <c r="J440" t="s">
        <v>4026</v>
      </c>
      <c r="K440" s="2">
        <v>44534</v>
      </c>
      <c r="L440" s="2">
        <v>44539</v>
      </c>
      <c r="N440">
        <v>120</v>
      </c>
      <c r="O440">
        <f>IF(Tickets[[#This Row],[Ticket Priority]]="Critical",24,
IF(Tickets[[#This Row],[Ticket Priority]]="High",48,
IF(Tickets[[#This Row],[Ticket Priority]]="Medium",120,168)))</f>
        <v>120</v>
      </c>
      <c r="P440" t="str">
        <f>IF(Tickets[[#This Row],[Resolution Duration Hours]] &lt;= Tickets[[#This Row],[SLA_Target_Hours]], "Yes", "No")</f>
        <v>Yes</v>
      </c>
    </row>
    <row r="441" spans="1:16">
      <c r="A441">
        <v>918</v>
      </c>
      <c r="B441" t="s">
        <v>926</v>
      </c>
      <c r="C441" t="s">
        <v>2900</v>
      </c>
      <c r="D441" t="s">
        <v>3990</v>
      </c>
      <c r="E441" s="1">
        <v>44798</v>
      </c>
      <c r="F441" t="s">
        <v>4000</v>
      </c>
      <c r="G441" t="s">
        <v>4004</v>
      </c>
      <c r="H441" t="s">
        <v>4020</v>
      </c>
      <c r="I441" t="s">
        <v>4024</v>
      </c>
      <c r="J441" t="s">
        <v>4026</v>
      </c>
      <c r="K441" s="2">
        <v>45085</v>
      </c>
      <c r="L441" s="2">
        <v>45095</v>
      </c>
      <c r="N441">
        <v>240</v>
      </c>
      <c r="O441">
        <f>IF(Tickets[[#This Row],[Ticket Priority]]="Critical",24,
IF(Tickets[[#This Row],[Ticket Priority]]="High",48,
IF(Tickets[[#This Row],[Ticket Priority]]="Medium",120,168)))</f>
        <v>168</v>
      </c>
      <c r="P441" t="str">
        <f>IF(Tickets[[#This Row],[Resolution Duration Hours]] &lt;= Tickets[[#This Row],[SLA_Target_Hours]], "Yes", "No")</f>
        <v>No</v>
      </c>
    </row>
    <row r="442" spans="1:16" hidden="1">
      <c r="A442">
        <v>441</v>
      </c>
      <c r="B442" t="s">
        <v>454</v>
      </c>
      <c r="C442" t="s">
        <v>2424</v>
      </c>
      <c r="D442" t="s">
        <v>3982</v>
      </c>
      <c r="E442" s="1">
        <v>44287</v>
      </c>
      <c r="F442" t="s">
        <v>4002</v>
      </c>
      <c r="G442" t="s">
        <v>4011</v>
      </c>
      <c r="H442" t="s">
        <v>4018</v>
      </c>
      <c r="I442" t="s">
        <v>4021</v>
      </c>
      <c r="J442" t="s">
        <v>4027</v>
      </c>
      <c r="K442" s="2">
        <v>44530</v>
      </c>
      <c r="L442" s="2">
        <v>44532</v>
      </c>
      <c r="M442">
        <v>3</v>
      </c>
      <c r="N442">
        <v>48</v>
      </c>
      <c r="O442">
        <f>IF(Tickets[[#This Row],[Ticket Priority]]="Critical",24,
IF(Tickets[[#This Row],[Ticket Priority]]="High",48,
IF(Tickets[[#This Row],[Ticket Priority]]="Medium",120,168)))</f>
        <v>48</v>
      </c>
      <c r="P442" t="str">
        <f>IF(Tickets[[#This Row],[Resolution Duration Hours]] &lt;= Tickets[[#This Row],[SLA_Target_Hours]], "Yes", "No")</f>
        <v>Yes</v>
      </c>
    </row>
    <row r="443" spans="1:16" hidden="1">
      <c r="A443">
        <v>442</v>
      </c>
      <c r="B443" t="s">
        <v>455</v>
      </c>
      <c r="C443" t="s">
        <v>2425</v>
      </c>
      <c r="D443" t="s">
        <v>3993</v>
      </c>
      <c r="E443" s="1">
        <v>43969</v>
      </c>
      <c r="F443" t="s">
        <v>4001</v>
      </c>
      <c r="G443" t="s">
        <v>4003</v>
      </c>
      <c r="H443" t="s">
        <v>4018</v>
      </c>
      <c r="I443" t="s">
        <v>4021</v>
      </c>
      <c r="J443" t="s">
        <v>4026</v>
      </c>
      <c r="K443" s="2">
        <v>44092</v>
      </c>
      <c r="L443" s="2">
        <v>44092</v>
      </c>
      <c r="N443">
        <v>0</v>
      </c>
      <c r="O443">
        <f>IF(Tickets[[#This Row],[Ticket Priority]]="Critical",24,
IF(Tickets[[#This Row],[Ticket Priority]]="High",48,
IF(Tickets[[#This Row],[Ticket Priority]]="Medium",120,168)))</f>
        <v>48</v>
      </c>
      <c r="P443" t="str">
        <f>IF(Tickets[[#This Row],[Resolution Duration Hours]] &lt;= Tickets[[#This Row],[SLA_Target_Hours]], "Yes", "No")</f>
        <v>Yes</v>
      </c>
    </row>
    <row r="444" spans="1:16" hidden="1">
      <c r="A444">
        <v>443</v>
      </c>
      <c r="B444" t="s">
        <v>456</v>
      </c>
      <c r="C444" t="s">
        <v>2426</v>
      </c>
      <c r="D444" t="s">
        <v>3992</v>
      </c>
      <c r="E444" s="1">
        <v>44235</v>
      </c>
      <c r="F444" t="s">
        <v>3998</v>
      </c>
      <c r="G444" t="s">
        <v>4016</v>
      </c>
      <c r="H444" t="s">
        <v>4018</v>
      </c>
      <c r="I444" t="s">
        <v>4024</v>
      </c>
      <c r="J444" t="s">
        <v>4026</v>
      </c>
      <c r="K444" s="2">
        <v>44549</v>
      </c>
      <c r="L444" s="2">
        <v>44551</v>
      </c>
      <c r="M444">
        <v>4</v>
      </c>
      <c r="N444">
        <v>48</v>
      </c>
      <c r="O444">
        <f>IF(Tickets[[#This Row],[Ticket Priority]]="Critical",24,
IF(Tickets[[#This Row],[Ticket Priority]]="High",48,
IF(Tickets[[#This Row],[Ticket Priority]]="Medium",120,168)))</f>
        <v>168</v>
      </c>
      <c r="P444" t="str">
        <f>IF(Tickets[[#This Row],[Resolution Duration Hours]] &lt;= Tickets[[#This Row],[SLA_Target_Hours]], "Yes", "No")</f>
        <v>Yes</v>
      </c>
    </row>
    <row r="445" spans="1:16" hidden="1">
      <c r="A445">
        <v>444</v>
      </c>
      <c r="B445" t="s">
        <v>457</v>
      </c>
      <c r="C445" t="s">
        <v>2427</v>
      </c>
      <c r="D445" t="s">
        <v>3982</v>
      </c>
      <c r="E445" s="1">
        <v>43941</v>
      </c>
      <c r="F445" t="s">
        <v>4000</v>
      </c>
      <c r="G445" t="s">
        <v>4004</v>
      </c>
      <c r="H445" t="s">
        <v>4017</v>
      </c>
      <c r="I445" t="s">
        <v>4021</v>
      </c>
      <c r="J445" t="s">
        <v>4025</v>
      </c>
      <c r="K445" s="2">
        <v>44202</v>
      </c>
      <c r="L445" s="2">
        <v>44202</v>
      </c>
      <c r="N445">
        <v>0</v>
      </c>
      <c r="O445">
        <f>IF(Tickets[[#This Row],[Ticket Priority]]="Critical",24,
IF(Tickets[[#This Row],[Ticket Priority]]="High",48,
IF(Tickets[[#This Row],[Ticket Priority]]="Medium",120,168)))</f>
        <v>48</v>
      </c>
      <c r="P445" t="str">
        <f>IF(Tickets[[#This Row],[Resolution Duration Hours]] &lt;= Tickets[[#This Row],[SLA_Target_Hours]], "Yes", "No")</f>
        <v>Yes</v>
      </c>
    </row>
    <row r="446" spans="1:16">
      <c r="A446">
        <v>933</v>
      </c>
      <c r="B446" t="s">
        <v>940</v>
      </c>
      <c r="C446" t="s">
        <v>2915</v>
      </c>
      <c r="D446" t="s">
        <v>3985</v>
      </c>
      <c r="E446" s="1">
        <v>44634</v>
      </c>
      <c r="F446" t="s">
        <v>3998</v>
      </c>
      <c r="G446" t="s">
        <v>4015</v>
      </c>
      <c r="H446" t="s">
        <v>4018</v>
      </c>
      <c r="I446" t="s">
        <v>4024</v>
      </c>
      <c r="J446" t="s">
        <v>4026</v>
      </c>
      <c r="K446" s="2">
        <v>44879</v>
      </c>
      <c r="L446" s="2">
        <v>44889</v>
      </c>
      <c r="M446">
        <v>4</v>
      </c>
      <c r="N446">
        <v>240</v>
      </c>
      <c r="O446">
        <f>IF(Tickets[[#This Row],[Ticket Priority]]="Critical",24,
IF(Tickets[[#This Row],[Ticket Priority]]="High",48,
IF(Tickets[[#This Row],[Ticket Priority]]="Medium",120,168)))</f>
        <v>168</v>
      </c>
      <c r="P446" t="str">
        <f>IF(Tickets[[#This Row],[Resolution Duration Hours]] &lt;= Tickets[[#This Row],[SLA_Target_Hours]], "Yes", "No")</f>
        <v>No</v>
      </c>
    </row>
    <row r="447" spans="1:16">
      <c r="A447">
        <v>971</v>
      </c>
      <c r="B447" t="s">
        <v>978</v>
      </c>
      <c r="C447" t="s">
        <v>2953</v>
      </c>
      <c r="D447" t="s">
        <v>3986</v>
      </c>
      <c r="E447" s="1">
        <v>44695</v>
      </c>
      <c r="F447" t="s">
        <v>4000</v>
      </c>
      <c r="G447" t="s">
        <v>4007</v>
      </c>
      <c r="H447" t="s">
        <v>4020</v>
      </c>
      <c r="I447" t="s">
        <v>4024</v>
      </c>
      <c r="J447" t="s">
        <v>4027</v>
      </c>
      <c r="K447" s="2">
        <v>44779</v>
      </c>
      <c r="L447" s="2">
        <v>44789</v>
      </c>
      <c r="N447">
        <v>240</v>
      </c>
      <c r="O447">
        <f>IF(Tickets[[#This Row],[Ticket Priority]]="Critical",24,
IF(Tickets[[#This Row],[Ticket Priority]]="High",48,
IF(Tickets[[#This Row],[Ticket Priority]]="Medium",120,168)))</f>
        <v>168</v>
      </c>
      <c r="P447" t="str">
        <f>IF(Tickets[[#This Row],[Resolution Duration Hours]] &lt;= Tickets[[#This Row],[SLA_Target_Hours]], "Yes", "No")</f>
        <v>No</v>
      </c>
    </row>
    <row r="448" spans="1:16" hidden="1">
      <c r="A448">
        <v>447</v>
      </c>
      <c r="B448" t="s">
        <v>460</v>
      </c>
      <c r="C448" t="s">
        <v>2430</v>
      </c>
      <c r="D448" t="s">
        <v>3982</v>
      </c>
      <c r="E448" s="1">
        <v>44156</v>
      </c>
      <c r="F448" t="s">
        <v>3998</v>
      </c>
      <c r="G448" t="s">
        <v>4014</v>
      </c>
      <c r="H448" t="s">
        <v>4018</v>
      </c>
      <c r="I448" t="s">
        <v>4023</v>
      </c>
      <c r="J448" t="s">
        <v>4028</v>
      </c>
      <c r="K448" s="2">
        <v>44411</v>
      </c>
      <c r="L448" s="2">
        <v>44414</v>
      </c>
      <c r="N448">
        <v>72</v>
      </c>
      <c r="O448">
        <f>IF(Tickets[[#This Row],[Ticket Priority]]="Critical",24,
IF(Tickets[[#This Row],[Ticket Priority]]="High",48,
IF(Tickets[[#This Row],[Ticket Priority]]="Medium",120,168)))</f>
        <v>120</v>
      </c>
      <c r="P448" t="str">
        <f>IF(Tickets[[#This Row],[Resolution Duration Hours]] &lt;= Tickets[[#This Row],[SLA_Target_Hours]], "Yes", "No")</f>
        <v>Yes</v>
      </c>
    </row>
    <row r="449" spans="1:16" hidden="1">
      <c r="A449">
        <v>448</v>
      </c>
      <c r="B449" t="s">
        <v>461</v>
      </c>
      <c r="C449" t="s">
        <v>2431</v>
      </c>
      <c r="D449" t="s">
        <v>3993</v>
      </c>
      <c r="E449" s="1">
        <v>44032</v>
      </c>
      <c r="F449" t="s">
        <v>4002</v>
      </c>
      <c r="G449" t="s">
        <v>4011</v>
      </c>
      <c r="H449" t="s">
        <v>4018</v>
      </c>
      <c r="I449" t="s">
        <v>4024</v>
      </c>
      <c r="J449" t="s">
        <v>4025</v>
      </c>
      <c r="K449" s="2">
        <v>44083</v>
      </c>
      <c r="L449" s="2">
        <v>44088</v>
      </c>
      <c r="M449">
        <v>4</v>
      </c>
      <c r="N449">
        <v>120</v>
      </c>
      <c r="O449">
        <f>IF(Tickets[[#This Row],[Ticket Priority]]="Critical",24,
IF(Tickets[[#This Row],[Ticket Priority]]="High",48,
IF(Tickets[[#This Row],[Ticket Priority]]="Medium",120,168)))</f>
        <v>168</v>
      </c>
      <c r="P449" t="str">
        <f>IF(Tickets[[#This Row],[Resolution Duration Hours]] &lt;= Tickets[[#This Row],[SLA_Target_Hours]], "Yes", "No")</f>
        <v>Yes</v>
      </c>
    </row>
    <row r="450" spans="1:16" hidden="1">
      <c r="A450">
        <v>449</v>
      </c>
      <c r="B450" t="s">
        <v>462</v>
      </c>
      <c r="C450" t="s">
        <v>2432</v>
      </c>
      <c r="D450" t="s">
        <v>3982</v>
      </c>
      <c r="E450" s="1">
        <v>44140</v>
      </c>
      <c r="F450" t="s">
        <v>3999</v>
      </c>
      <c r="G450" t="s">
        <v>4012</v>
      </c>
      <c r="H450" t="s">
        <v>4018</v>
      </c>
      <c r="I450" t="s">
        <v>4024</v>
      </c>
      <c r="J450" t="s">
        <v>4025</v>
      </c>
      <c r="K450" s="2">
        <v>44355</v>
      </c>
      <c r="L450" s="2">
        <v>44361</v>
      </c>
      <c r="M450">
        <v>5</v>
      </c>
      <c r="N450">
        <v>144</v>
      </c>
      <c r="O450">
        <f>IF(Tickets[[#This Row],[Ticket Priority]]="Critical",24,
IF(Tickets[[#This Row],[Ticket Priority]]="High",48,
IF(Tickets[[#This Row],[Ticket Priority]]="Medium",120,168)))</f>
        <v>168</v>
      </c>
      <c r="P450" t="str">
        <f>IF(Tickets[[#This Row],[Resolution Duration Hours]] &lt;= Tickets[[#This Row],[SLA_Target_Hours]], "Yes", "No")</f>
        <v>Yes</v>
      </c>
    </row>
    <row r="451" spans="1:16" hidden="1">
      <c r="A451">
        <v>450</v>
      </c>
      <c r="B451" t="s">
        <v>463</v>
      </c>
      <c r="C451" t="s">
        <v>2433</v>
      </c>
      <c r="D451" t="s">
        <v>3980</v>
      </c>
      <c r="E451" s="1">
        <v>44217</v>
      </c>
      <c r="F451" t="s">
        <v>4000</v>
      </c>
      <c r="G451" t="s">
        <v>4015</v>
      </c>
      <c r="H451" t="s">
        <v>4018</v>
      </c>
      <c r="I451" t="s">
        <v>4024</v>
      </c>
      <c r="J451" t="s">
        <v>4028</v>
      </c>
      <c r="K451" s="2">
        <v>44241</v>
      </c>
      <c r="L451" s="2">
        <v>44248</v>
      </c>
      <c r="M451">
        <v>4</v>
      </c>
      <c r="N451">
        <v>168</v>
      </c>
      <c r="O451">
        <f>IF(Tickets[[#This Row],[Ticket Priority]]="Critical",24,
IF(Tickets[[#This Row],[Ticket Priority]]="High",48,
IF(Tickets[[#This Row],[Ticket Priority]]="Medium",120,168)))</f>
        <v>168</v>
      </c>
      <c r="P451" t="str">
        <f>IF(Tickets[[#This Row],[Resolution Duration Hours]] &lt;= Tickets[[#This Row],[SLA_Target_Hours]], "Yes", "No")</f>
        <v>Yes</v>
      </c>
    </row>
    <row r="452" spans="1:16" hidden="1">
      <c r="A452">
        <v>451</v>
      </c>
      <c r="B452" t="s">
        <v>464</v>
      </c>
      <c r="C452" t="s">
        <v>2434</v>
      </c>
      <c r="D452" t="s">
        <v>3981</v>
      </c>
      <c r="E452" s="1">
        <v>43932</v>
      </c>
      <c r="F452" t="s">
        <v>3998</v>
      </c>
      <c r="G452" t="s">
        <v>4005</v>
      </c>
      <c r="H452" t="s">
        <v>4017</v>
      </c>
      <c r="I452" t="s">
        <v>4024</v>
      </c>
      <c r="J452" t="s">
        <v>4026</v>
      </c>
      <c r="K452" s="2">
        <v>44116</v>
      </c>
      <c r="L452" s="2">
        <v>44121</v>
      </c>
      <c r="N452">
        <v>120</v>
      </c>
      <c r="O452">
        <f>IF(Tickets[[#This Row],[Ticket Priority]]="Critical",24,
IF(Tickets[[#This Row],[Ticket Priority]]="High",48,
IF(Tickets[[#This Row],[Ticket Priority]]="Medium",120,168)))</f>
        <v>168</v>
      </c>
      <c r="P452" t="str">
        <f>IF(Tickets[[#This Row],[Resolution Duration Hours]] &lt;= Tickets[[#This Row],[SLA_Target_Hours]], "Yes", "No")</f>
        <v>Yes</v>
      </c>
    </row>
    <row r="453" spans="1:16" hidden="1">
      <c r="A453">
        <v>452</v>
      </c>
      <c r="B453" t="s">
        <v>465</v>
      </c>
      <c r="C453" t="s">
        <v>2435</v>
      </c>
      <c r="D453" t="s">
        <v>3980</v>
      </c>
      <c r="E453" s="1">
        <v>44389</v>
      </c>
      <c r="F453" t="s">
        <v>4000</v>
      </c>
      <c r="G453" t="s">
        <v>4006</v>
      </c>
      <c r="H453" t="s">
        <v>4018</v>
      </c>
      <c r="I453" t="s">
        <v>4023</v>
      </c>
      <c r="J453" t="s">
        <v>4028</v>
      </c>
      <c r="K453" s="2">
        <v>44683</v>
      </c>
      <c r="L453" s="2">
        <v>44686</v>
      </c>
      <c r="M453">
        <v>4</v>
      </c>
      <c r="N453">
        <v>72</v>
      </c>
      <c r="O453">
        <f>IF(Tickets[[#This Row],[Ticket Priority]]="Critical",24,
IF(Tickets[[#This Row],[Ticket Priority]]="High",48,
IF(Tickets[[#This Row],[Ticket Priority]]="Medium",120,168)))</f>
        <v>120</v>
      </c>
      <c r="P453" t="str">
        <f>IF(Tickets[[#This Row],[Resolution Duration Hours]] &lt;= Tickets[[#This Row],[SLA_Target_Hours]], "Yes", "No")</f>
        <v>Yes</v>
      </c>
    </row>
    <row r="454" spans="1:16" hidden="1">
      <c r="A454">
        <v>453</v>
      </c>
      <c r="B454" t="s">
        <v>466</v>
      </c>
      <c r="C454" t="s">
        <v>2436</v>
      </c>
      <c r="D454" t="s">
        <v>3986</v>
      </c>
      <c r="E454" s="1">
        <v>44034</v>
      </c>
      <c r="F454" t="s">
        <v>3998</v>
      </c>
      <c r="G454" t="s">
        <v>4000</v>
      </c>
      <c r="H454" t="s">
        <v>4018</v>
      </c>
      <c r="I454" t="s">
        <v>4021</v>
      </c>
      <c r="J454" t="s">
        <v>4028</v>
      </c>
      <c r="K454" s="2">
        <v>44271</v>
      </c>
      <c r="L454" s="2">
        <v>44271</v>
      </c>
      <c r="M454">
        <v>3</v>
      </c>
      <c r="N454">
        <v>0</v>
      </c>
      <c r="O454">
        <f>IF(Tickets[[#This Row],[Ticket Priority]]="Critical",24,
IF(Tickets[[#This Row],[Ticket Priority]]="High",48,
IF(Tickets[[#This Row],[Ticket Priority]]="Medium",120,168)))</f>
        <v>48</v>
      </c>
      <c r="P454" t="str">
        <f>IF(Tickets[[#This Row],[Resolution Duration Hours]] &lt;= Tickets[[#This Row],[SLA_Target_Hours]], "Yes", "No")</f>
        <v>Yes</v>
      </c>
    </row>
    <row r="455" spans="1:16" hidden="1">
      <c r="A455">
        <v>454</v>
      </c>
      <c r="B455" t="s">
        <v>467</v>
      </c>
      <c r="C455" t="s">
        <v>2437</v>
      </c>
      <c r="D455" t="s">
        <v>3988</v>
      </c>
      <c r="E455" s="1">
        <v>44413</v>
      </c>
      <c r="F455" t="s">
        <v>3999</v>
      </c>
      <c r="G455" t="s">
        <v>4006</v>
      </c>
      <c r="H455" t="s">
        <v>4018</v>
      </c>
      <c r="I455" t="s">
        <v>4021</v>
      </c>
      <c r="J455" t="s">
        <v>4028</v>
      </c>
      <c r="K455" s="2">
        <v>44453</v>
      </c>
      <c r="L455" s="2">
        <v>44455</v>
      </c>
      <c r="M455">
        <v>4</v>
      </c>
      <c r="N455">
        <v>48</v>
      </c>
      <c r="O455">
        <f>IF(Tickets[[#This Row],[Ticket Priority]]="Critical",24,
IF(Tickets[[#This Row],[Ticket Priority]]="High",48,
IF(Tickets[[#This Row],[Ticket Priority]]="Medium",120,168)))</f>
        <v>48</v>
      </c>
      <c r="P455" t="str">
        <f>IF(Tickets[[#This Row],[Resolution Duration Hours]] &lt;= Tickets[[#This Row],[SLA_Target_Hours]], "Yes", "No")</f>
        <v>Yes</v>
      </c>
    </row>
    <row r="456" spans="1:16" hidden="1">
      <c r="A456">
        <v>455</v>
      </c>
      <c r="B456" t="s">
        <v>468</v>
      </c>
      <c r="C456" t="s">
        <v>2438</v>
      </c>
      <c r="D456" t="s">
        <v>3981</v>
      </c>
      <c r="E456" s="1">
        <v>44846</v>
      </c>
      <c r="F456" t="s">
        <v>3999</v>
      </c>
      <c r="G456" t="s">
        <v>4015</v>
      </c>
      <c r="H456" t="s">
        <v>4018</v>
      </c>
      <c r="I456" t="s">
        <v>4023</v>
      </c>
      <c r="J456" t="s">
        <v>4026</v>
      </c>
      <c r="K456" s="2">
        <v>45146</v>
      </c>
      <c r="L456" s="2">
        <v>45149</v>
      </c>
      <c r="M456">
        <v>4</v>
      </c>
      <c r="N456">
        <v>72</v>
      </c>
      <c r="O456">
        <f>IF(Tickets[[#This Row],[Ticket Priority]]="Critical",24,
IF(Tickets[[#This Row],[Ticket Priority]]="High",48,
IF(Tickets[[#This Row],[Ticket Priority]]="Medium",120,168)))</f>
        <v>120</v>
      </c>
      <c r="P456" t="str">
        <f>IF(Tickets[[#This Row],[Resolution Duration Hours]] &lt;= Tickets[[#This Row],[SLA_Target_Hours]], "Yes", "No")</f>
        <v>Yes</v>
      </c>
    </row>
    <row r="457" spans="1:16" hidden="1">
      <c r="A457">
        <v>456</v>
      </c>
      <c r="B457" t="s">
        <v>469</v>
      </c>
      <c r="C457" t="s">
        <v>2439</v>
      </c>
      <c r="D457" t="s">
        <v>3988</v>
      </c>
      <c r="E457" s="1">
        <v>44567</v>
      </c>
      <c r="F457" t="s">
        <v>4000</v>
      </c>
      <c r="G457" t="s">
        <v>4004</v>
      </c>
      <c r="H457" t="s">
        <v>4018</v>
      </c>
      <c r="I457" t="s">
        <v>4021</v>
      </c>
      <c r="J457" t="s">
        <v>4026</v>
      </c>
      <c r="K457" s="2">
        <v>44674</v>
      </c>
      <c r="L457" s="2">
        <v>44676</v>
      </c>
      <c r="M457">
        <v>4</v>
      </c>
      <c r="N457">
        <v>48</v>
      </c>
      <c r="O457">
        <f>IF(Tickets[[#This Row],[Ticket Priority]]="Critical",24,
IF(Tickets[[#This Row],[Ticket Priority]]="High",48,
IF(Tickets[[#This Row],[Ticket Priority]]="Medium",120,168)))</f>
        <v>48</v>
      </c>
      <c r="P457" t="str">
        <f>IF(Tickets[[#This Row],[Resolution Duration Hours]] &lt;= Tickets[[#This Row],[SLA_Target_Hours]], "Yes", "No")</f>
        <v>Yes</v>
      </c>
    </row>
    <row r="458" spans="1:16" hidden="1">
      <c r="A458">
        <v>457</v>
      </c>
      <c r="B458" t="s">
        <v>470</v>
      </c>
      <c r="C458" t="s">
        <v>2440</v>
      </c>
      <c r="D458" t="s">
        <v>3988</v>
      </c>
      <c r="E458" s="1">
        <v>44639</v>
      </c>
      <c r="F458" t="s">
        <v>3999</v>
      </c>
      <c r="G458" t="s">
        <v>4011</v>
      </c>
      <c r="H458" t="s">
        <v>4018</v>
      </c>
      <c r="I458" t="s">
        <v>4021</v>
      </c>
      <c r="J458" t="s">
        <v>4026</v>
      </c>
      <c r="K458" s="2">
        <v>44692</v>
      </c>
      <c r="L458" s="2">
        <v>44693</v>
      </c>
      <c r="M458">
        <v>4</v>
      </c>
      <c r="N458">
        <v>24</v>
      </c>
      <c r="O458">
        <f>IF(Tickets[[#This Row],[Ticket Priority]]="Critical",24,
IF(Tickets[[#This Row],[Ticket Priority]]="High",48,
IF(Tickets[[#This Row],[Ticket Priority]]="Medium",120,168)))</f>
        <v>48</v>
      </c>
      <c r="P458" t="str">
        <f>IF(Tickets[[#This Row],[Resolution Duration Hours]] &lt;= Tickets[[#This Row],[SLA_Target_Hours]], "Yes", "No")</f>
        <v>Yes</v>
      </c>
    </row>
    <row r="459" spans="1:16" hidden="1">
      <c r="A459">
        <v>458</v>
      </c>
      <c r="B459" t="s">
        <v>471</v>
      </c>
      <c r="C459" t="s">
        <v>2441</v>
      </c>
      <c r="D459" t="s">
        <v>3985</v>
      </c>
      <c r="E459" s="1">
        <v>44008</v>
      </c>
      <c r="F459" t="s">
        <v>3998</v>
      </c>
      <c r="G459" t="s">
        <v>4006</v>
      </c>
      <c r="H459" t="s">
        <v>4018</v>
      </c>
      <c r="I459" t="s">
        <v>4022</v>
      </c>
      <c r="J459" t="s">
        <v>4028</v>
      </c>
      <c r="K459" s="2">
        <v>44277</v>
      </c>
      <c r="L459" s="2">
        <v>44277</v>
      </c>
      <c r="M459">
        <v>4</v>
      </c>
      <c r="N459">
        <v>0</v>
      </c>
      <c r="O459">
        <f>IF(Tickets[[#This Row],[Ticket Priority]]="Critical",24,
IF(Tickets[[#This Row],[Ticket Priority]]="High",48,
IF(Tickets[[#This Row],[Ticket Priority]]="Medium",120,168)))</f>
        <v>24</v>
      </c>
      <c r="P459" t="str">
        <f>IF(Tickets[[#This Row],[Resolution Duration Hours]] &lt;= Tickets[[#This Row],[SLA_Target_Hours]], "Yes", "No")</f>
        <v>Yes</v>
      </c>
    </row>
    <row r="460" spans="1:16" hidden="1">
      <c r="A460">
        <v>459</v>
      </c>
      <c r="B460" t="s">
        <v>472</v>
      </c>
      <c r="C460" t="s">
        <v>2442</v>
      </c>
      <c r="D460" t="s">
        <v>3984</v>
      </c>
      <c r="E460" s="1">
        <v>44467</v>
      </c>
      <c r="F460" t="s">
        <v>3998</v>
      </c>
      <c r="G460" t="s">
        <v>4000</v>
      </c>
      <c r="H460" t="s">
        <v>4018</v>
      </c>
      <c r="I460" t="s">
        <v>4024</v>
      </c>
      <c r="J460" t="s">
        <v>4028</v>
      </c>
      <c r="K460" s="2">
        <v>44537</v>
      </c>
      <c r="L460" s="2">
        <v>44539</v>
      </c>
      <c r="M460">
        <v>5</v>
      </c>
      <c r="N460">
        <v>48</v>
      </c>
      <c r="O460">
        <f>IF(Tickets[[#This Row],[Ticket Priority]]="Critical",24,
IF(Tickets[[#This Row],[Ticket Priority]]="High",48,
IF(Tickets[[#This Row],[Ticket Priority]]="Medium",120,168)))</f>
        <v>168</v>
      </c>
      <c r="P460" t="str">
        <f>IF(Tickets[[#This Row],[Resolution Duration Hours]] &lt;= Tickets[[#This Row],[SLA_Target_Hours]], "Yes", "No")</f>
        <v>Yes</v>
      </c>
    </row>
    <row r="461" spans="1:16" hidden="1">
      <c r="A461">
        <v>460</v>
      </c>
      <c r="B461" t="s">
        <v>473</v>
      </c>
      <c r="C461" t="s">
        <v>2443</v>
      </c>
      <c r="D461" t="s">
        <v>3991</v>
      </c>
      <c r="E461" s="1">
        <v>43835</v>
      </c>
      <c r="F461" t="s">
        <v>4000</v>
      </c>
      <c r="G461" t="s">
        <v>4012</v>
      </c>
      <c r="H461" t="s">
        <v>4017</v>
      </c>
      <c r="I461" t="s">
        <v>4023</v>
      </c>
      <c r="J461" t="s">
        <v>4026</v>
      </c>
      <c r="K461" s="2">
        <v>43993</v>
      </c>
      <c r="L461" s="2">
        <v>43997</v>
      </c>
      <c r="N461">
        <v>96</v>
      </c>
      <c r="O461">
        <f>IF(Tickets[[#This Row],[Ticket Priority]]="Critical",24,
IF(Tickets[[#This Row],[Ticket Priority]]="High",48,
IF(Tickets[[#This Row],[Ticket Priority]]="Medium",120,168)))</f>
        <v>120</v>
      </c>
      <c r="P461" t="str">
        <f>IF(Tickets[[#This Row],[Resolution Duration Hours]] &lt;= Tickets[[#This Row],[SLA_Target_Hours]], "Yes", "No")</f>
        <v>Yes</v>
      </c>
    </row>
    <row r="462" spans="1:16" hidden="1">
      <c r="A462">
        <v>461</v>
      </c>
      <c r="B462" t="s">
        <v>474</v>
      </c>
      <c r="C462" t="s">
        <v>2444</v>
      </c>
      <c r="D462" t="s">
        <v>3985</v>
      </c>
      <c r="E462" s="1">
        <v>43947</v>
      </c>
      <c r="F462" t="s">
        <v>3998</v>
      </c>
      <c r="G462" t="s">
        <v>4010</v>
      </c>
      <c r="H462" t="s">
        <v>4017</v>
      </c>
      <c r="I462" t="s">
        <v>4023</v>
      </c>
      <c r="J462" t="s">
        <v>4026</v>
      </c>
      <c r="K462" s="2">
        <v>44102</v>
      </c>
      <c r="L462" s="2">
        <v>44106</v>
      </c>
      <c r="N462">
        <v>96</v>
      </c>
      <c r="O462">
        <f>IF(Tickets[[#This Row],[Ticket Priority]]="Critical",24,
IF(Tickets[[#This Row],[Ticket Priority]]="High",48,
IF(Tickets[[#This Row],[Ticket Priority]]="Medium",120,168)))</f>
        <v>120</v>
      </c>
      <c r="P462" t="str">
        <f>IF(Tickets[[#This Row],[Resolution Duration Hours]] &lt;= Tickets[[#This Row],[SLA_Target_Hours]], "Yes", "No")</f>
        <v>Yes</v>
      </c>
    </row>
    <row r="463" spans="1:16">
      <c r="A463">
        <v>1005</v>
      </c>
      <c r="B463" t="s">
        <v>1012</v>
      </c>
      <c r="C463" t="s">
        <v>2987</v>
      </c>
      <c r="D463" t="s">
        <v>3995</v>
      </c>
      <c r="E463" s="1">
        <v>44692</v>
      </c>
      <c r="F463" t="s">
        <v>4000</v>
      </c>
      <c r="G463" t="s">
        <v>4012</v>
      </c>
      <c r="H463" t="s">
        <v>4018</v>
      </c>
      <c r="I463" t="s">
        <v>4024</v>
      </c>
      <c r="J463" t="s">
        <v>4028</v>
      </c>
      <c r="K463" s="2">
        <v>44846</v>
      </c>
      <c r="L463" s="2">
        <v>44856</v>
      </c>
      <c r="M463">
        <v>3</v>
      </c>
      <c r="N463">
        <v>240</v>
      </c>
      <c r="O463">
        <f>IF(Tickets[[#This Row],[Ticket Priority]]="Critical",24,
IF(Tickets[[#This Row],[Ticket Priority]]="High",48,
IF(Tickets[[#This Row],[Ticket Priority]]="Medium",120,168)))</f>
        <v>168</v>
      </c>
      <c r="P463" t="str">
        <f>IF(Tickets[[#This Row],[Resolution Duration Hours]] &lt;= Tickets[[#This Row],[SLA_Target_Hours]], "Yes", "No")</f>
        <v>No</v>
      </c>
    </row>
    <row r="464" spans="1:16">
      <c r="A464">
        <v>1047</v>
      </c>
      <c r="B464" t="s">
        <v>1054</v>
      </c>
      <c r="C464" t="s">
        <v>3028</v>
      </c>
      <c r="D464" t="s">
        <v>3993</v>
      </c>
      <c r="E464" s="1">
        <v>43855</v>
      </c>
      <c r="F464" t="s">
        <v>3998</v>
      </c>
      <c r="G464" t="s">
        <v>4011</v>
      </c>
      <c r="H464" t="s">
        <v>4018</v>
      </c>
      <c r="I464" t="s">
        <v>4024</v>
      </c>
      <c r="J464" t="s">
        <v>4026</v>
      </c>
      <c r="K464" s="2">
        <v>43942</v>
      </c>
      <c r="L464" s="2">
        <v>43952</v>
      </c>
      <c r="M464">
        <v>4</v>
      </c>
      <c r="N464">
        <v>240</v>
      </c>
      <c r="O464">
        <f>IF(Tickets[[#This Row],[Ticket Priority]]="Critical",24,
IF(Tickets[[#This Row],[Ticket Priority]]="High",48,
IF(Tickets[[#This Row],[Ticket Priority]]="Medium",120,168)))</f>
        <v>168</v>
      </c>
      <c r="P464" t="str">
        <f>IF(Tickets[[#This Row],[Resolution Duration Hours]] &lt;= Tickets[[#This Row],[SLA_Target_Hours]], "Yes", "No")</f>
        <v>No</v>
      </c>
    </row>
    <row r="465" spans="1:16" hidden="1">
      <c r="A465">
        <v>464</v>
      </c>
      <c r="B465" t="s">
        <v>477</v>
      </c>
      <c r="C465" t="s">
        <v>2447</v>
      </c>
      <c r="D465" t="s">
        <v>3990</v>
      </c>
      <c r="E465" s="1">
        <v>44510</v>
      </c>
      <c r="F465" t="s">
        <v>4001</v>
      </c>
      <c r="G465" t="s">
        <v>4013</v>
      </c>
      <c r="H465" t="s">
        <v>4018</v>
      </c>
      <c r="I465" t="s">
        <v>4023</v>
      </c>
      <c r="J465" t="s">
        <v>4026</v>
      </c>
      <c r="K465" s="2">
        <v>44655</v>
      </c>
      <c r="L465" s="2">
        <v>44656</v>
      </c>
      <c r="M465">
        <v>3</v>
      </c>
      <c r="N465">
        <v>24</v>
      </c>
      <c r="O465">
        <f>IF(Tickets[[#This Row],[Ticket Priority]]="Critical",24,
IF(Tickets[[#This Row],[Ticket Priority]]="High",48,
IF(Tickets[[#This Row],[Ticket Priority]]="Medium",120,168)))</f>
        <v>120</v>
      </c>
      <c r="P465" t="str">
        <f>IF(Tickets[[#This Row],[Resolution Duration Hours]] &lt;= Tickets[[#This Row],[SLA_Target_Hours]], "Yes", "No")</f>
        <v>Yes</v>
      </c>
    </row>
    <row r="466" spans="1:16" hidden="1">
      <c r="A466">
        <v>465</v>
      </c>
      <c r="B466" t="s">
        <v>478</v>
      </c>
      <c r="C466" t="s">
        <v>2448</v>
      </c>
      <c r="D466" t="s">
        <v>3984</v>
      </c>
      <c r="E466" s="1">
        <v>44452</v>
      </c>
      <c r="F466" t="s">
        <v>4001</v>
      </c>
      <c r="G466" t="s">
        <v>4012</v>
      </c>
      <c r="H466" t="s">
        <v>4019</v>
      </c>
      <c r="I466" t="s">
        <v>4023</v>
      </c>
      <c r="J466" t="s">
        <v>4026</v>
      </c>
      <c r="K466" s="2">
        <v>44591</v>
      </c>
      <c r="L466" s="2">
        <v>44594</v>
      </c>
      <c r="M466">
        <v>4</v>
      </c>
      <c r="N466">
        <v>72</v>
      </c>
      <c r="O466">
        <f>IF(Tickets[[#This Row],[Ticket Priority]]="Critical",24,
IF(Tickets[[#This Row],[Ticket Priority]]="High",48,
IF(Tickets[[#This Row],[Ticket Priority]]="Medium",120,168)))</f>
        <v>120</v>
      </c>
      <c r="P466" t="str">
        <f>IF(Tickets[[#This Row],[Resolution Duration Hours]] &lt;= Tickets[[#This Row],[SLA_Target_Hours]], "Yes", "No")</f>
        <v>Yes</v>
      </c>
    </row>
    <row r="467" spans="1:16" hidden="1">
      <c r="A467">
        <v>466</v>
      </c>
      <c r="B467" t="s">
        <v>479</v>
      </c>
      <c r="C467" t="s">
        <v>2449</v>
      </c>
      <c r="D467" t="s">
        <v>3984</v>
      </c>
      <c r="E467" s="1">
        <v>44006</v>
      </c>
      <c r="F467" t="s">
        <v>3999</v>
      </c>
      <c r="G467" t="s">
        <v>4011</v>
      </c>
      <c r="H467" t="s">
        <v>4018</v>
      </c>
      <c r="I467" t="s">
        <v>4021</v>
      </c>
      <c r="J467" t="s">
        <v>4025</v>
      </c>
      <c r="K467" s="2">
        <v>44010</v>
      </c>
      <c r="L467" s="2">
        <v>44012</v>
      </c>
      <c r="M467">
        <v>3</v>
      </c>
      <c r="N467">
        <v>48</v>
      </c>
      <c r="O467">
        <f>IF(Tickets[[#This Row],[Ticket Priority]]="Critical",24,
IF(Tickets[[#This Row],[Ticket Priority]]="High",48,
IF(Tickets[[#This Row],[Ticket Priority]]="Medium",120,168)))</f>
        <v>48</v>
      </c>
      <c r="P467" t="str">
        <f>IF(Tickets[[#This Row],[Resolution Duration Hours]] &lt;= Tickets[[#This Row],[SLA_Target_Hours]], "Yes", "No")</f>
        <v>Yes</v>
      </c>
    </row>
    <row r="468" spans="1:16" hidden="1">
      <c r="A468">
        <v>467</v>
      </c>
      <c r="B468" t="s">
        <v>480</v>
      </c>
      <c r="C468" t="s">
        <v>2450</v>
      </c>
      <c r="D468" t="s">
        <v>3994</v>
      </c>
      <c r="E468" s="1">
        <v>45077</v>
      </c>
      <c r="F468" t="s">
        <v>4002</v>
      </c>
      <c r="G468" t="s">
        <v>4005</v>
      </c>
      <c r="H468" t="s">
        <v>4018</v>
      </c>
      <c r="I468" t="s">
        <v>4024</v>
      </c>
      <c r="J468" t="s">
        <v>4028</v>
      </c>
      <c r="K468" s="2">
        <v>45246</v>
      </c>
      <c r="L468" s="2">
        <v>45253</v>
      </c>
      <c r="N468">
        <v>168</v>
      </c>
      <c r="O468">
        <f>IF(Tickets[[#This Row],[Ticket Priority]]="Critical",24,
IF(Tickets[[#This Row],[Ticket Priority]]="High",48,
IF(Tickets[[#This Row],[Ticket Priority]]="Medium",120,168)))</f>
        <v>168</v>
      </c>
      <c r="P468" t="str">
        <f>IF(Tickets[[#This Row],[Resolution Duration Hours]] &lt;= Tickets[[#This Row],[SLA_Target_Hours]], "Yes", "No")</f>
        <v>Yes</v>
      </c>
    </row>
    <row r="469" spans="1:16" hidden="1">
      <c r="A469">
        <v>468</v>
      </c>
      <c r="B469" t="s">
        <v>481</v>
      </c>
      <c r="C469" t="s">
        <v>2451</v>
      </c>
      <c r="D469" t="s">
        <v>3990</v>
      </c>
      <c r="E469" s="1">
        <v>44006</v>
      </c>
      <c r="F469" t="s">
        <v>4001</v>
      </c>
      <c r="G469" t="s">
        <v>4005</v>
      </c>
      <c r="H469" t="s">
        <v>4020</v>
      </c>
      <c r="I469" t="s">
        <v>4021</v>
      </c>
      <c r="J469" t="s">
        <v>4026</v>
      </c>
      <c r="K469" s="2">
        <v>44201</v>
      </c>
      <c r="L469" s="2">
        <v>44202</v>
      </c>
      <c r="N469">
        <v>24</v>
      </c>
      <c r="O469">
        <f>IF(Tickets[[#This Row],[Ticket Priority]]="Critical",24,
IF(Tickets[[#This Row],[Ticket Priority]]="High",48,
IF(Tickets[[#This Row],[Ticket Priority]]="Medium",120,168)))</f>
        <v>48</v>
      </c>
      <c r="P469" t="str">
        <f>IF(Tickets[[#This Row],[Resolution Duration Hours]] &lt;= Tickets[[#This Row],[SLA_Target_Hours]], "Yes", "No")</f>
        <v>Yes</v>
      </c>
    </row>
    <row r="470" spans="1:16" hidden="1">
      <c r="A470">
        <v>469</v>
      </c>
      <c r="B470" t="s">
        <v>422</v>
      </c>
      <c r="C470" t="s">
        <v>2452</v>
      </c>
      <c r="D470" t="s">
        <v>3984</v>
      </c>
      <c r="E470" s="1">
        <v>44708</v>
      </c>
      <c r="F470" t="s">
        <v>4001</v>
      </c>
      <c r="G470" t="s">
        <v>4015</v>
      </c>
      <c r="H470" t="s">
        <v>4018</v>
      </c>
      <c r="I470" t="s">
        <v>4024</v>
      </c>
      <c r="J470" t="s">
        <v>4026</v>
      </c>
      <c r="K470" s="2">
        <v>44756</v>
      </c>
      <c r="L470" s="2">
        <v>44761</v>
      </c>
      <c r="N470">
        <v>120</v>
      </c>
      <c r="O470">
        <f>IF(Tickets[[#This Row],[Ticket Priority]]="Critical",24,
IF(Tickets[[#This Row],[Ticket Priority]]="High",48,
IF(Tickets[[#This Row],[Ticket Priority]]="Medium",120,168)))</f>
        <v>168</v>
      </c>
      <c r="P470" t="str">
        <f>IF(Tickets[[#This Row],[Resolution Duration Hours]] &lt;= Tickets[[#This Row],[SLA_Target_Hours]], "Yes", "No")</f>
        <v>Yes</v>
      </c>
    </row>
    <row r="471" spans="1:16" hidden="1">
      <c r="A471">
        <v>470</v>
      </c>
      <c r="B471" t="s">
        <v>482</v>
      </c>
      <c r="C471" t="s">
        <v>2453</v>
      </c>
      <c r="D471" t="s">
        <v>3997</v>
      </c>
      <c r="E471" s="1">
        <v>44368</v>
      </c>
      <c r="F471" t="s">
        <v>4001</v>
      </c>
      <c r="G471" t="s">
        <v>4005</v>
      </c>
      <c r="H471" t="s">
        <v>4020</v>
      </c>
      <c r="I471" t="s">
        <v>4023</v>
      </c>
      <c r="J471" t="s">
        <v>4026</v>
      </c>
      <c r="K471" s="2">
        <v>44430</v>
      </c>
      <c r="L471" s="2">
        <v>44431</v>
      </c>
      <c r="N471">
        <v>24</v>
      </c>
      <c r="O471">
        <f>IF(Tickets[[#This Row],[Ticket Priority]]="Critical",24,
IF(Tickets[[#This Row],[Ticket Priority]]="High",48,
IF(Tickets[[#This Row],[Ticket Priority]]="Medium",120,168)))</f>
        <v>120</v>
      </c>
      <c r="P471" t="str">
        <f>IF(Tickets[[#This Row],[Resolution Duration Hours]] &lt;= Tickets[[#This Row],[SLA_Target_Hours]], "Yes", "No")</f>
        <v>Yes</v>
      </c>
    </row>
    <row r="472" spans="1:16" hidden="1">
      <c r="A472">
        <v>471</v>
      </c>
      <c r="B472" t="s">
        <v>483</v>
      </c>
      <c r="C472" t="s">
        <v>2454</v>
      </c>
      <c r="D472" t="s">
        <v>3995</v>
      </c>
      <c r="E472" s="1">
        <v>44560</v>
      </c>
      <c r="F472" t="s">
        <v>3998</v>
      </c>
      <c r="G472" t="s">
        <v>4008</v>
      </c>
      <c r="H472" t="s">
        <v>4018</v>
      </c>
      <c r="I472" t="s">
        <v>4024</v>
      </c>
      <c r="J472" t="s">
        <v>4027</v>
      </c>
      <c r="K472" s="2">
        <v>44726</v>
      </c>
      <c r="L472" s="2">
        <v>44730</v>
      </c>
      <c r="M472">
        <v>3</v>
      </c>
      <c r="N472">
        <v>96</v>
      </c>
      <c r="O472">
        <f>IF(Tickets[[#This Row],[Ticket Priority]]="Critical",24,
IF(Tickets[[#This Row],[Ticket Priority]]="High",48,
IF(Tickets[[#This Row],[Ticket Priority]]="Medium",120,168)))</f>
        <v>168</v>
      </c>
      <c r="P472" t="str">
        <f>IF(Tickets[[#This Row],[Resolution Duration Hours]] &lt;= Tickets[[#This Row],[SLA_Target_Hours]], "Yes", "No")</f>
        <v>Yes</v>
      </c>
    </row>
    <row r="473" spans="1:16" hidden="1">
      <c r="A473">
        <v>472</v>
      </c>
      <c r="B473" t="s">
        <v>484</v>
      </c>
      <c r="C473" t="s">
        <v>2455</v>
      </c>
      <c r="D473" t="s">
        <v>3985</v>
      </c>
      <c r="E473" s="1">
        <v>43909</v>
      </c>
      <c r="F473" t="s">
        <v>4001</v>
      </c>
      <c r="G473" t="s">
        <v>4010</v>
      </c>
      <c r="H473" t="s">
        <v>4018</v>
      </c>
      <c r="I473" t="s">
        <v>4021</v>
      </c>
      <c r="J473" t="s">
        <v>4027</v>
      </c>
      <c r="K473" s="2">
        <v>44099</v>
      </c>
      <c r="L473" s="2">
        <v>44100</v>
      </c>
      <c r="M473">
        <v>5</v>
      </c>
      <c r="N473">
        <v>24</v>
      </c>
      <c r="O473">
        <f>IF(Tickets[[#This Row],[Ticket Priority]]="Critical",24,
IF(Tickets[[#This Row],[Ticket Priority]]="High",48,
IF(Tickets[[#This Row],[Ticket Priority]]="Medium",120,168)))</f>
        <v>48</v>
      </c>
      <c r="P473" t="str">
        <f>IF(Tickets[[#This Row],[Resolution Duration Hours]] &lt;= Tickets[[#This Row],[SLA_Target_Hours]], "Yes", "No")</f>
        <v>Yes</v>
      </c>
    </row>
    <row r="474" spans="1:16" hidden="1">
      <c r="A474">
        <v>473</v>
      </c>
      <c r="B474" t="s">
        <v>485</v>
      </c>
      <c r="C474" t="s">
        <v>2456</v>
      </c>
      <c r="D474" t="s">
        <v>3985</v>
      </c>
      <c r="E474" s="1">
        <v>44527</v>
      </c>
      <c r="F474" t="s">
        <v>3999</v>
      </c>
      <c r="G474" t="s">
        <v>4008</v>
      </c>
      <c r="H474" t="s">
        <v>4018</v>
      </c>
      <c r="I474" t="s">
        <v>4021</v>
      </c>
      <c r="J474" t="s">
        <v>4028</v>
      </c>
      <c r="K474" s="2">
        <v>44886</v>
      </c>
      <c r="L474" s="2">
        <v>44887</v>
      </c>
      <c r="N474">
        <v>24</v>
      </c>
      <c r="O474">
        <f>IF(Tickets[[#This Row],[Ticket Priority]]="Critical",24,
IF(Tickets[[#This Row],[Ticket Priority]]="High",48,
IF(Tickets[[#This Row],[Ticket Priority]]="Medium",120,168)))</f>
        <v>48</v>
      </c>
      <c r="P474" t="str">
        <f>IF(Tickets[[#This Row],[Resolution Duration Hours]] &lt;= Tickets[[#This Row],[SLA_Target_Hours]], "Yes", "No")</f>
        <v>Yes</v>
      </c>
    </row>
    <row r="475" spans="1:16">
      <c r="A475">
        <v>1051</v>
      </c>
      <c r="B475" t="s">
        <v>1058</v>
      </c>
      <c r="C475" t="s">
        <v>3032</v>
      </c>
      <c r="D475" t="s">
        <v>3982</v>
      </c>
      <c r="E475" s="1">
        <v>43933</v>
      </c>
      <c r="F475" t="s">
        <v>3999</v>
      </c>
      <c r="G475" t="s">
        <v>4006</v>
      </c>
      <c r="H475" t="s">
        <v>4020</v>
      </c>
      <c r="I475" t="s">
        <v>4024</v>
      </c>
      <c r="J475" t="s">
        <v>4026</v>
      </c>
      <c r="K475" s="2">
        <v>44268</v>
      </c>
      <c r="L475" s="2">
        <v>44278</v>
      </c>
      <c r="N475">
        <v>240</v>
      </c>
      <c r="O475">
        <f>IF(Tickets[[#This Row],[Ticket Priority]]="Critical",24,
IF(Tickets[[#This Row],[Ticket Priority]]="High",48,
IF(Tickets[[#This Row],[Ticket Priority]]="Medium",120,168)))</f>
        <v>168</v>
      </c>
      <c r="P475" t="str">
        <f>IF(Tickets[[#This Row],[Resolution Duration Hours]] &lt;= Tickets[[#This Row],[SLA_Target_Hours]], "Yes", "No")</f>
        <v>No</v>
      </c>
    </row>
    <row r="476" spans="1:16" hidden="1">
      <c r="A476">
        <v>475</v>
      </c>
      <c r="B476" t="s">
        <v>487</v>
      </c>
      <c r="C476" t="s">
        <v>2458</v>
      </c>
      <c r="D476" t="s">
        <v>3989</v>
      </c>
      <c r="E476" s="1">
        <v>44304</v>
      </c>
      <c r="F476" t="s">
        <v>3998</v>
      </c>
      <c r="G476" t="s">
        <v>4014</v>
      </c>
      <c r="H476" t="s">
        <v>4020</v>
      </c>
      <c r="I476" t="s">
        <v>4023</v>
      </c>
      <c r="J476" t="s">
        <v>4027</v>
      </c>
      <c r="K476" s="2">
        <v>44594</v>
      </c>
      <c r="L476" s="2">
        <v>44598</v>
      </c>
      <c r="N476">
        <v>96</v>
      </c>
      <c r="O476">
        <f>IF(Tickets[[#This Row],[Ticket Priority]]="Critical",24,
IF(Tickets[[#This Row],[Ticket Priority]]="High",48,
IF(Tickets[[#This Row],[Ticket Priority]]="Medium",120,168)))</f>
        <v>120</v>
      </c>
      <c r="P476" t="str">
        <f>IF(Tickets[[#This Row],[Resolution Duration Hours]] &lt;= Tickets[[#This Row],[SLA_Target_Hours]], "Yes", "No")</f>
        <v>Yes</v>
      </c>
    </row>
    <row r="477" spans="1:16" hidden="1">
      <c r="A477">
        <v>476</v>
      </c>
      <c r="B477" t="s">
        <v>488</v>
      </c>
      <c r="C477" t="s">
        <v>2459</v>
      </c>
      <c r="D477" t="s">
        <v>3988</v>
      </c>
      <c r="E477" s="1">
        <v>44177</v>
      </c>
      <c r="F477" t="s">
        <v>4000</v>
      </c>
      <c r="G477" t="s">
        <v>4015</v>
      </c>
      <c r="H477" t="s">
        <v>4017</v>
      </c>
      <c r="I477" t="s">
        <v>4023</v>
      </c>
      <c r="J477" t="s">
        <v>4028</v>
      </c>
      <c r="K477" s="2">
        <v>44448</v>
      </c>
      <c r="L477" s="2">
        <v>44450</v>
      </c>
      <c r="N477">
        <v>48</v>
      </c>
      <c r="O477">
        <f>IF(Tickets[[#This Row],[Ticket Priority]]="Critical",24,
IF(Tickets[[#This Row],[Ticket Priority]]="High",48,
IF(Tickets[[#This Row],[Ticket Priority]]="Medium",120,168)))</f>
        <v>120</v>
      </c>
      <c r="P477" t="str">
        <f>IF(Tickets[[#This Row],[Resolution Duration Hours]] &lt;= Tickets[[#This Row],[SLA_Target_Hours]], "Yes", "No")</f>
        <v>Yes</v>
      </c>
    </row>
    <row r="478" spans="1:16" hidden="1">
      <c r="A478">
        <v>477</v>
      </c>
      <c r="B478" t="s">
        <v>489</v>
      </c>
      <c r="C478" t="s">
        <v>2460</v>
      </c>
      <c r="D478" t="s">
        <v>3982</v>
      </c>
      <c r="E478" s="1">
        <v>44533</v>
      </c>
      <c r="F478" t="s">
        <v>4000</v>
      </c>
      <c r="G478" t="s">
        <v>4005</v>
      </c>
      <c r="H478" t="s">
        <v>4018</v>
      </c>
      <c r="I478" t="s">
        <v>4023</v>
      </c>
      <c r="J478" t="s">
        <v>4027</v>
      </c>
      <c r="K478" s="2">
        <v>44542</v>
      </c>
      <c r="L478" s="2">
        <v>44547</v>
      </c>
      <c r="M478">
        <v>4</v>
      </c>
      <c r="N478">
        <v>120</v>
      </c>
      <c r="O478">
        <f>IF(Tickets[[#This Row],[Ticket Priority]]="Critical",24,
IF(Tickets[[#This Row],[Ticket Priority]]="High",48,
IF(Tickets[[#This Row],[Ticket Priority]]="Medium",120,168)))</f>
        <v>120</v>
      </c>
      <c r="P478" t="str">
        <f>IF(Tickets[[#This Row],[Resolution Duration Hours]] &lt;= Tickets[[#This Row],[SLA_Target_Hours]], "Yes", "No")</f>
        <v>Yes</v>
      </c>
    </row>
    <row r="479" spans="1:16" hidden="1">
      <c r="A479">
        <v>478</v>
      </c>
      <c r="B479" t="s">
        <v>490</v>
      </c>
      <c r="C479" t="s">
        <v>2461</v>
      </c>
      <c r="D479" t="s">
        <v>3992</v>
      </c>
      <c r="E479" s="1">
        <v>44411</v>
      </c>
      <c r="F479" t="s">
        <v>4001</v>
      </c>
      <c r="G479" t="s">
        <v>4016</v>
      </c>
      <c r="H479" t="s">
        <v>4018</v>
      </c>
      <c r="I479" t="s">
        <v>4023</v>
      </c>
      <c r="J479" t="s">
        <v>4028</v>
      </c>
      <c r="K479" s="2">
        <v>44693</v>
      </c>
      <c r="L479" s="2">
        <v>44697</v>
      </c>
      <c r="N479">
        <v>96</v>
      </c>
      <c r="O479">
        <f>IF(Tickets[[#This Row],[Ticket Priority]]="Critical",24,
IF(Tickets[[#This Row],[Ticket Priority]]="High",48,
IF(Tickets[[#This Row],[Ticket Priority]]="Medium",120,168)))</f>
        <v>120</v>
      </c>
      <c r="P479" t="str">
        <f>IF(Tickets[[#This Row],[Resolution Duration Hours]] &lt;= Tickets[[#This Row],[SLA_Target_Hours]], "Yes", "No")</f>
        <v>Yes</v>
      </c>
    </row>
    <row r="480" spans="1:16">
      <c r="A480">
        <v>1093</v>
      </c>
      <c r="B480" t="s">
        <v>1098</v>
      </c>
      <c r="C480" t="s">
        <v>3074</v>
      </c>
      <c r="D480" t="s">
        <v>3981</v>
      </c>
      <c r="E480" s="1">
        <v>44159</v>
      </c>
      <c r="F480" t="s">
        <v>3999</v>
      </c>
      <c r="G480" t="s">
        <v>4003</v>
      </c>
      <c r="H480" t="s">
        <v>4018</v>
      </c>
      <c r="I480" t="s">
        <v>4024</v>
      </c>
      <c r="J480" t="s">
        <v>4027</v>
      </c>
      <c r="K480" s="2">
        <v>44277</v>
      </c>
      <c r="L480" s="2">
        <v>44287</v>
      </c>
      <c r="M480">
        <v>4</v>
      </c>
      <c r="N480">
        <v>240</v>
      </c>
      <c r="O480">
        <f>IF(Tickets[[#This Row],[Ticket Priority]]="Critical",24,
IF(Tickets[[#This Row],[Ticket Priority]]="High",48,
IF(Tickets[[#This Row],[Ticket Priority]]="Medium",120,168)))</f>
        <v>168</v>
      </c>
      <c r="P480" t="str">
        <f>IF(Tickets[[#This Row],[Resolution Duration Hours]] &lt;= Tickets[[#This Row],[SLA_Target_Hours]], "Yes", "No")</f>
        <v>No</v>
      </c>
    </row>
    <row r="481" spans="1:16" hidden="1">
      <c r="A481">
        <v>480</v>
      </c>
      <c r="B481" t="s">
        <v>492</v>
      </c>
      <c r="C481" t="s">
        <v>2463</v>
      </c>
      <c r="D481" t="s">
        <v>3980</v>
      </c>
      <c r="E481" s="1">
        <v>44944</v>
      </c>
      <c r="F481" t="s">
        <v>4000</v>
      </c>
      <c r="G481" t="s">
        <v>4006</v>
      </c>
      <c r="H481" t="s">
        <v>4017</v>
      </c>
      <c r="I481" t="s">
        <v>4021</v>
      </c>
      <c r="J481" t="s">
        <v>4027</v>
      </c>
      <c r="K481" s="2">
        <v>45075</v>
      </c>
      <c r="L481" s="2">
        <v>45076</v>
      </c>
      <c r="N481">
        <v>24</v>
      </c>
      <c r="O481">
        <f>IF(Tickets[[#This Row],[Ticket Priority]]="Critical",24,
IF(Tickets[[#This Row],[Ticket Priority]]="High",48,
IF(Tickets[[#This Row],[Ticket Priority]]="Medium",120,168)))</f>
        <v>48</v>
      </c>
      <c r="P481" t="str">
        <f>IF(Tickets[[#This Row],[Resolution Duration Hours]] &lt;= Tickets[[#This Row],[SLA_Target_Hours]], "Yes", "No")</f>
        <v>Yes</v>
      </c>
    </row>
    <row r="482" spans="1:16" hidden="1">
      <c r="A482">
        <v>481</v>
      </c>
      <c r="B482" t="s">
        <v>477</v>
      </c>
      <c r="C482" t="s">
        <v>2464</v>
      </c>
      <c r="D482" t="s">
        <v>3988</v>
      </c>
      <c r="E482" s="1">
        <v>44746</v>
      </c>
      <c r="F482" t="s">
        <v>4001</v>
      </c>
      <c r="G482" t="s">
        <v>4016</v>
      </c>
      <c r="H482" t="s">
        <v>4018</v>
      </c>
      <c r="I482" t="s">
        <v>4022</v>
      </c>
      <c r="J482" t="s">
        <v>4026</v>
      </c>
      <c r="K482" s="2">
        <v>44985</v>
      </c>
      <c r="L482" s="2">
        <v>44986</v>
      </c>
      <c r="M482">
        <v>3</v>
      </c>
      <c r="N482">
        <v>24</v>
      </c>
      <c r="O482">
        <f>IF(Tickets[[#This Row],[Ticket Priority]]="Critical",24,
IF(Tickets[[#This Row],[Ticket Priority]]="High",48,
IF(Tickets[[#This Row],[Ticket Priority]]="Medium",120,168)))</f>
        <v>24</v>
      </c>
      <c r="P482" t="str">
        <f>IF(Tickets[[#This Row],[Resolution Duration Hours]] &lt;= Tickets[[#This Row],[SLA_Target_Hours]], "Yes", "No")</f>
        <v>Yes</v>
      </c>
    </row>
    <row r="483" spans="1:16" hidden="1">
      <c r="A483">
        <v>482</v>
      </c>
      <c r="B483" t="s">
        <v>493</v>
      </c>
      <c r="C483" t="s">
        <v>2465</v>
      </c>
      <c r="D483" t="s">
        <v>3997</v>
      </c>
      <c r="E483" s="1">
        <v>44581</v>
      </c>
      <c r="F483" t="s">
        <v>4002</v>
      </c>
      <c r="G483" t="s">
        <v>4004</v>
      </c>
      <c r="H483" t="s">
        <v>4018</v>
      </c>
      <c r="I483" t="s">
        <v>4024</v>
      </c>
      <c r="J483" t="s">
        <v>4026</v>
      </c>
      <c r="K483" s="2">
        <v>44601</v>
      </c>
      <c r="L483" s="2">
        <v>44607</v>
      </c>
      <c r="M483">
        <v>5</v>
      </c>
      <c r="N483">
        <v>144</v>
      </c>
      <c r="O483">
        <f>IF(Tickets[[#This Row],[Ticket Priority]]="Critical",24,
IF(Tickets[[#This Row],[Ticket Priority]]="High",48,
IF(Tickets[[#This Row],[Ticket Priority]]="Medium",120,168)))</f>
        <v>168</v>
      </c>
      <c r="P483" t="str">
        <f>IF(Tickets[[#This Row],[Resolution Duration Hours]] &lt;= Tickets[[#This Row],[SLA_Target_Hours]], "Yes", "No")</f>
        <v>Yes</v>
      </c>
    </row>
    <row r="484" spans="1:16" hidden="1">
      <c r="A484">
        <v>483</v>
      </c>
      <c r="B484" t="s">
        <v>494</v>
      </c>
      <c r="C484" t="s">
        <v>2466</v>
      </c>
      <c r="D484" t="s">
        <v>3989</v>
      </c>
      <c r="E484" s="1">
        <v>44852</v>
      </c>
      <c r="F484" t="s">
        <v>3998</v>
      </c>
      <c r="G484" t="s">
        <v>4007</v>
      </c>
      <c r="H484" t="s">
        <v>4018</v>
      </c>
      <c r="I484" t="s">
        <v>4023</v>
      </c>
      <c r="J484" t="s">
        <v>4025</v>
      </c>
      <c r="K484" s="2">
        <v>45121</v>
      </c>
      <c r="L484" s="2">
        <v>45123</v>
      </c>
      <c r="M484">
        <v>5</v>
      </c>
      <c r="N484">
        <v>48</v>
      </c>
      <c r="O484">
        <f>IF(Tickets[[#This Row],[Ticket Priority]]="Critical",24,
IF(Tickets[[#This Row],[Ticket Priority]]="High",48,
IF(Tickets[[#This Row],[Ticket Priority]]="Medium",120,168)))</f>
        <v>120</v>
      </c>
      <c r="P484" t="str">
        <f>IF(Tickets[[#This Row],[Resolution Duration Hours]] &lt;= Tickets[[#This Row],[SLA_Target_Hours]], "Yes", "No")</f>
        <v>Yes</v>
      </c>
    </row>
    <row r="485" spans="1:16" hidden="1">
      <c r="A485">
        <v>484</v>
      </c>
      <c r="B485" t="s">
        <v>495</v>
      </c>
      <c r="C485" t="s">
        <v>2467</v>
      </c>
      <c r="D485" t="s">
        <v>3995</v>
      </c>
      <c r="E485" s="1">
        <v>45015</v>
      </c>
      <c r="F485" t="s">
        <v>4000</v>
      </c>
      <c r="G485" t="s">
        <v>4006</v>
      </c>
      <c r="H485" t="s">
        <v>4018</v>
      </c>
      <c r="I485" t="s">
        <v>4021</v>
      </c>
      <c r="J485" t="s">
        <v>4027</v>
      </c>
      <c r="K485" s="2">
        <v>45068</v>
      </c>
      <c r="L485" s="2">
        <v>45070</v>
      </c>
      <c r="M485">
        <v>4</v>
      </c>
      <c r="N485">
        <v>48</v>
      </c>
      <c r="O485">
        <f>IF(Tickets[[#This Row],[Ticket Priority]]="Critical",24,
IF(Tickets[[#This Row],[Ticket Priority]]="High",48,
IF(Tickets[[#This Row],[Ticket Priority]]="Medium",120,168)))</f>
        <v>48</v>
      </c>
      <c r="P485" t="str">
        <f>IF(Tickets[[#This Row],[Resolution Duration Hours]] &lt;= Tickets[[#This Row],[SLA_Target_Hours]], "Yes", "No")</f>
        <v>Yes</v>
      </c>
    </row>
    <row r="486" spans="1:16" hidden="1">
      <c r="A486">
        <v>485</v>
      </c>
      <c r="B486" t="s">
        <v>496</v>
      </c>
      <c r="C486" t="s">
        <v>2468</v>
      </c>
      <c r="D486" t="s">
        <v>3983</v>
      </c>
      <c r="E486" s="1">
        <v>44766</v>
      </c>
      <c r="F486" t="s">
        <v>3998</v>
      </c>
      <c r="G486" t="s">
        <v>4005</v>
      </c>
      <c r="H486" t="s">
        <v>4018</v>
      </c>
      <c r="I486" t="s">
        <v>4023</v>
      </c>
      <c r="J486" t="s">
        <v>4025</v>
      </c>
      <c r="K486" s="2">
        <v>45048</v>
      </c>
      <c r="L486" s="2">
        <v>45053</v>
      </c>
      <c r="M486">
        <v>5</v>
      </c>
      <c r="N486">
        <v>120</v>
      </c>
      <c r="O486">
        <f>IF(Tickets[[#This Row],[Ticket Priority]]="Critical",24,
IF(Tickets[[#This Row],[Ticket Priority]]="High",48,
IF(Tickets[[#This Row],[Ticket Priority]]="Medium",120,168)))</f>
        <v>120</v>
      </c>
      <c r="P486" t="str">
        <f>IF(Tickets[[#This Row],[Resolution Duration Hours]] &lt;= Tickets[[#This Row],[SLA_Target_Hours]], "Yes", "No")</f>
        <v>Yes</v>
      </c>
    </row>
    <row r="487" spans="1:16">
      <c r="A487">
        <v>1146</v>
      </c>
      <c r="B487" t="s">
        <v>1151</v>
      </c>
      <c r="C487" t="s">
        <v>3126</v>
      </c>
      <c r="D487" t="s">
        <v>3987</v>
      </c>
      <c r="E487" s="1">
        <v>43839</v>
      </c>
      <c r="F487" t="s">
        <v>4002</v>
      </c>
      <c r="G487" t="s">
        <v>4000</v>
      </c>
      <c r="H487" t="s">
        <v>4018</v>
      </c>
      <c r="I487" t="s">
        <v>4024</v>
      </c>
      <c r="J487" t="s">
        <v>4027</v>
      </c>
      <c r="K487" s="2">
        <v>44026</v>
      </c>
      <c r="L487" s="2">
        <v>44036</v>
      </c>
      <c r="M487">
        <v>2</v>
      </c>
      <c r="N487">
        <v>240</v>
      </c>
      <c r="O487">
        <f>IF(Tickets[[#This Row],[Ticket Priority]]="Critical",24,
IF(Tickets[[#This Row],[Ticket Priority]]="High",48,
IF(Tickets[[#This Row],[Ticket Priority]]="Medium",120,168)))</f>
        <v>168</v>
      </c>
      <c r="P487" t="str">
        <f>IF(Tickets[[#This Row],[Resolution Duration Hours]] &lt;= Tickets[[#This Row],[SLA_Target_Hours]], "Yes", "No")</f>
        <v>No</v>
      </c>
    </row>
    <row r="488" spans="1:16" hidden="1">
      <c r="A488">
        <v>487</v>
      </c>
      <c r="B488" t="s">
        <v>498</v>
      </c>
      <c r="C488" t="s">
        <v>2470</v>
      </c>
      <c r="D488" t="s">
        <v>3997</v>
      </c>
      <c r="E488" s="1">
        <v>44613</v>
      </c>
      <c r="F488" t="s">
        <v>3999</v>
      </c>
      <c r="G488" t="s">
        <v>4006</v>
      </c>
      <c r="H488" t="s">
        <v>4020</v>
      </c>
      <c r="I488" t="s">
        <v>4023</v>
      </c>
      <c r="J488" t="s">
        <v>4026</v>
      </c>
      <c r="K488" s="2">
        <v>44683</v>
      </c>
      <c r="L488" s="2">
        <v>44685</v>
      </c>
      <c r="N488">
        <v>48</v>
      </c>
      <c r="O488">
        <f>IF(Tickets[[#This Row],[Ticket Priority]]="Critical",24,
IF(Tickets[[#This Row],[Ticket Priority]]="High",48,
IF(Tickets[[#This Row],[Ticket Priority]]="Medium",120,168)))</f>
        <v>120</v>
      </c>
      <c r="P488" t="str">
        <f>IF(Tickets[[#This Row],[Resolution Duration Hours]] &lt;= Tickets[[#This Row],[SLA_Target_Hours]], "Yes", "No")</f>
        <v>Yes</v>
      </c>
    </row>
    <row r="489" spans="1:16" hidden="1">
      <c r="A489">
        <v>488</v>
      </c>
      <c r="B489" t="s">
        <v>499</v>
      </c>
      <c r="C489" t="s">
        <v>2471</v>
      </c>
      <c r="D489" t="s">
        <v>3991</v>
      </c>
      <c r="E489" s="1">
        <v>44934</v>
      </c>
      <c r="F489" t="s">
        <v>4002</v>
      </c>
      <c r="G489" t="s">
        <v>4012</v>
      </c>
      <c r="H489" t="s">
        <v>4017</v>
      </c>
      <c r="I489" t="s">
        <v>4024</v>
      </c>
      <c r="J489" t="s">
        <v>4026</v>
      </c>
      <c r="K489" s="2">
        <v>45195</v>
      </c>
      <c r="L489" s="2">
        <v>45201</v>
      </c>
      <c r="N489">
        <v>144</v>
      </c>
      <c r="O489">
        <f>IF(Tickets[[#This Row],[Ticket Priority]]="Critical",24,
IF(Tickets[[#This Row],[Ticket Priority]]="High",48,
IF(Tickets[[#This Row],[Ticket Priority]]="Medium",120,168)))</f>
        <v>168</v>
      </c>
      <c r="P489" t="str">
        <f>IF(Tickets[[#This Row],[Resolution Duration Hours]] &lt;= Tickets[[#This Row],[SLA_Target_Hours]], "Yes", "No")</f>
        <v>Yes</v>
      </c>
    </row>
    <row r="490" spans="1:16" hidden="1">
      <c r="A490">
        <v>489</v>
      </c>
      <c r="B490" t="s">
        <v>500</v>
      </c>
      <c r="C490" t="s">
        <v>2472</v>
      </c>
      <c r="D490" t="s">
        <v>3981</v>
      </c>
      <c r="E490" s="1">
        <v>43996</v>
      </c>
      <c r="F490" t="s">
        <v>4001</v>
      </c>
      <c r="G490" t="s">
        <v>4015</v>
      </c>
      <c r="H490" t="s">
        <v>4018</v>
      </c>
      <c r="I490" t="s">
        <v>4023</v>
      </c>
      <c r="J490" t="s">
        <v>4026</v>
      </c>
      <c r="K490" s="2">
        <v>44294</v>
      </c>
      <c r="L490" s="2">
        <v>44297</v>
      </c>
      <c r="M490">
        <v>4</v>
      </c>
      <c r="N490">
        <v>72</v>
      </c>
      <c r="O490">
        <f>IF(Tickets[[#This Row],[Ticket Priority]]="Critical",24,
IF(Tickets[[#This Row],[Ticket Priority]]="High",48,
IF(Tickets[[#This Row],[Ticket Priority]]="Medium",120,168)))</f>
        <v>120</v>
      </c>
      <c r="P490" t="str">
        <f>IF(Tickets[[#This Row],[Resolution Duration Hours]] &lt;= Tickets[[#This Row],[SLA_Target_Hours]], "Yes", "No")</f>
        <v>Yes</v>
      </c>
    </row>
    <row r="491" spans="1:16" hidden="1">
      <c r="A491">
        <v>490</v>
      </c>
      <c r="B491" t="s">
        <v>501</v>
      </c>
      <c r="C491" t="s">
        <v>2473</v>
      </c>
      <c r="D491" t="s">
        <v>3992</v>
      </c>
      <c r="E491" s="1">
        <v>44892</v>
      </c>
      <c r="F491" t="s">
        <v>4001</v>
      </c>
      <c r="G491" t="s">
        <v>4015</v>
      </c>
      <c r="H491" t="s">
        <v>4018</v>
      </c>
      <c r="I491" t="s">
        <v>4024</v>
      </c>
      <c r="J491" t="s">
        <v>4028</v>
      </c>
      <c r="K491" s="2">
        <v>44980</v>
      </c>
      <c r="L491" s="2">
        <v>44987</v>
      </c>
      <c r="M491">
        <v>3</v>
      </c>
      <c r="N491">
        <v>168</v>
      </c>
      <c r="O491">
        <f>IF(Tickets[[#This Row],[Ticket Priority]]="Critical",24,
IF(Tickets[[#This Row],[Ticket Priority]]="High",48,
IF(Tickets[[#This Row],[Ticket Priority]]="Medium",120,168)))</f>
        <v>168</v>
      </c>
      <c r="P491" t="str">
        <f>IF(Tickets[[#This Row],[Resolution Duration Hours]] &lt;= Tickets[[#This Row],[SLA_Target_Hours]], "Yes", "No")</f>
        <v>Yes</v>
      </c>
    </row>
    <row r="492" spans="1:16">
      <c r="A492">
        <v>1152</v>
      </c>
      <c r="B492" t="s">
        <v>1157</v>
      </c>
      <c r="C492" t="s">
        <v>3132</v>
      </c>
      <c r="D492" t="s">
        <v>3983</v>
      </c>
      <c r="E492" s="1">
        <v>44610</v>
      </c>
      <c r="F492" t="s">
        <v>4000</v>
      </c>
      <c r="G492" t="s">
        <v>4016</v>
      </c>
      <c r="H492" t="s">
        <v>4017</v>
      </c>
      <c r="I492" t="s">
        <v>4024</v>
      </c>
      <c r="J492" t="s">
        <v>4028</v>
      </c>
      <c r="K492" s="2">
        <v>44973</v>
      </c>
      <c r="L492" s="2">
        <v>44983</v>
      </c>
      <c r="N492">
        <v>240</v>
      </c>
      <c r="O492">
        <f>IF(Tickets[[#This Row],[Ticket Priority]]="Critical",24,
IF(Tickets[[#This Row],[Ticket Priority]]="High",48,
IF(Tickets[[#This Row],[Ticket Priority]]="Medium",120,168)))</f>
        <v>168</v>
      </c>
      <c r="P492" t="str">
        <f>IF(Tickets[[#This Row],[Resolution Duration Hours]] &lt;= Tickets[[#This Row],[SLA_Target_Hours]], "Yes", "No")</f>
        <v>No</v>
      </c>
    </row>
    <row r="493" spans="1:16" hidden="1">
      <c r="A493">
        <v>492</v>
      </c>
      <c r="B493" t="s">
        <v>503</v>
      </c>
      <c r="C493" t="s">
        <v>2475</v>
      </c>
      <c r="D493" t="s">
        <v>3987</v>
      </c>
      <c r="E493" s="1">
        <v>44624</v>
      </c>
      <c r="F493" t="s">
        <v>4002</v>
      </c>
      <c r="G493" t="s">
        <v>4007</v>
      </c>
      <c r="H493" t="s">
        <v>4017</v>
      </c>
      <c r="I493" t="s">
        <v>4023</v>
      </c>
      <c r="J493" t="s">
        <v>4028</v>
      </c>
      <c r="K493" s="2">
        <v>44948</v>
      </c>
      <c r="L493" s="2">
        <v>44952</v>
      </c>
      <c r="N493">
        <v>96</v>
      </c>
      <c r="O493">
        <f>IF(Tickets[[#This Row],[Ticket Priority]]="Critical",24,
IF(Tickets[[#This Row],[Ticket Priority]]="High",48,
IF(Tickets[[#This Row],[Ticket Priority]]="Medium",120,168)))</f>
        <v>120</v>
      </c>
      <c r="P493" t="str">
        <f>IF(Tickets[[#This Row],[Resolution Duration Hours]] &lt;= Tickets[[#This Row],[SLA_Target_Hours]], "Yes", "No")</f>
        <v>Yes</v>
      </c>
    </row>
    <row r="494" spans="1:16" hidden="1">
      <c r="A494">
        <v>493</v>
      </c>
      <c r="B494" t="s">
        <v>504</v>
      </c>
      <c r="C494" t="s">
        <v>2476</v>
      </c>
      <c r="D494" t="s">
        <v>3997</v>
      </c>
      <c r="E494" s="1">
        <v>44316</v>
      </c>
      <c r="F494" t="s">
        <v>3998</v>
      </c>
      <c r="G494" t="s">
        <v>4003</v>
      </c>
      <c r="H494" t="s">
        <v>4018</v>
      </c>
      <c r="I494" t="s">
        <v>4022</v>
      </c>
      <c r="J494" t="s">
        <v>4028</v>
      </c>
      <c r="K494" s="2">
        <v>44673</v>
      </c>
      <c r="L494" s="2">
        <v>44674</v>
      </c>
      <c r="M494">
        <v>5</v>
      </c>
      <c r="N494">
        <v>24</v>
      </c>
      <c r="O494">
        <f>IF(Tickets[[#This Row],[Ticket Priority]]="Critical",24,
IF(Tickets[[#This Row],[Ticket Priority]]="High",48,
IF(Tickets[[#This Row],[Ticket Priority]]="Medium",120,168)))</f>
        <v>24</v>
      </c>
      <c r="P494" t="str">
        <f>IF(Tickets[[#This Row],[Resolution Duration Hours]] &lt;= Tickets[[#This Row],[SLA_Target_Hours]], "Yes", "No")</f>
        <v>Yes</v>
      </c>
    </row>
    <row r="495" spans="1:16" hidden="1">
      <c r="A495">
        <v>494</v>
      </c>
      <c r="B495" t="s">
        <v>505</v>
      </c>
      <c r="C495" t="s">
        <v>2477</v>
      </c>
      <c r="D495" t="s">
        <v>3986</v>
      </c>
      <c r="E495" s="1">
        <v>44181</v>
      </c>
      <c r="F495" t="s">
        <v>4000</v>
      </c>
      <c r="G495" t="s">
        <v>4004</v>
      </c>
      <c r="H495" t="s">
        <v>4018</v>
      </c>
      <c r="I495" t="s">
        <v>4023</v>
      </c>
      <c r="J495" t="s">
        <v>4026</v>
      </c>
      <c r="K495" s="2">
        <v>44382</v>
      </c>
      <c r="L495" s="2">
        <v>44386</v>
      </c>
      <c r="M495">
        <v>4</v>
      </c>
      <c r="N495">
        <v>96</v>
      </c>
      <c r="O495">
        <f>IF(Tickets[[#This Row],[Ticket Priority]]="Critical",24,
IF(Tickets[[#This Row],[Ticket Priority]]="High",48,
IF(Tickets[[#This Row],[Ticket Priority]]="Medium",120,168)))</f>
        <v>120</v>
      </c>
      <c r="P495" t="str">
        <f>IF(Tickets[[#This Row],[Resolution Duration Hours]] &lt;= Tickets[[#This Row],[SLA_Target_Hours]], "Yes", "No")</f>
        <v>Yes</v>
      </c>
    </row>
    <row r="496" spans="1:16" hidden="1">
      <c r="A496">
        <v>495</v>
      </c>
      <c r="B496" t="s">
        <v>506</v>
      </c>
      <c r="C496" t="s">
        <v>2478</v>
      </c>
      <c r="D496" t="s">
        <v>3985</v>
      </c>
      <c r="E496" s="1">
        <v>44528</v>
      </c>
      <c r="F496" t="s">
        <v>3998</v>
      </c>
      <c r="G496" t="s">
        <v>4005</v>
      </c>
      <c r="H496" t="s">
        <v>4018</v>
      </c>
      <c r="I496" t="s">
        <v>4021</v>
      </c>
      <c r="J496" t="s">
        <v>4027</v>
      </c>
      <c r="K496" s="2">
        <v>44597</v>
      </c>
      <c r="L496" s="2">
        <v>44597</v>
      </c>
      <c r="M496">
        <v>4</v>
      </c>
      <c r="N496">
        <v>0</v>
      </c>
      <c r="O496">
        <f>IF(Tickets[[#This Row],[Ticket Priority]]="Critical",24,
IF(Tickets[[#This Row],[Ticket Priority]]="High",48,
IF(Tickets[[#This Row],[Ticket Priority]]="Medium",120,168)))</f>
        <v>48</v>
      </c>
      <c r="P496" t="str">
        <f>IF(Tickets[[#This Row],[Resolution Duration Hours]] &lt;= Tickets[[#This Row],[SLA_Target_Hours]], "Yes", "No")</f>
        <v>Yes</v>
      </c>
    </row>
    <row r="497" spans="1:16" hidden="1">
      <c r="A497">
        <v>496</v>
      </c>
      <c r="B497" t="s">
        <v>507</v>
      </c>
      <c r="C497" t="s">
        <v>2479</v>
      </c>
      <c r="D497" t="s">
        <v>3990</v>
      </c>
      <c r="E497" s="1">
        <v>44496</v>
      </c>
      <c r="F497" t="s">
        <v>3999</v>
      </c>
      <c r="G497" t="s">
        <v>4007</v>
      </c>
      <c r="H497" t="s">
        <v>4018</v>
      </c>
      <c r="I497" t="s">
        <v>4024</v>
      </c>
      <c r="J497" t="s">
        <v>4026</v>
      </c>
      <c r="K497" s="2">
        <v>44716</v>
      </c>
      <c r="L497" s="2">
        <v>44723</v>
      </c>
      <c r="M497">
        <v>4</v>
      </c>
      <c r="N497">
        <v>168</v>
      </c>
      <c r="O497">
        <f>IF(Tickets[[#This Row],[Ticket Priority]]="Critical",24,
IF(Tickets[[#This Row],[Ticket Priority]]="High",48,
IF(Tickets[[#This Row],[Ticket Priority]]="Medium",120,168)))</f>
        <v>168</v>
      </c>
      <c r="P497" t="str">
        <f>IF(Tickets[[#This Row],[Resolution Duration Hours]] &lt;= Tickets[[#This Row],[SLA_Target_Hours]], "Yes", "No")</f>
        <v>Yes</v>
      </c>
    </row>
    <row r="498" spans="1:16" hidden="1">
      <c r="A498">
        <v>497</v>
      </c>
      <c r="B498" t="s">
        <v>508</v>
      </c>
      <c r="C498" t="s">
        <v>2480</v>
      </c>
      <c r="D498" t="s">
        <v>3987</v>
      </c>
      <c r="E498" s="1">
        <v>44069</v>
      </c>
      <c r="F498" t="s">
        <v>4002</v>
      </c>
      <c r="G498" t="s">
        <v>4005</v>
      </c>
      <c r="H498" t="s">
        <v>4018</v>
      </c>
      <c r="I498" t="s">
        <v>4023</v>
      </c>
      <c r="J498" t="s">
        <v>4026</v>
      </c>
      <c r="K498" s="2">
        <v>44225</v>
      </c>
      <c r="L498" s="2">
        <v>44226</v>
      </c>
      <c r="M498">
        <v>3</v>
      </c>
      <c r="N498">
        <v>24</v>
      </c>
      <c r="O498">
        <f>IF(Tickets[[#This Row],[Ticket Priority]]="Critical",24,
IF(Tickets[[#This Row],[Ticket Priority]]="High",48,
IF(Tickets[[#This Row],[Ticket Priority]]="Medium",120,168)))</f>
        <v>120</v>
      </c>
      <c r="P498" t="str">
        <f>IF(Tickets[[#This Row],[Resolution Duration Hours]] &lt;= Tickets[[#This Row],[SLA_Target_Hours]], "Yes", "No")</f>
        <v>Yes</v>
      </c>
    </row>
    <row r="499" spans="1:16" hidden="1">
      <c r="A499">
        <v>498</v>
      </c>
      <c r="B499" t="s">
        <v>509</v>
      </c>
      <c r="C499" t="s">
        <v>2481</v>
      </c>
      <c r="D499" t="s">
        <v>3985</v>
      </c>
      <c r="E499" s="1">
        <v>43944</v>
      </c>
      <c r="F499" t="s">
        <v>4001</v>
      </c>
      <c r="G499" t="s">
        <v>4007</v>
      </c>
      <c r="H499" t="s">
        <v>4020</v>
      </c>
      <c r="I499" t="s">
        <v>4022</v>
      </c>
      <c r="J499" t="s">
        <v>4025</v>
      </c>
      <c r="K499" s="2">
        <v>43987</v>
      </c>
      <c r="L499" s="2">
        <v>43988</v>
      </c>
      <c r="N499">
        <v>24</v>
      </c>
      <c r="O499">
        <f>IF(Tickets[[#This Row],[Ticket Priority]]="Critical",24,
IF(Tickets[[#This Row],[Ticket Priority]]="High",48,
IF(Tickets[[#This Row],[Ticket Priority]]="Medium",120,168)))</f>
        <v>24</v>
      </c>
      <c r="P499" t="str">
        <f>IF(Tickets[[#This Row],[Resolution Duration Hours]] &lt;= Tickets[[#This Row],[SLA_Target_Hours]], "Yes", "No")</f>
        <v>Yes</v>
      </c>
    </row>
    <row r="500" spans="1:16" hidden="1">
      <c r="A500">
        <v>499</v>
      </c>
      <c r="B500" t="s">
        <v>510</v>
      </c>
      <c r="C500" t="s">
        <v>2482</v>
      </c>
      <c r="D500" t="s">
        <v>3979</v>
      </c>
      <c r="E500" s="1">
        <v>44477</v>
      </c>
      <c r="F500" t="s">
        <v>3999</v>
      </c>
      <c r="G500" t="s">
        <v>4004</v>
      </c>
      <c r="H500" t="s">
        <v>4018</v>
      </c>
      <c r="I500" t="s">
        <v>4022</v>
      </c>
      <c r="J500" t="s">
        <v>4028</v>
      </c>
      <c r="K500" s="2">
        <v>44633</v>
      </c>
      <c r="L500" s="2">
        <v>44633</v>
      </c>
      <c r="M500">
        <v>5</v>
      </c>
      <c r="N500">
        <v>0</v>
      </c>
      <c r="O500">
        <f>IF(Tickets[[#This Row],[Ticket Priority]]="Critical",24,
IF(Tickets[[#This Row],[Ticket Priority]]="High",48,
IF(Tickets[[#This Row],[Ticket Priority]]="Medium",120,168)))</f>
        <v>24</v>
      </c>
      <c r="P500" t="str">
        <f>IF(Tickets[[#This Row],[Resolution Duration Hours]] &lt;= Tickets[[#This Row],[SLA_Target_Hours]], "Yes", "No")</f>
        <v>Yes</v>
      </c>
    </row>
    <row r="501" spans="1:16" hidden="1">
      <c r="A501">
        <v>500</v>
      </c>
      <c r="B501" t="s">
        <v>511</v>
      </c>
      <c r="C501" t="s">
        <v>2483</v>
      </c>
      <c r="D501" t="s">
        <v>3985</v>
      </c>
      <c r="E501" s="1">
        <v>44170</v>
      </c>
      <c r="F501" t="s">
        <v>3999</v>
      </c>
      <c r="G501" t="s">
        <v>4005</v>
      </c>
      <c r="H501" t="s">
        <v>4017</v>
      </c>
      <c r="I501" t="s">
        <v>4022</v>
      </c>
      <c r="J501" t="s">
        <v>4026</v>
      </c>
      <c r="K501" s="2">
        <v>44525</v>
      </c>
      <c r="L501" s="2">
        <v>44526</v>
      </c>
      <c r="N501">
        <v>24</v>
      </c>
      <c r="O501">
        <f>IF(Tickets[[#This Row],[Ticket Priority]]="Critical",24,
IF(Tickets[[#This Row],[Ticket Priority]]="High",48,
IF(Tickets[[#This Row],[Ticket Priority]]="Medium",120,168)))</f>
        <v>24</v>
      </c>
      <c r="P501" t="str">
        <f>IF(Tickets[[#This Row],[Resolution Duration Hours]] &lt;= Tickets[[#This Row],[SLA_Target_Hours]], "Yes", "No")</f>
        <v>Yes</v>
      </c>
    </row>
    <row r="502" spans="1:16" hidden="1">
      <c r="A502">
        <v>501</v>
      </c>
      <c r="B502" t="s">
        <v>512</v>
      </c>
      <c r="C502" t="s">
        <v>2484</v>
      </c>
      <c r="D502" t="s">
        <v>3990</v>
      </c>
      <c r="E502" s="1">
        <v>44828</v>
      </c>
      <c r="F502" t="s">
        <v>3999</v>
      </c>
      <c r="G502" t="s">
        <v>4016</v>
      </c>
      <c r="H502" t="s">
        <v>4018</v>
      </c>
      <c r="I502" t="s">
        <v>4024</v>
      </c>
      <c r="J502" t="s">
        <v>4027</v>
      </c>
      <c r="K502" s="2">
        <v>44855</v>
      </c>
      <c r="L502" s="2">
        <v>44862</v>
      </c>
      <c r="M502">
        <v>5</v>
      </c>
      <c r="N502">
        <v>168</v>
      </c>
      <c r="O502">
        <f>IF(Tickets[[#This Row],[Ticket Priority]]="Critical",24,
IF(Tickets[[#This Row],[Ticket Priority]]="High",48,
IF(Tickets[[#This Row],[Ticket Priority]]="Medium",120,168)))</f>
        <v>168</v>
      </c>
      <c r="P502" t="str">
        <f>IF(Tickets[[#This Row],[Resolution Duration Hours]] &lt;= Tickets[[#This Row],[SLA_Target_Hours]], "Yes", "No")</f>
        <v>Yes</v>
      </c>
    </row>
    <row r="503" spans="1:16" hidden="1">
      <c r="A503">
        <v>502</v>
      </c>
      <c r="B503" t="s">
        <v>513</v>
      </c>
      <c r="C503" t="s">
        <v>2485</v>
      </c>
      <c r="D503" t="s">
        <v>3986</v>
      </c>
      <c r="E503" s="1">
        <v>44670</v>
      </c>
      <c r="F503" t="s">
        <v>3998</v>
      </c>
      <c r="G503" t="s">
        <v>4004</v>
      </c>
      <c r="H503" t="s">
        <v>4020</v>
      </c>
      <c r="I503" t="s">
        <v>4024</v>
      </c>
      <c r="J503" t="s">
        <v>4028</v>
      </c>
      <c r="K503" s="2">
        <v>45002</v>
      </c>
      <c r="L503" s="2">
        <v>45007</v>
      </c>
      <c r="N503">
        <v>120</v>
      </c>
      <c r="O503">
        <f>IF(Tickets[[#This Row],[Ticket Priority]]="Critical",24,
IF(Tickets[[#This Row],[Ticket Priority]]="High",48,
IF(Tickets[[#This Row],[Ticket Priority]]="Medium",120,168)))</f>
        <v>168</v>
      </c>
      <c r="P503" t="str">
        <f>IF(Tickets[[#This Row],[Resolution Duration Hours]] &lt;= Tickets[[#This Row],[SLA_Target_Hours]], "Yes", "No")</f>
        <v>Yes</v>
      </c>
    </row>
    <row r="504" spans="1:16" hidden="1">
      <c r="A504">
        <v>503</v>
      </c>
      <c r="B504" t="s">
        <v>514</v>
      </c>
      <c r="C504" t="s">
        <v>2486</v>
      </c>
      <c r="D504" t="s">
        <v>3988</v>
      </c>
      <c r="E504" s="1">
        <v>43899</v>
      </c>
      <c r="F504" t="s">
        <v>3999</v>
      </c>
      <c r="G504" t="s">
        <v>4007</v>
      </c>
      <c r="H504" t="s">
        <v>4017</v>
      </c>
      <c r="I504" t="s">
        <v>4024</v>
      </c>
      <c r="J504" t="s">
        <v>4027</v>
      </c>
      <c r="K504" s="2">
        <v>43994</v>
      </c>
      <c r="L504" s="2">
        <v>44001</v>
      </c>
      <c r="N504">
        <v>168</v>
      </c>
      <c r="O504">
        <f>IF(Tickets[[#This Row],[Ticket Priority]]="Critical",24,
IF(Tickets[[#This Row],[Ticket Priority]]="High",48,
IF(Tickets[[#This Row],[Ticket Priority]]="Medium",120,168)))</f>
        <v>168</v>
      </c>
      <c r="P504" t="str">
        <f>IF(Tickets[[#This Row],[Resolution Duration Hours]] &lt;= Tickets[[#This Row],[SLA_Target_Hours]], "Yes", "No")</f>
        <v>Yes</v>
      </c>
    </row>
    <row r="505" spans="1:16" hidden="1">
      <c r="A505">
        <v>504</v>
      </c>
      <c r="B505" t="s">
        <v>515</v>
      </c>
      <c r="C505" t="s">
        <v>2487</v>
      </c>
      <c r="D505" t="s">
        <v>3992</v>
      </c>
      <c r="E505" s="1">
        <v>44659</v>
      </c>
      <c r="F505" t="s">
        <v>3998</v>
      </c>
      <c r="G505" t="s">
        <v>4012</v>
      </c>
      <c r="H505" t="s">
        <v>4018</v>
      </c>
      <c r="I505" t="s">
        <v>4022</v>
      </c>
      <c r="J505" t="s">
        <v>4027</v>
      </c>
      <c r="K505" s="2">
        <v>44860</v>
      </c>
      <c r="L505" s="2">
        <v>44860</v>
      </c>
      <c r="M505">
        <v>4</v>
      </c>
      <c r="N505">
        <v>0</v>
      </c>
      <c r="O505">
        <f>IF(Tickets[[#This Row],[Ticket Priority]]="Critical",24,
IF(Tickets[[#This Row],[Ticket Priority]]="High",48,
IF(Tickets[[#This Row],[Ticket Priority]]="Medium",120,168)))</f>
        <v>24</v>
      </c>
      <c r="P505" t="str">
        <f>IF(Tickets[[#This Row],[Resolution Duration Hours]] &lt;= Tickets[[#This Row],[SLA_Target_Hours]], "Yes", "No")</f>
        <v>Yes</v>
      </c>
    </row>
    <row r="506" spans="1:16" hidden="1">
      <c r="A506">
        <v>505</v>
      </c>
      <c r="B506" t="s">
        <v>516</v>
      </c>
      <c r="C506" t="s">
        <v>2488</v>
      </c>
      <c r="D506" t="s">
        <v>3990</v>
      </c>
      <c r="E506" s="1">
        <v>44150</v>
      </c>
      <c r="F506" t="s">
        <v>4000</v>
      </c>
      <c r="G506" t="s">
        <v>4013</v>
      </c>
      <c r="H506" t="s">
        <v>4018</v>
      </c>
      <c r="I506" t="s">
        <v>4024</v>
      </c>
      <c r="J506" t="s">
        <v>4026</v>
      </c>
      <c r="K506" s="2">
        <v>44348</v>
      </c>
      <c r="L506" s="2">
        <v>44354</v>
      </c>
      <c r="M506">
        <v>4</v>
      </c>
      <c r="N506">
        <v>144</v>
      </c>
      <c r="O506">
        <f>IF(Tickets[[#This Row],[Ticket Priority]]="Critical",24,
IF(Tickets[[#This Row],[Ticket Priority]]="High",48,
IF(Tickets[[#This Row],[Ticket Priority]]="Medium",120,168)))</f>
        <v>168</v>
      </c>
      <c r="P506" t="str">
        <f>IF(Tickets[[#This Row],[Resolution Duration Hours]] &lt;= Tickets[[#This Row],[SLA_Target_Hours]], "Yes", "No")</f>
        <v>Yes</v>
      </c>
    </row>
    <row r="507" spans="1:16" hidden="1">
      <c r="A507">
        <v>506</v>
      </c>
      <c r="B507" t="s">
        <v>517</v>
      </c>
      <c r="C507" t="s">
        <v>2489</v>
      </c>
      <c r="D507" t="s">
        <v>3996</v>
      </c>
      <c r="E507" s="1">
        <v>44896</v>
      </c>
      <c r="F507" t="s">
        <v>3999</v>
      </c>
      <c r="G507" t="s">
        <v>4006</v>
      </c>
      <c r="H507" t="s">
        <v>4018</v>
      </c>
      <c r="I507" t="s">
        <v>4023</v>
      </c>
      <c r="J507" t="s">
        <v>4026</v>
      </c>
      <c r="K507" s="2">
        <v>45163</v>
      </c>
      <c r="L507" s="2">
        <v>45166</v>
      </c>
      <c r="M507">
        <v>5</v>
      </c>
      <c r="N507">
        <v>72</v>
      </c>
      <c r="O507">
        <f>IF(Tickets[[#This Row],[Ticket Priority]]="Critical",24,
IF(Tickets[[#This Row],[Ticket Priority]]="High",48,
IF(Tickets[[#This Row],[Ticket Priority]]="Medium",120,168)))</f>
        <v>120</v>
      </c>
      <c r="P507" t="str">
        <f>IF(Tickets[[#This Row],[Resolution Duration Hours]] &lt;= Tickets[[#This Row],[SLA_Target_Hours]], "Yes", "No")</f>
        <v>Yes</v>
      </c>
    </row>
    <row r="508" spans="1:16" hidden="1">
      <c r="A508">
        <v>507</v>
      </c>
      <c r="B508" t="s">
        <v>518</v>
      </c>
      <c r="C508" t="s">
        <v>2490</v>
      </c>
      <c r="D508" t="s">
        <v>3984</v>
      </c>
      <c r="E508" s="1">
        <v>44697</v>
      </c>
      <c r="F508" t="s">
        <v>3998</v>
      </c>
      <c r="G508" t="s">
        <v>4006</v>
      </c>
      <c r="H508" t="s">
        <v>4018</v>
      </c>
      <c r="I508" t="s">
        <v>4024</v>
      </c>
      <c r="J508" t="s">
        <v>4026</v>
      </c>
      <c r="K508" s="2">
        <v>44974</v>
      </c>
      <c r="L508" s="2">
        <v>44978</v>
      </c>
      <c r="M508">
        <v>4</v>
      </c>
      <c r="N508">
        <v>96</v>
      </c>
      <c r="O508">
        <f>IF(Tickets[[#This Row],[Ticket Priority]]="Critical",24,
IF(Tickets[[#This Row],[Ticket Priority]]="High",48,
IF(Tickets[[#This Row],[Ticket Priority]]="Medium",120,168)))</f>
        <v>168</v>
      </c>
      <c r="P508" t="str">
        <f>IF(Tickets[[#This Row],[Resolution Duration Hours]] &lt;= Tickets[[#This Row],[SLA_Target_Hours]], "Yes", "No")</f>
        <v>Yes</v>
      </c>
    </row>
    <row r="509" spans="1:16" hidden="1">
      <c r="A509">
        <v>508</v>
      </c>
      <c r="B509" t="s">
        <v>519</v>
      </c>
      <c r="C509" t="s">
        <v>2491</v>
      </c>
      <c r="D509" t="s">
        <v>3985</v>
      </c>
      <c r="E509" s="1">
        <v>44503</v>
      </c>
      <c r="F509" t="s">
        <v>3999</v>
      </c>
      <c r="G509" t="s">
        <v>4016</v>
      </c>
      <c r="H509" t="s">
        <v>4019</v>
      </c>
      <c r="I509" t="s">
        <v>4024</v>
      </c>
      <c r="J509" t="s">
        <v>4026</v>
      </c>
      <c r="K509" s="2">
        <v>44838</v>
      </c>
      <c r="L509" s="2">
        <v>44843</v>
      </c>
      <c r="N509">
        <v>120</v>
      </c>
      <c r="O509">
        <f>IF(Tickets[[#This Row],[Ticket Priority]]="Critical",24,
IF(Tickets[[#This Row],[Ticket Priority]]="High",48,
IF(Tickets[[#This Row],[Ticket Priority]]="Medium",120,168)))</f>
        <v>168</v>
      </c>
      <c r="P509" t="str">
        <f>IF(Tickets[[#This Row],[Resolution Duration Hours]] &lt;= Tickets[[#This Row],[SLA_Target_Hours]], "Yes", "No")</f>
        <v>Yes</v>
      </c>
    </row>
    <row r="510" spans="1:16">
      <c r="A510">
        <v>1192</v>
      </c>
      <c r="B510" t="s">
        <v>1197</v>
      </c>
      <c r="C510" t="s">
        <v>3172</v>
      </c>
      <c r="D510" t="s">
        <v>3981</v>
      </c>
      <c r="E510" s="1">
        <v>44112</v>
      </c>
      <c r="F510" t="s">
        <v>4002</v>
      </c>
      <c r="G510" t="s">
        <v>4000</v>
      </c>
      <c r="H510" t="s">
        <v>4018</v>
      </c>
      <c r="I510" t="s">
        <v>4024</v>
      </c>
      <c r="J510" t="s">
        <v>4028</v>
      </c>
      <c r="K510" s="2">
        <v>44401</v>
      </c>
      <c r="L510" s="2">
        <v>44411</v>
      </c>
      <c r="N510">
        <v>240</v>
      </c>
      <c r="O510">
        <f>IF(Tickets[[#This Row],[Ticket Priority]]="Critical",24,
IF(Tickets[[#This Row],[Ticket Priority]]="High",48,
IF(Tickets[[#This Row],[Ticket Priority]]="Medium",120,168)))</f>
        <v>168</v>
      </c>
      <c r="P510" t="str">
        <f>IF(Tickets[[#This Row],[Resolution Duration Hours]] &lt;= Tickets[[#This Row],[SLA_Target_Hours]], "Yes", "No")</f>
        <v>No</v>
      </c>
    </row>
    <row r="511" spans="1:16">
      <c r="A511">
        <v>1194</v>
      </c>
      <c r="B511" t="s">
        <v>1199</v>
      </c>
      <c r="C511" t="s">
        <v>3174</v>
      </c>
      <c r="D511" t="s">
        <v>3996</v>
      </c>
      <c r="E511" s="1">
        <v>45039</v>
      </c>
      <c r="F511" t="s">
        <v>4001</v>
      </c>
      <c r="G511" t="s">
        <v>4013</v>
      </c>
      <c r="H511" t="s">
        <v>4018</v>
      </c>
      <c r="I511" t="s">
        <v>4024</v>
      </c>
      <c r="J511" t="s">
        <v>4026</v>
      </c>
      <c r="K511" s="2">
        <v>45320</v>
      </c>
      <c r="L511" s="2">
        <v>45330</v>
      </c>
      <c r="N511">
        <v>240</v>
      </c>
      <c r="O511">
        <f>IF(Tickets[[#This Row],[Ticket Priority]]="Critical",24,
IF(Tickets[[#This Row],[Ticket Priority]]="High",48,
IF(Tickets[[#This Row],[Ticket Priority]]="Medium",120,168)))</f>
        <v>168</v>
      </c>
      <c r="P511" t="str">
        <f>IF(Tickets[[#This Row],[Resolution Duration Hours]] &lt;= Tickets[[#This Row],[SLA_Target_Hours]], "Yes", "No")</f>
        <v>No</v>
      </c>
    </row>
    <row r="512" spans="1:16" hidden="1">
      <c r="A512">
        <v>511</v>
      </c>
      <c r="B512" t="s">
        <v>521</v>
      </c>
      <c r="C512" t="s">
        <v>2494</v>
      </c>
      <c r="D512" t="s">
        <v>3981</v>
      </c>
      <c r="E512" s="1">
        <v>44991</v>
      </c>
      <c r="F512" t="s">
        <v>4000</v>
      </c>
      <c r="G512" t="s">
        <v>4011</v>
      </c>
      <c r="H512" t="s">
        <v>4018</v>
      </c>
      <c r="I512" t="s">
        <v>4023</v>
      </c>
      <c r="J512" t="s">
        <v>4026</v>
      </c>
      <c r="K512" s="2">
        <v>45031</v>
      </c>
      <c r="L512" s="2">
        <v>45035</v>
      </c>
      <c r="M512">
        <v>5</v>
      </c>
      <c r="N512">
        <v>96</v>
      </c>
      <c r="O512">
        <f>IF(Tickets[[#This Row],[Ticket Priority]]="Critical",24,
IF(Tickets[[#This Row],[Ticket Priority]]="High",48,
IF(Tickets[[#This Row],[Ticket Priority]]="Medium",120,168)))</f>
        <v>120</v>
      </c>
      <c r="P512" t="str">
        <f>IF(Tickets[[#This Row],[Resolution Duration Hours]] &lt;= Tickets[[#This Row],[SLA_Target_Hours]], "Yes", "No")</f>
        <v>Yes</v>
      </c>
    </row>
    <row r="513" spans="1:16" hidden="1">
      <c r="A513">
        <v>512</v>
      </c>
      <c r="B513" t="s">
        <v>522</v>
      </c>
      <c r="C513" t="s">
        <v>2495</v>
      </c>
      <c r="D513" t="s">
        <v>3982</v>
      </c>
      <c r="E513" s="1">
        <v>44837</v>
      </c>
      <c r="F513" t="s">
        <v>4002</v>
      </c>
      <c r="G513" t="s">
        <v>4008</v>
      </c>
      <c r="H513" t="s">
        <v>4019</v>
      </c>
      <c r="I513" t="s">
        <v>4023</v>
      </c>
      <c r="J513" t="s">
        <v>4026</v>
      </c>
      <c r="K513" s="2">
        <v>44935</v>
      </c>
      <c r="L513" s="2">
        <v>44939</v>
      </c>
      <c r="M513">
        <v>5</v>
      </c>
      <c r="N513">
        <v>96</v>
      </c>
      <c r="O513">
        <f>IF(Tickets[[#This Row],[Ticket Priority]]="Critical",24,
IF(Tickets[[#This Row],[Ticket Priority]]="High",48,
IF(Tickets[[#This Row],[Ticket Priority]]="Medium",120,168)))</f>
        <v>120</v>
      </c>
      <c r="P513" t="str">
        <f>IF(Tickets[[#This Row],[Resolution Duration Hours]] &lt;= Tickets[[#This Row],[SLA_Target_Hours]], "Yes", "No")</f>
        <v>Yes</v>
      </c>
    </row>
    <row r="514" spans="1:16" hidden="1">
      <c r="A514">
        <v>513</v>
      </c>
      <c r="B514" t="s">
        <v>523</v>
      </c>
      <c r="C514" t="s">
        <v>2496</v>
      </c>
      <c r="D514" t="s">
        <v>3982</v>
      </c>
      <c r="E514" s="1">
        <v>44443</v>
      </c>
      <c r="F514" t="s">
        <v>4001</v>
      </c>
      <c r="G514" t="s">
        <v>4009</v>
      </c>
      <c r="H514" t="s">
        <v>4018</v>
      </c>
      <c r="I514" t="s">
        <v>4023</v>
      </c>
      <c r="J514" t="s">
        <v>4026</v>
      </c>
      <c r="K514" s="2">
        <v>44667</v>
      </c>
      <c r="L514" s="2">
        <v>44670</v>
      </c>
      <c r="M514">
        <v>5</v>
      </c>
      <c r="N514">
        <v>72</v>
      </c>
      <c r="O514">
        <f>IF(Tickets[[#This Row],[Ticket Priority]]="Critical",24,
IF(Tickets[[#This Row],[Ticket Priority]]="High",48,
IF(Tickets[[#This Row],[Ticket Priority]]="Medium",120,168)))</f>
        <v>120</v>
      </c>
      <c r="P514" t="str">
        <f>IF(Tickets[[#This Row],[Resolution Duration Hours]] &lt;= Tickets[[#This Row],[SLA_Target_Hours]], "Yes", "No")</f>
        <v>Yes</v>
      </c>
    </row>
    <row r="515" spans="1:16">
      <c r="A515">
        <v>1217</v>
      </c>
      <c r="B515" t="s">
        <v>1221</v>
      </c>
      <c r="C515" t="s">
        <v>3197</v>
      </c>
      <c r="D515" t="s">
        <v>3989</v>
      </c>
      <c r="E515" s="1">
        <v>44889</v>
      </c>
      <c r="F515" t="s">
        <v>4001</v>
      </c>
      <c r="G515" t="s">
        <v>4007</v>
      </c>
      <c r="H515" t="s">
        <v>4017</v>
      </c>
      <c r="I515" t="s">
        <v>4024</v>
      </c>
      <c r="J515" t="s">
        <v>4027</v>
      </c>
      <c r="K515" s="2">
        <v>45005</v>
      </c>
      <c r="L515" s="2">
        <v>45015</v>
      </c>
      <c r="N515">
        <v>240</v>
      </c>
      <c r="O515">
        <f>IF(Tickets[[#This Row],[Ticket Priority]]="Critical",24,
IF(Tickets[[#This Row],[Ticket Priority]]="High",48,
IF(Tickets[[#This Row],[Ticket Priority]]="Medium",120,168)))</f>
        <v>168</v>
      </c>
      <c r="P515" t="str">
        <f>IF(Tickets[[#This Row],[Resolution Duration Hours]] &lt;= Tickets[[#This Row],[SLA_Target_Hours]], "Yes", "No")</f>
        <v>No</v>
      </c>
    </row>
    <row r="516" spans="1:16" hidden="1">
      <c r="A516">
        <v>515</v>
      </c>
      <c r="B516" t="s">
        <v>525</v>
      </c>
      <c r="C516" t="s">
        <v>2498</v>
      </c>
      <c r="D516" t="s">
        <v>3984</v>
      </c>
      <c r="E516" s="1">
        <v>44997</v>
      </c>
      <c r="F516" t="s">
        <v>4001</v>
      </c>
      <c r="G516" t="s">
        <v>4005</v>
      </c>
      <c r="H516" t="s">
        <v>4017</v>
      </c>
      <c r="I516" t="s">
        <v>4021</v>
      </c>
      <c r="J516" t="s">
        <v>4026</v>
      </c>
      <c r="K516" s="2">
        <v>45018</v>
      </c>
      <c r="L516" s="2">
        <v>45019</v>
      </c>
      <c r="N516">
        <v>24</v>
      </c>
      <c r="O516">
        <f>IF(Tickets[[#This Row],[Ticket Priority]]="Critical",24,
IF(Tickets[[#This Row],[Ticket Priority]]="High",48,
IF(Tickets[[#This Row],[Ticket Priority]]="Medium",120,168)))</f>
        <v>48</v>
      </c>
      <c r="P516" t="str">
        <f>IF(Tickets[[#This Row],[Resolution Duration Hours]] &lt;= Tickets[[#This Row],[SLA_Target_Hours]], "Yes", "No")</f>
        <v>Yes</v>
      </c>
    </row>
    <row r="517" spans="1:16">
      <c r="A517">
        <v>1241</v>
      </c>
      <c r="B517" t="s">
        <v>1243</v>
      </c>
      <c r="C517" t="s">
        <v>3221</v>
      </c>
      <c r="D517" t="s">
        <v>3989</v>
      </c>
      <c r="E517" s="1">
        <v>44539</v>
      </c>
      <c r="F517" t="s">
        <v>3999</v>
      </c>
      <c r="G517" t="s">
        <v>4014</v>
      </c>
      <c r="H517" t="s">
        <v>4018</v>
      </c>
      <c r="I517" t="s">
        <v>4024</v>
      </c>
      <c r="J517" t="s">
        <v>4026</v>
      </c>
      <c r="K517" s="2">
        <v>44833</v>
      </c>
      <c r="L517" s="2">
        <v>44843</v>
      </c>
      <c r="M517">
        <v>4</v>
      </c>
      <c r="N517">
        <v>240</v>
      </c>
      <c r="O517">
        <f>IF(Tickets[[#This Row],[Ticket Priority]]="Critical",24,
IF(Tickets[[#This Row],[Ticket Priority]]="High",48,
IF(Tickets[[#This Row],[Ticket Priority]]="Medium",120,168)))</f>
        <v>168</v>
      </c>
      <c r="P517" t="str">
        <f>IF(Tickets[[#This Row],[Resolution Duration Hours]] &lt;= Tickets[[#This Row],[SLA_Target_Hours]], "Yes", "No")</f>
        <v>No</v>
      </c>
    </row>
    <row r="518" spans="1:16" hidden="1">
      <c r="A518">
        <v>517</v>
      </c>
      <c r="B518" t="s">
        <v>527</v>
      </c>
      <c r="C518" t="s">
        <v>2500</v>
      </c>
      <c r="D518" t="s">
        <v>3985</v>
      </c>
      <c r="E518" s="1">
        <v>44793</v>
      </c>
      <c r="F518" t="s">
        <v>3998</v>
      </c>
      <c r="G518" t="s">
        <v>4014</v>
      </c>
      <c r="H518" t="s">
        <v>4017</v>
      </c>
      <c r="I518" t="s">
        <v>4023</v>
      </c>
      <c r="J518" t="s">
        <v>4025</v>
      </c>
      <c r="K518" s="2">
        <v>45030</v>
      </c>
      <c r="L518" s="2">
        <v>45033</v>
      </c>
      <c r="N518">
        <v>72</v>
      </c>
      <c r="O518">
        <f>IF(Tickets[[#This Row],[Ticket Priority]]="Critical",24,
IF(Tickets[[#This Row],[Ticket Priority]]="High",48,
IF(Tickets[[#This Row],[Ticket Priority]]="Medium",120,168)))</f>
        <v>120</v>
      </c>
      <c r="P518" t="str">
        <f>IF(Tickets[[#This Row],[Resolution Duration Hours]] &lt;= Tickets[[#This Row],[SLA_Target_Hours]], "Yes", "No")</f>
        <v>Yes</v>
      </c>
    </row>
    <row r="519" spans="1:16" hidden="1">
      <c r="A519">
        <v>518</v>
      </c>
      <c r="B519" t="s">
        <v>528</v>
      </c>
      <c r="C519" t="s">
        <v>2501</v>
      </c>
      <c r="D519" t="s">
        <v>3996</v>
      </c>
      <c r="E519" s="1">
        <v>44709</v>
      </c>
      <c r="F519" t="s">
        <v>4001</v>
      </c>
      <c r="G519" t="s">
        <v>4012</v>
      </c>
      <c r="H519" t="s">
        <v>4020</v>
      </c>
      <c r="I519" t="s">
        <v>4022</v>
      </c>
      <c r="J519" t="s">
        <v>4027</v>
      </c>
      <c r="K519" s="2">
        <v>44920</v>
      </c>
      <c r="L519" s="2">
        <v>44920</v>
      </c>
      <c r="N519">
        <v>0</v>
      </c>
      <c r="O519">
        <f>IF(Tickets[[#This Row],[Ticket Priority]]="Critical",24,
IF(Tickets[[#This Row],[Ticket Priority]]="High",48,
IF(Tickets[[#This Row],[Ticket Priority]]="Medium",120,168)))</f>
        <v>24</v>
      </c>
      <c r="P519" t="str">
        <f>IF(Tickets[[#This Row],[Resolution Duration Hours]] &lt;= Tickets[[#This Row],[SLA_Target_Hours]], "Yes", "No")</f>
        <v>Yes</v>
      </c>
    </row>
    <row r="520" spans="1:16" hidden="1">
      <c r="A520">
        <v>519</v>
      </c>
      <c r="B520" t="s">
        <v>529</v>
      </c>
      <c r="C520" t="s">
        <v>2502</v>
      </c>
      <c r="D520" t="s">
        <v>3983</v>
      </c>
      <c r="E520" s="1">
        <v>44937</v>
      </c>
      <c r="F520" t="s">
        <v>3999</v>
      </c>
      <c r="G520" t="s">
        <v>4003</v>
      </c>
      <c r="H520" t="s">
        <v>4018</v>
      </c>
      <c r="I520" t="s">
        <v>4024</v>
      </c>
      <c r="J520" t="s">
        <v>4025</v>
      </c>
      <c r="K520" s="2">
        <v>45291</v>
      </c>
      <c r="L520" s="2">
        <v>45297</v>
      </c>
      <c r="M520">
        <v>3</v>
      </c>
      <c r="N520">
        <v>144</v>
      </c>
      <c r="O520">
        <f>IF(Tickets[[#This Row],[Ticket Priority]]="Critical",24,
IF(Tickets[[#This Row],[Ticket Priority]]="High",48,
IF(Tickets[[#This Row],[Ticket Priority]]="Medium",120,168)))</f>
        <v>168</v>
      </c>
      <c r="P520" t="str">
        <f>IF(Tickets[[#This Row],[Resolution Duration Hours]] &lt;= Tickets[[#This Row],[SLA_Target_Hours]], "Yes", "No")</f>
        <v>Yes</v>
      </c>
    </row>
    <row r="521" spans="1:16" hidden="1">
      <c r="A521">
        <v>520</v>
      </c>
      <c r="B521" t="s">
        <v>530</v>
      </c>
      <c r="C521" t="s">
        <v>2503</v>
      </c>
      <c r="D521" t="s">
        <v>3996</v>
      </c>
      <c r="E521" s="1">
        <v>44550</v>
      </c>
      <c r="F521" t="s">
        <v>3999</v>
      </c>
      <c r="G521" t="s">
        <v>4009</v>
      </c>
      <c r="H521" t="s">
        <v>4017</v>
      </c>
      <c r="I521" t="s">
        <v>4021</v>
      </c>
      <c r="J521" t="s">
        <v>4026</v>
      </c>
      <c r="K521" s="2">
        <v>44811</v>
      </c>
      <c r="L521" s="2">
        <v>44812</v>
      </c>
      <c r="N521">
        <v>24</v>
      </c>
      <c r="O521">
        <f>IF(Tickets[[#This Row],[Ticket Priority]]="Critical",24,
IF(Tickets[[#This Row],[Ticket Priority]]="High",48,
IF(Tickets[[#This Row],[Ticket Priority]]="Medium",120,168)))</f>
        <v>48</v>
      </c>
      <c r="P521" t="str">
        <f>IF(Tickets[[#This Row],[Resolution Duration Hours]] &lt;= Tickets[[#This Row],[SLA_Target_Hours]], "Yes", "No")</f>
        <v>Yes</v>
      </c>
    </row>
    <row r="522" spans="1:16" hidden="1">
      <c r="A522">
        <v>521</v>
      </c>
      <c r="B522" t="s">
        <v>531</v>
      </c>
      <c r="C522" t="s">
        <v>2504</v>
      </c>
      <c r="D522" t="s">
        <v>3985</v>
      </c>
      <c r="E522" s="1">
        <v>44048</v>
      </c>
      <c r="F522" t="s">
        <v>4000</v>
      </c>
      <c r="G522" t="s">
        <v>4012</v>
      </c>
      <c r="H522" t="s">
        <v>4018</v>
      </c>
      <c r="I522" t="s">
        <v>4021</v>
      </c>
      <c r="J522" t="s">
        <v>4025</v>
      </c>
      <c r="K522" s="2">
        <v>44131</v>
      </c>
      <c r="L522" s="2">
        <v>44132</v>
      </c>
      <c r="M522">
        <v>3</v>
      </c>
      <c r="N522">
        <v>24</v>
      </c>
      <c r="O522">
        <f>IF(Tickets[[#This Row],[Ticket Priority]]="Critical",24,
IF(Tickets[[#This Row],[Ticket Priority]]="High",48,
IF(Tickets[[#This Row],[Ticket Priority]]="Medium",120,168)))</f>
        <v>48</v>
      </c>
      <c r="P522" t="str">
        <f>IF(Tickets[[#This Row],[Resolution Duration Hours]] &lt;= Tickets[[#This Row],[SLA_Target_Hours]], "Yes", "No")</f>
        <v>Yes</v>
      </c>
    </row>
    <row r="523" spans="1:16" hidden="1">
      <c r="A523">
        <v>522</v>
      </c>
      <c r="B523" t="s">
        <v>532</v>
      </c>
      <c r="C523" t="s">
        <v>2505</v>
      </c>
      <c r="D523" t="s">
        <v>3979</v>
      </c>
      <c r="E523" s="1">
        <v>44812</v>
      </c>
      <c r="F523" t="s">
        <v>4000</v>
      </c>
      <c r="G523" t="s">
        <v>4004</v>
      </c>
      <c r="H523" t="s">
        <v>4017</v>
      </c>
      <c r="I523" t="s">
        <v>4022</v>
      </c>
      <c r="J523" t="s">
        <v>4028</v>
      </c>
      <c r="K523" s="2">
        <v>44880</v>
      </c>
      <c r="L523" s="2">
        <v>44880</v>
      </c>
      <c r="N523">
        <v>0</v>
      </c>
      <c r="O523">
        <f>IF(Tickets[[#This Row],[Ticket Priority]]="Critical",24,
IF(Tickets[[#This Row],[Ticket Priority]]="High",48,
IF(Tickets[[#This Row],[Ticket Priority]]="Medium",120,168)))</f>
        <v>24</v>
      </c>
      <c r="P523" t="str">
        <f>IF(Tickets[[#This Row],[Resolution Duration Hours]] &lt;= Tickets[[#This Row],[SLA_Target_Hours]], "Yes", "No")</f>
        <v>Yes</v>
      </c>
    </row>
    <row r="524" spans="1:16" hidden="1">
      <c r="A524">
        <v>523</v>
      </c>
      <c r="B524" t="s">
        <v>533</v>
      </c>
      <c r="C524" t="s">
        <v>2506</v>
      </c>
      <c r="D524" t="s">
        <v>3987</v>
      </c>
      <c r="E524" s="1">
        <v>44669</v>
      </c>
      <c r="F524" t="s">
        <v>3998</v>
      </c>
      <c r="G524" t="s">
        <v>4010</v>
      </c>
      <c r="H524" t="s">
        <v>4018</v>
      </c>
      <c r="I524" t="s">
        <v>4021</v>
      </c>
      <c r="J524" t="s">
        <v>4026</v>
      </c>
      <c r="K524" s="2">
        <v>44980</v>
      </c>
      <c r="L524" s="2">
        <v>44982</v>
      </c>
      <c r="M524">
        <v>5</v>
      </c>
      <c r="N524">
        <v>48</v>
      </c>
      <c r="O524">
        <f>IF(Tickets[[#This Row],[Ticket Priority]]="Critical",24,
IF(Tickets[[#This Row],[Ticket Priority]]="High",48,
IF(Tickets[[#This Row],[Ticket Priority]]="Medium",120,168)))</f>
        <v>48</v>
      </c>
      <c r="P524" t="str">
        <f>IF(Tickets[[#This Row],[Resolution Duration Hours]] &lt;= Tickets[[#This Row],[SLA_Target_Hours]], "Yes", "No")</f>
        <v>Yes</v>
      </c>
    </row>
    <row r="525" spans="1:16" hidden="1">
      <c r="A525">
        <v>524</v>
      </c>
      <c r="B525" t="s">
        <v>534</v>
      </c>
      <c r="C525" t="s">
        <v>2507</v>
      </c>
      <c r="D525" t="s">
        <v>3991</v>
      </c>
      <c r="E525" s="1">
        <v>44038</v>
      </c>
      <c r="F525" t="s">
        <v>3999</v>
      </c>
      <c r="G525" t="s">
        <v>4010</v>
      </c>
      <c r="H525" t="s">
        <v>4017</v>
      </c>
      <c r="I525" t="s">
        <v>4023</v>
      </c>
      <c r="J525" t="s">
        <v>4026</v>
      </c>
      <c r="K525" s="2">
        <v>44180</v>
      </c>
      <c r="L525" s="2">
        <v>44182</v>
      </c>
      <c r="N525">
        <v>48</v>
      </c>
      <c r="O525">
        <f>IF(Tickets[[#This Row],[Ticket Priority]]="Critical",24,
IF(Tickets[[#This Row],[Ticket Priority]]="High",48,
IF(Tickets[[#This Row],[Ticket Priority]]="Medium",120,168)))</f>
        <v>120</v>
      </c>
      <c r="P525" t="str">
        <f>IF(Tickets[[#This Row],[Resolution Duration Hours]] &lt;= Tickets[[#This Row],[SLA_Target_Hours]], "Yes", "No")</f>
        <v>Yes</v>
      </c>
    </row>
    <row r="526" spans="1:16">
      <c r="A526">
        <v>1246</v>
      </c>
      <c r="B526" t="s">
        <v>1248</v>
      </c>
      <c r="C526" t="s">
        <v>3226</v>
      </c>
      <c r="D526" t="s">
        <v>3983</v>
      </c>
      <c r="E526" s="1">
        <v>44687</v>
      </c>
      <c r="F526" t="s">
        <v>4000</v>
      </c>
      <c r="G526" t="s">
        <v>4010</v>
      </c>
      <c r="H526" t="s">
        <v>4018</v>
      </c>
      <c r="I526" t="s">
        <v>4024</v>
      </c>
      <c r="J526" t="s">
        <v>4026</v>
      </c>
      <c r="K526" s="2">
        <v>44899</v>
      </c>
      <c r="L526" s="2">
        <v>44909</v>
      </c>
      <c r="M526">
        <v>4</v>
      </c>
      <c r="N526">
        <v>240</v>
      </c>
      <c r="O526">
        <f>IF(Tickets[[#This Row],[Ticket Priority]]="Critical",24,
IF(Tickets[[#This Row],[Ticket Priority]]="High",48,
IF(Tickets[[#This Row],[Ticket Priority]]="Medium",120,168)))</f>
        <v>168</v>
      </c>
      <c r="P526" t="str">
        <f>IF(Tickets[[#This Row],[Resolution Duration Hours]] &lt;= Tickets[[#This Row],[SLA_Target_Hours]], "Yes", "No")</f>
        <v>No</v>
      </c>
    </row>
    <row r="527" spans="1:16" hidden="1">
      <c r="A527">
        <v>526</v>
      </c>
      <c r="B527" t="s">
        <v>536</v>
      </c>
      <c r="C527" t="s">
        <v>2509</v>
      </c>
      <c r="D527" t="s">
        <v>3986</v>
      </c>
      <c r="E527" s="1">
        <v>44974</v>
      </c>
      <c r="F527" t="s">
        <v>3999</v>
      </c>
      <c r="G527" t="s">
        <v>4006</v>
      </c>
      <c r="H527" t="s">
        <v>4019</v>
      </c>
      <c r="I527" t="s">
        <v>4024</v>
      </c>
      <c r="J527" t="s">
        <v>4025</v>
      </c>
      <c r="K527" s="2">
        <v>45286</v>
      </c>
      <c r="L527" s="2">
        <v>45292</v>
      </c>
      <c r="M527">
        <v>4</v>
      </c>
      <c r="N527">
        <v>144</v>
      </c>
      <c r="O527">
        <f>IF(Tickets[[#This Row],[Ticket Priority]]="Critical",24,
IF(Tickets[[#This Row],[Ticket Priority]]="High",48,
IF(Tickets[[#This Row],[Ticket Priority]]="Medium",120,168)))</f>
        <v>168</v>
      </c>
      <c r="P527" t="str">
        <f>IF(Tickets[[#This Row],[Resolution Duration Hours]] &lt;= Tickets[[#This Row],[SLA_Target_Hours]], "Yes", "No")</f>
        <v>Yes</v>
      </c>
    </row>
    <row r="528" spans="1:16" hidden="1">
      <c r="A528">
        <v>527</v>
      </c>
      <c r="B528" t="s">
        <v>537</v>
      </c>
      <c r="C528" t="s">
        <v>2510</v>
      </c>
      <c r="D528" t="s">
        <v>3986</v>
      </c>
      <c r="E528" s="1">
        <v>44194</v>
      </c>
      <c r="F528" t="s">
        <v>4002</v>
      </c>
      <c r="G528" t="s">
        <v>4003</v>
      </c>
      <c r="H528" t="s">
        <v>4018</v>
      </c>
      <c r="I528" t="s">
        <v>4023</v>
      </c>
      <c r="J528" t="s">
        <v>4026</v>
      </c>
      <c r="K528" s="2">
        <v>44359</v>
      </c>
      <c r="L528" s="2">
        <v>44364</v>
      </c>
      <c r="M528">
        <v>3</v>
      </c>
      <c r="N528">
        <v>120</v>
      </c>
      <c r="O528">
        <f>IF(Tickets[[#This Row],[Ticket Priority]]="Critical",24,
IF(Tickets[[#This Row],[Ticket Priority]]="High",48,
IF(Tickets[[#This Row],[Ticket Priority]]="Medium",120,168)))</f>
        <v>120</v>
      </c>
      <c r="P528" t="str">
        <f>IF(Tickets[[#This Row],[Resolution Duration Hours]] &lt;= Tickets[[#This Row],[SLA_Target_Hours]], "Yes", "No")</f>
        <v>Yes</v>
      </c>
    </row>
    <row r="529" spans="1:16" hidden="1">
      <c r="A529">
        <v>528</v>
      </c>
      <c r="B529" t="s">
        <v>538</v>
      </c>
      <c r="C529" t="s">
        <v>2511</v>
      </c>
      <c r="D529" t="s">
        <v>3990</v>
      </c>
      <c r="E529" s="1">
        <v>44838</v>
      </c>
      <c r="F529" t="s">
        <v>3998</v>
      </c>
      <c r="G529" t="s">
        <v>4003</v>
      </c>
      <c r="H529" t="s">
        <v>4018</v>
      </c>
      <c r="I529" t="s">
        <v>4023</v>
      </c>
      <c r="J529" t="s">
        <v>4025</v>
      </c>
      <c r="K529" s="2">
        <v>45006</v>
      </c>
      <c r="L529" s="2">
        <v>45010</v>
      </c>
      <c r="M529">
        <v>4</v>
      </c>
      <c r="N529">
        <v>96</v>
      </c>
      <c r="O529">
        <f>IF(Tickets[[#This Row],[Ticket Priority]]="Critical",24,
IF(Tickets[[#This Row],[Ticket Priority]]="High",48,
IF(Tickets[[#This Row],[Ticket Priority]]="Medium",120,168)))</f>
        <v>120</v>
      </c>
      <c r="P529" t="str">
        <f>IF(Tickets[[#This Row],[Resolution Duration Hours]] &lt;= Tickets[[#This Row],[SLA_Target_Hours]], "Yes", "No")</f>
        <v>Yes</v>
      </c>
    </row>
    <row r="530" spans="1:16" hidden="1">
      <c r="A530">
        <v>529</v>
      </c>
      <c r="B530" t="s">
        <v>539</v>
      </c>
      <c r="C530" t="s">
        <v>2512</v>
      </c>
      <c r="D530" t="s">
        <v>3986</v>
      </c>
      <c r="E530" s="1">
        <v>44716</v>
      </c>
      <c r="F530" t="s">
        <v>3998</v>
      </c>
      <c r="G530" t="s">
        <v>4011</v>
      </c>
      <c r="H530" t="s">
        <v>4018</v>
      </c>
      <c r="I530" t="s">
        <v>4023</v>
      </c>
      <c r="J530" t="s">
        <v>4026</v>
      </c>
      <c r="K530" s="2">
        <v>44934</v>
      </c>
      <c r="L530" s="2">
        <v>44938</v>
      </c>
      <c r="M530">
        <v>4</v>
      </c>
      <c r="N530">
        <v>96</v>
      </c>
      <c r="O530">
        <f>IF(Tickets[[#This Row],[Ticket Priority]]="Critical",24,
IF(Tickets[[#This Row],[Ticket Priority]]="High",48,
IF(Tickets[[#This Row],[Ticket Priority]]="Medium",120,168)))</f>
        <v>120</v>
      </c>
      <c r="P530" t="str">
        <f>IF(Tickets[[#This Row],[Resolution Duration Hours]] &lt;= Tickets[[#This Row],[SLA_Target_Hours]], "Yes", "No")</f>
        <v>Yes</v>
      </c>
    </row>
    <row r="531" spans="1:16">
      <c r="A531">
        <v>1264</v>
      </c>
      <c r="B531" t="s">
        <v>1266</v>
      </c>
      <c r="C531" t="s">
        <v>3244</v>
      </c>
      <c r="D531" t="s">
        <v>3993</v>
      </c>
      <c r="E531" s="1">
        <v>44961</v>
      </c>
      <c r="F531" t="s">
        <v>4001</v>
      </c>
      <c r="G531" t="s">
        <v>4008</v>
      </c>
      <c r="H531" t="s">
        <v>4018</v>
      </c>
      <c r="I531" t="s">
        <v>4024</v>
      </c>
      <c r="J531" t="s">
        <v>4028</v>
      </c>
      <c r="K531" s="2">
        <v>44969</v>
      </c>
      <c r="L531" s="2">
        <v>44979</v>
      </c>
      <c r="M531">
        <v>5</v>
      </c>
      <c r="N531">
        <v>240</v>
      </c>
      <c r="O531">
        <f>IF(Tickets[[#This Row],[Ticket Priority]]="Critical",24,
IF(Tickets[[#This Row],[Ticket Priority]]="High",48,
IF(Tickets[[#This Row],[Ticket Priority]]="Medium",120,168)))</f>
        <v>168</v>
      </c>
      <c r="P531" t="str">
        <f>IF(Tickets[[#This Row],[Resolution Duration Hours]] &lt;= Tickets[[#This Row],[SLA_Target_Hours]], "Yes", "No")</f>
        <v>No</v>
      </c>
    </row>
    <row r="532" spans="1:16" hidden="1">
      <c r="A532">
        <v>531</v>
      </c>
      <c r="B532" t="s">
        <v>541</v>
      </c>
      <c r="C532" t="s">
        <v>2514</v>
      </c>
      <c r="D532" t="s">
        <v>3989</v>
      </c>
      <c r="E532" s="1">
        <v>44046</v>
      </c>
      <c r="F532" t="s">
        <v>4002</v>
      </c>
      <c r="G532" t="s">
        <v>4015</v>
      </c>
      <c r="H532" t="s">
        <v>4018</v>
      </c>
      <c r="I532" t="s">
        <v>4023</v>
      </c>
      <c r="J532" t="s">
        <v>4026</v>
      </c>
      <c r="K532" s="2">
        <v>44363</v>
      </c>
      <c r="L532" s="2">
        <v>44366</v>
      </c>
      <c r="M532">
        <v>4</v>
      </c>
      <c r="N532">
        <v>72</v>
      </c>
      <c r="O532">
        <f>IF(Tickets[[#This Row],[Ticket Priority]]="Critical",24,
IF(Tickets[[#This Row],[Ticket Priority]]="High",48,
IF(Tickets[[#This Row],[Ticket Priority]]="Medium",120,168)))</f>
        <v>120</v>
      </c>
      <c r="P532" t="str">
        <f>IF(Tickets[[#This Row],[Resolution Duration Hours]] &lt;= Tickets[[#This Row],[SLA_Target_Hours]], "Yes", "No")</f>
        <v>Yes</v>
      </c>
    </row>
    <row r="533" spans="1:16" hidden="1">
      <c r="A533">
        <v>532</v>
      </c>
      <c r="B533" t="s">
        <v>542</v>
      </c>
      <c r="C533" t="s">
        <v>2515</v>
      </c>
      <c r="D533" t="s">
        <v>3988</v>
      </c>
      <c r="E533" s="1">
        <v>44766</v>
      </c>
      <c r="F533" t="s">
        <v>4000</v>
      </c>
      <c r="G533" t="s">
        <v>4015</v>
      </c>
      <c r="H533" t="s">
        <v>4017</v>
      </c>
      <c r="I533" t="s">
        <v>4023</v>
      </c>
      <c r="J533" t="s">
        <v>4026</v>
      </c>
      <c r="K533" s="2">
        <v>44923</v>
      </c>
      <c r="L533" s="2">
        <v>44926</v>
      </c>
      <c r="N533">
        <v>72</v>
      </c>
      <c r="O533">
        <f>IF(Tickets[[#This Row],[Ticket Priority]]="Critical",24,
IF(Tickets[[#This Row],[Ticket Priority]]="High",48,
IF(Tickets[[#This Row],[Ticket Priority]]="Medium",120,168)))</f>
        <v>120</v>
      </c>
      <c r="P533" t="str">
        <f>IF(Tickets[[#This Row],[Resolution Duration Hours]] &lt;= Tickets[[#This Row],[SLA_Target_Hours]], "Yes", "No")</f>
        <v>Yes</v>
      </c>
    </row>
    <row r="534" spans="1:16" hidden="1">
      <c r="A534">
        <v>533</v>
      </c>
      <c r="B534" t="s">
        <v>543</v>
      </c>
      <c r="C534" t="s">
        <v>2516</v>
      </c>
      <c r="D534" t="s">
        <v>3980</v>
      </c>
      <c r="E534" s="1">
        <v>44158</v>
      </c>
      <c r="F534" t="s">
        <v>4000</v>
      </c>
      <c r="G534" t="s">
        <v>4008</v>
      </c>
      <c r="H534" t="s">
        <v>4020</v>
      </c>
      <c r="I534" t="s">
        <v>4024</v>
      </c>
      <c r="J534" t="s">
        <v>4028</v>
      </c>
      <c r="K534" s="2">
        <v>44474</v>
      </c>
      <c r="L534" s="2">
        <v>44479</v>
      </c>
      <c r="N534">
        <v>120</v>
      </c>
      <c r="O534">
        <f>IF(Tickets[[#This Row],[Ticket Priority]]="Critical",24,
IF(Tickets[[#This Row],[Ticket Priority]]="High",48,
IF(Tickets[[#This Row],[Ticket Priority]]="Medium",120,168)))</f>
        <v>168</v>
      </c>
      <c r="P534" t="str">
        <f>IF(Tickets[[#This Row],[Resolution Duration Hours]] &lt;= Tickets[[#This Row],[SLA_Target_Hours]], "Yes", "No")</f>
        <v>Yes</v>
      </c>
    </row>
    <row r="535" spans="1:16" hidden="1">
      <c r="A535">
        <v>534</v>
      </c>
      <c r="B535" t="s">
        <v>544</v>
      </c>
      <c r="C535" t="s">
        <v>2517</v>
      </c>
      <c r="D535" t="s">
        <v>3994</v>
      </c>
      <c r="E535" s="1">
        <v>44040</v>
      </c>
      <c r="F535" t="s">
        <v>4000</v>
      </c>
      <c r="G535" t="s">
        <v>4006</v>
      </c>
      <c r="H535" t="s">
        <v>4020</v>
      </c>
      <c r="I535" t="s">
        <v>4021</v>
      </c>
      <c r="J535" t="s">
        <v>4028</v>
      </c>
      <c r="K535" s="2">
        <v>44370</v>
      </c>
      <c r="L535" s="2">
        <v>44372</v>
      </c>
      <c r="N535">
        <v>48</v>
      </c>
      <c r="O535">
        <f>IF(Tickets[[#This Row],[Ticket Priority]]="Critical",24,
IF(Tickets[[#This Row],[Ticket Priority]]="High",48,
IF(Tickets[[#This Row],[Ticket Priority]]="Medium",120,168)))</f>
        <v>48</v>
      </c>
      <c r="P535" t="str">
        <f>IF(Tickets[[#This Row],[Resolution Duration Hours]] &lt;= Tickets[[#This Row],[SLA_Target_Hours]], "Yes", "No")</f>
        <v>Yes</v>
      </c>
    </row>
    <row r="536" spans="1:16">
      <c r="A536">
        <v>1304</v>
      </c>
      <c r="B536" t="s">
        <v>1306</v>
      </c>
      <c r="C536" t="s">
        <v>3284</v>
      </c>
      <c r="D536" t="s">
        <v>3982</v>
      </c>
      <c r="E536" s="1">
        <v>44396</v>
      </c>
      <c r="F536" t="s">
        <v>4001</v>
      </c>
      <c r="G536" t="s">
        <v>4008</v>
      </c>
      <c r="H536" t="s">
        <v>4017</v>
      </c>
      <c r="I536" t="s">
        <v>4024</v>
      </c>
      <c r="J536" t="s">
        <v>4028</v>
      </c>
      <c r="K536" s="2">
        <v>44655</v>
      </c>
      <c r="L536" s="2">
        <v>44665</v>
      </c>
      <c r="N536">
        <v>240</v>
      </c>
      <c r="O536">
        <f>IF(Tickets[[#This Row],[Ticket Priority]]="Critical",24,
IF(Tickets[[#This Row],[Ticket Priority]]="High",48,
IF(Tickets[[#This Row],[Ticket Priority]]="Medium",120,168)))</f>
        <v>168</v>
      </c>
      <c r="P536" t="str">
        <f>IF(Tickets[[#This Row],[Resolution Duration Hours]] &lt;= Tickets[[#This Row],[SLA_Target_Hours]], "Yes", "No")</f>
        <v>No</v>
      </c>
    </row>
    <row r="537" spans="1:16" hidden="1">
      <c r="A537">
        <v>536</v>
      </c>
      <c r="B537" t="s">
        <v>546</v>
      </c>
      <c r="C537" t="s">
        <v>2519</v>
      </c>
      <c r="D537" t="s">
        <v>3990</v>
      </c>
      <c r="E537" s="1">
        <v>44563</v>
      </c>
      <c r="F537" t="s">
        <v>4001</v>
      </c>
      <c r="G537" t="s">
        <v>4016</v>
      </c>
      <c r="H537" t="s">
        <v>4018</v>
      </c>
      <c r="I537" t="s">
        <v>4023</v>
      </c>
      <c r="J537" t="s">
        <v>4026</v>
      </c>
      <c r="K537" s="2">
        <v>44578</v>
      </c>
      <c r="L537" s="2">
        <v>44581</v>
      </c>
      <c r="M537">
        <v>3</v>
      </c>
      <c r="N537">
        <v>72</v>
      </c>
      <c r="O537">
        <f>IF(Tickets[[#This Row],[Ticket Priority]]="Critical",24,
IF(Tickets[[#This Row],[Ticket Priority]]="High",48,
IF(Tickets[[#This Row],[Ticket Priority]]="Medium",120,168)))</f>
        <v>120</v>
      </c>
      <c r="P537" t="str">
        <f>IF(Tickets[[#This Row],[Resolution Duration Hours]] &lt;= Tickets[[#This Row],[SLA_Target_Hours]], "Yes", "No")</f>
        <v>Yes</v>
      </c>
    </row>
    <row r="538" spans="1:16">
      <c r="A538">
        <v>1344</v>
      </c>
      <c r="B538" t="s">
        <v>1345</v>
      </c>
      <c r="C538" t="s">
        <v>3324</v>
      </c>
      <c r="D538" t="s">
        <v>3983</v>
      </c>
      <c r="E538" s="1">
        <v>44389</v>
      </c>
      <c r="F538" t="s">
        <v>3998</v>
      </c>
      <c r="G538" t="s">
        <v>4000</v>
      </c>
      <c r="H538" t="s">
        <v>4020</v>
      </c>
      <c r="I538" t="s">
        <v>4024</v>
      </c>
      <c r="J538" t="s">
        <v>4026</v>
      </c>
      <c r="K538" s="2">
        <v>44538</v>
      </c>
      <c r="L538" s="2">
        <v>44548</v>
      </c>
      <c r="N538">
        <v>240</v>
      </c>
      <c r="O538">
        <f>IF(Tickets[[#This Row],[Ticket Priority]]="Critical",24,
IF(Tickets[[#This Row],[Ticket Priority]]="High",48,
IF(Tickets[[#This Row],[Ticket Priority]]="Medium",120,168)))</f>
        <v>168</v>
      </c>
      <c r="P538" t="str">
        <f>IF(Tickets[[#This Row],[Resolution Duration Hours]] &lt;= Tickets[[#This Row],[SLA_Target_Hours]], "Yes", "No")</f>
        <v>No</v>
      </c>
    </row>
    <row r="539" spans="1:16" hidden="1">
      <c r="A539">
        <v>538</v>
      </c>
      <c r="B539" t="s">
        <v>548</v>
      </c>
      <c r="C539" t="s">
        <v>2521</v>
      </c>
      <c r="D539" t="s">
        <v>3986</v>
      </c>
      <c r="E539" s="1">
        <v>44188</v>
      </c>
      <c r="F539" t="s">
        <v>4001</v>
      </c>
      <c r="G539" t="s">
        <v>4011</v>
      </c>
      <c r="H539" t="s">
        <v>4017</v>
      </c>
      <c r="I539" t="s">
        <v>4021</v>
      </c>
      <c r="J539" t="s">
        <v>4026</v>
      </c>
      <c r="K539" s="2">
        <v>44298</v>
      </c>
      <c r="L539" s="2">
        <v>44299</v>
      </c>
      <c r="N539">
        <v>24</v>
      </c>
      <c r="O539">
        <f>IF(Tickets[[#This Row],[Ticket Priority]]="Critical",24,
IF(Tickets[[#This Row],[Ticket Priority]]="High",48,
IF(Tickets[[#This Row],[Ticket Priority]]="Medium",120,168)))</f>
        <v>48</v>
      </c>
      <c r="P539" t="str">
        <f>IF(Tickets[[#This Row],[Resolution Duration Hours]] &lt;= Tickets[[#This Row],[SLA_Target_Hours]], "Yes", "No")</f>
        <v>Yes</v>
      </c>
    </row>
    <row r="540" spans="1:16">
      <c r="A540">
        <v>1514</v>
      </c>
      <c r="B540" t="s">
        <v>1512</v>
      </c>
      <c r="C540" t="s">
        <v>3494</v>
      </c>
      <c r="D540" t="s">
        <v>3982</v>
      </c>
      <c r="E540" s="1">
        <v>44708</v>
      </c>
      <c r="F540" t="s">
        <v>3998</v>
      </c>
      <c r="G540" t="s">
        <v>4006</v>
      </c>
      <c r="H540" t="s">
        <v>4020</v>
      </c>
      <c r="I540" t="s">
        <v>4024</v>
      </c>
      <c r="J540" t="s">
        <v>4028</v>
      </c>
      <c r="K540" s="2">
        <v>45003</v>
      </c>
      <c r="L540" s="2">
        <v>45013</v>
      </c>
      <c r="N540">
        <v>240</v>
      </c>
      <c r="O540">
        <f>IF(Tickets[[#This Row],[Ticket Priority]]="Critical",24,
IF(Tickets[[#This Row],[Ticket Priority]]="High",48,
IF(Tickets[[#This Row],[Ticket Priority]]="Medium",120,168)))</f>
        <v>168</v>
      </c>
      <c r="P540" t="str">
        <f>IF(Tickets[[#This Row],[Resolution Duration Hours]] &lt;= Tickets[[#This Row],[SLA_Target_Hours]], "Yes", "No")</f>
        <v>No</v>
      </c>
    </row>
    <row r="541" spans="1:16" hidden="1">
      <c r="A541">
        <v>540</v>
      </c>
      <c r="B541" t="s">
        <v>550</v>
      </c>
      <c r="C541" t="s">
        <v>2523</v>
      </c>
      <c r="D541" t="s">
        <v>3979</v>
      </c>
      <c r="E541" s="1">
        <v>44668</v>
      </c>
      <c r="F541" t="s">
        <v>4001</v>
      </c>
      <c r="G541" t="s">
        <v>4012</v>
      </c>
      <c r="H541" t="s">
        <v>4018</v>
      </c>
      <c r="I541" t="s">
        <v>4021</v>
      </c>
      <c r="J541" t="s">
        <v>4028</v>
      </c>
      <c r="K541" s="2">
        <v>44932</v>
      </c>
      <c r="L541" s="2">
        <v>44932</v>
      </c>
      <c r="N541">
        <v>0</v>
      </c>
      <c r="O541">
        <f>IF(Tickets[[#This Row],[Ticket Priority]]="Critical",24,
IF(Tickets[[#This Row],[Ticket Priority]]="High",48,
IF(Tickets[[#This Row],[Ticket Priority]]="Medium",120,168)))</f>
        <v>48</v>
      </c>
      <c r="P541" t="str">
        <f>IF(Tickets[[#This Row],[Resolution Duration Hours]] &lt;= Tickets[[#This Row],[SLA_Target_Hours]], "Yes", "No")</f>
        <v>Yes</v>
      </c>
    </row>
    <row r="542" spans="1:16" hidden="1">
      <c r="A542">
        <v>541</v>
      </c>
      <c r="B542" t="s">
        <v>551</v>
      </c>
      <c r="C542" t="s">
        <v>2524</v>
      </c>
      <c r="D542" t="s">
        <v>3988</v>
      </c>
      <c r="E542" s="1">
        <v>44914</v>
      </c>
      <c r="F542" t="s">
        <v>3999</v>
      </c>
      <c r="G542" t="s">
        <v>4013</v>
      </c>
      <c r="H542" t="s">
        <v>4018</v>
      </c>
      <c r="I542" t="s">
        <v>4022</v>
      </c>
      <c r="J542" t="s">
        <v>4028</v>
      </c>
      <c r="K542" s="2">
        <v>45084</v>
      </c>
      <c r="L542" s="2">
        <v>45085</v>
      </c>
      <c r="N542">
        <v>24</v>
      </c>
      <c r="O542">
        <f>IF(Tickets[[#This Row],[Ticket Priority]]="Critical",24,
IF(Tickets[[#This Row],[Ticket Priority]]="High",48,
IF(Tickets[[#This Row],[Ticket Priority]]="Medium",120,168)))</f>
        <v>24</v>
      </c>
      <c r="P542" t="str">
        <f>IF(Tickets[[#This Row],[Resolution Duration Hours]] &lt;= Tickets[[#This Row],[SLA_Target_Hours]], "Yes", "No")</f>
        <v>Yes</v>
      </c>
    </row>
    <row r="543" spans="1:16">
      <c r="A543">
        <v>1724</v>
      </c>
      <c r="B543" t="s">
        <v>1718</v>
      </c>
      <c r="C543" t="s">
        <v>3703</v>
      </c>
      <c r="D543" t="s">
        <v>3997</v>
      </c>
      <c r="E543" s="1">
        <v>44268</v>
      </c>
      <c r="F543" t="s">
        <v>3998</v>
      </c>
      <c r="G543" t="s">
        <v>4011</v>
      </c>
      <c r="H543" t="s">
        <v>4018</v>
      </c>
      <c r="I543" t="s">
        <v>4024</v>
      </c>
      <c r="J543" t="s">
        <v>4027</v>
      </c>
      <c r="K543" s="2">
        <v>44384</v>
      </c>
      <c r="L543" s="2">
        <v>44394</v>
      </c>
      <c r="M543">
        <v>4</v>
      </c>
      <c r="N543">
        <v>240</v>
      </c>
      <c r="O543">
        <f>IF(Tickets[[#This Row],[Ticket Priority]]="Critical",24,
IF(Tickets[[#This Row],[Ticket Priority]]="High",48,
IF(Tickets[[#This Row],[Ticket Priority]]="Medium",120,168)))</f>
        <v>168</v>
      </c>
      <c r="P543" t="str">
        <f>IF(Tickets[[#This Row],[Resolution Duration Hours]] &lt;= Tickets[[#This Row],[SLA_Target_Hours]], "Yes", "No")</f>
        <v>No</v>
      </c>
    </row>
    <row r="544" spans="1:16" hidden="1">
      <c r="A544">
        <v>543</v>
      </c>
      <c r="B544" t="s">
        <v>553</v>
      </c>
      <c r="C544" t="s">
        <v>2526</v>
      </c>
      <c r="D544" t="s">
        <v>3991</v>
      </c>
      <c r="E544" s="1">
        <v>44760</v>
      </c>
      <c r="F544" t="s">
        <v>3998</v>
      </c>
      <c r="G544" t="s">
        <v>4005</v>
      </c>
      <c r="H544" t="s">
        <v>4019</v>
      </c>
      <c r="I544" t="s">
        <v>4023</v>
      </c>
      <c r="J544" t="s">
        <v>4025</v>
      </c>
      <c r="K544" s="2">
        <v>45023</v>
      </c>
      <c r="L544" s="2">
        <v>45026</v>
      </c>
      <c r="M544">
        <v>4</v>
      </c>
      <c r="N544">
        <v>72</v>
      </c>
      <c r="O544">
        <f>IF(Tickets[[#This Row],[Ticket Priority]]="Critical",24,
IF(Tickets[[#This Row],[Ticket Priority]]="High",48,
IF(Tickets[[#This Row],[Ticket Priority]]="Medium",120,168)))</f>
        <v>120</v>
      </c>
      <c r="P544" t="str">
        <f>IF(Tickets[[#This Row],[Resolution Duration Hours]] &lt;= Tickets[[#This Row],[SLA_Target_Hours]], "Yes", "No")</f>
        <v>Yes</v>
      </c>
    </row>
    <row r="545" spans="1:16" hidden="1">
      <c r="A545">
        <v>544</v>
      </c>
      <c r="B545" t="s">
        <v>554</v>
      </c>
      <c r="C545" t="s">
        <v>2527</v>
      </c>
      <c r="D545" t="s">
        <v>3986</v>
      </c>
      <c r="E545" s="1">
        <v>44413</v>
      </c>
      <c r="F545" t="s">
        <v>4001</v>
      </c>
      <c r="G545" t="s">
        <v>4003</v>
      </c>
      <c r="H545" t="s">
        <v>4017</v>
      </c>
      <c r="I545" t="s">
        <v>4023</v>
      </c>
      <c r="J545" t="s">
        <v>4027</v>
      </c>
      <c r="K545" s="2">
        <v>44726</v>
      </c>
      <c r="L545" s="2">
        <v>44730</v>
      </c>
      <c r="N545">
        <v>96</v>
      </c>
      <c r="O545">
        <f>IF(Tickets[[#This Row],[Ticket Priority]]="Critical",24,
IF(Tickets[[#This Row],[Ticket Priority]]="High",48,
IF(Tickets[[#This Row],[Ticket Priority]]="Medium",120,168)))</f>
        <v>120</v>
      </c>
      <c r="P545" t="str">
        <f>IF(Tickets[[#This Row],[Resolution Duration Hours]] &lt;= Tickets[[#This Row],[SLA_Target_Hours]], "Yes", "No")</f>
        <v>Yes</v>
      </c>
    </row>
    <row r="546" spans="1:16" hidden="1">
      <c r="A546">
        <v>545</v>
      </c>
      <c r="B546" t="s">
        <v>555</v>
      </c>
      <c r="C546" t="s">
        <v>2528</v>
      </c>
      <c r="D546" t="s">
        <v>3996</v>
      </c>
      <c r="E546" s="1">
        <v>44236</v>
      </c>
      <c r="F546" t="s">
        <v>4000</v>
      </c>
      <c r="G546" t="s">
        <v>4009</v>
      </c>
      <c r="H546" t="s">
        <v>4018</v>
      </c>
      <c r="I546" t="s">
        <v>4023</v>
      </c>
      <c r="J546" t="s">
        <v>4028</v>
      </c>
      <c r="K546" s="2">
        <v>44263</v>
      </c>
      <c r="L546" s="2">
        <v>44268</v>
      </c>
      <c r="M546">
        <v>5</v>
      </c>
      <c r="N546">
        <v>120</v>
      </c>
      <c r="O546">
        <f>IF(Tickets[[#This Row],[Ticket Priority]]="Critical",24,
IF(Tickets[[#This Row],[Ticket Priority]]="High",48,
IF(Tickets[[#This Row],[Ticket Priority]]="Medium",120,168)))</f>
        <v>120</v>
      </c>
      <c r="P546" t="str">
        <f>IF(Tickets[[#This Row],[Resolution Duration Hours]] &lt;= Tickets[[#This Row],[SLA_Target_Hours]], "Yes", "No")</f>
        <v>Yes</v>
      </c>
    </row>
    <row r="547" spans="1:16" hidden="1">
      <c r="A547">
        <v>546</v>
      </c>
      <c r="B547" t="s">
        <v>556</v>
      </c>
      <c r="C547" t="s">
        <v>2529</v>
      </c>
      <c r="D547" t="s">
        <v>3983</v>
      </c>
      <c r="E547" s="1">
        <v>44688</v>
      </c>
      <c r="F547" t="s">
        <v>4002</v>
      </c>
      <c r="G547" t="s">
        <v>4003</v>
      </c>
      <c r="H547" t="s">
        <v>4020</v>
      </c>
      <c r="I547" t="s">
        <v>4024</v>
      </c>
      <c r="J547" t="s">
        <v>4028</v>
      </c>
      <c r="K547" s="2">
        <v>44789</v>
      </c>
      <c r="L547" s="2">
        <v>44795</v>
      </c>
      <c r="N547">
        <v>144</v>
      </c>
      <c r="O547">
        <f>IF(Tickets[[#This Row],[Ticket Priority]]="Critical",24,
IF(Tickets[[#This Row],[Ticket Priority]]="High",48,
IF(Tickets[[#This Row],[Ticket Priority]]="Medium",120,168)))</f>
        <v>168</v>
      </c>
      <c r="P547" t="str">
        <f>IF(Tickets[[#This Row],[Resolution Duration Hours]] &lt;= Tickets[[#This Row],[SLA_Target_Hours]], "Yes", "No")</f>
        <v>Yes</v>
      </c>
    </row>
    <row r="548" spans="1:16" hidden="1">
      <c r="A548">
        <v>547</v>
      </c>
      <c r="B548" t="s">
        <v>557</v>
      </c>
      <c r="C548" t="s">
        <v>2530</v>
      </c>
      <c r="D548" t="s">
        <v>3984</v>
      </c>
      <c r="E548" s="1">
        <v>44365</v>
      </c>
      <c r="F548" t="s">
        <v>3998</v>
      </c>
      <c r="G548" t="s">
        <v>4012</v>
      </c>
      <c r="H548" t="s">
        <v>4018</v>
      </c>
      <c r="I548" t="s">
        <v>4024</v>
      </c>
      <c r="J548" t="s">
        <v>4026</v>
      </c>
      <c r="K548" s="2">
        <v>44414</v>
      </c>
      <c r="L548" s="2">
        <v>44418</v>
      </c>
      <c r="N548">
        <v>96</v>
      </c>
      <c r="O548">
        <f>IF(Tickets[[#This Row],[Ticket Priority]]="Critical",24,
IF(Tickets[[#This Row],[Ticket Priority]]="High",48,
IF(Tickets[[#This Row],[Ticket Priority]]="Medium",120,168)))</f>
        <v>168</v>
      </c>
      <c r="P548" t="str">
        <f>IF(Tickets[[#This Row],[Resolution Duration Hours]] &lt;= Tickets[[#This Row],[SLA_Target_Hours]], "Yes", "No")</f>
        <v>Yes</v>
      </c>
    </row>
    <row r="549" spans="1:16" hidden="1">
      <c r="A549">
        <v>548</v>
      </c>
      <c r="B549" t="s">
        <v>558</v>
      </c>
      <c r="C549" t="s">
        <v>2531</v>
      </c>
      <c r="D549" t="s">
        <v>3996</v>
      </c>
      <c r="E549" s="1">
        <v>44082</v>
      </c>
      <c r="F549" t="s">
        <v>4000</v>
      </c>
      <c r="G549" t="s">
        <v>4003</v>
      </c>
      <c r="H549" t="s">
        <v>4018</v>
      </c>
      <c r="I549" t="s">
        <v>4024</v>
      </c>
      <c r="J549" t="s">
        <v>4026</v>
      </c>
      <c r="K549" s="2">
        <v>44175</v>
      </c>
      <c r="L549" s="2">
        <v>44178</v>
      </c>
      <c r="M549">
        <v>3</v>
      </c>
      <c r="N549">
        <v>72</v>
      </c>
      <c r="O549">
        <f>IF(Tickets[[#This Row],[Ticket Priority]]="Critical",24,
IF(Tickets[[#This Row],[Ticket Priority]]="High",48,
IF(Tickets[[#This Row],[Ticket Priority]]="Medium",120,168)))</f>
        <v>168</v>
      </c>
      <c r="P549" t="str">
        <f>IF(Tickets[[#This Row],[Resolution Duration Hours]] &lt;= Tickets[[#This Row],[SLA_Target_Hours]], "Yes", "No")</f>
        <v>Yes</v>
      </c>
    </row>
    <row r="550" spans="1:16" hidden="1">
      <c r="A550">
        <v>549</v>
      </c>
      <c r="B550" t="s">
        <v>559</v>
      </c>
      <c r="C550" t="s">
        <v>2532</v>
      </c>
      <c r="D550" t="s">
        <v>3984</v>
      </c>
      <c r="E550" s="1">
        <v>43972</v>
      </c>
      <c r="F550" t="s">
        <v>4001</v>
      </c>
      <c r="G550" t="s">
        <v>4007</v>
      </c>
      <c r="H550" t="s">
        <v>4018</v>
      </c>
      <c r="I550" t="s">
        <v>4023</v>
      </c>
      <c r="J550" t="s">
        <v>4025</v>
      </c>
      <c r="K550" s="2">
        <v>44059</v>
      </c>
      <c r="L550" s="2">
        <v>44062</v>
      </c>
      <c r="M550">
        <v>5</v>
      </c>
      <c r="N550">
        <v>72</v>
      </c>
      <c r="O550">
        <f>IF(Tickets[[#This Row],[Ticket Priority]]="Critical",24,
IF(Tickets[[#This Row],[Ticket Priority]]="High",48,
IF(Tickets[[#This Row],[Ticket Priority]]="Medium",120,168)))</f>
        <v>120</v>
      </c>
      <c r="P550" t="str">
        <f>IF(Tickets[[#This Row],[Resolution Duration Hours]] &lt;= Tickets[[#This Row],[SLA_Target_Hours]], "Yes", "No")</f>
        <v>Yes</v>
      </c>
    </row>
    <row r="551" spans="1:16" hidden="1">
      <c r="A551">
        <v>550</v>
      </c>
      <c r="B551" t="s">
        <v>560</v>
      </c>
      <c r="C551" t="s">
        <v>2533</v>
      </c>
      <c r="D551" t="s">
        <v>3988</v>
      </c>
      <c r="E551" s="1">
        <v>44777</v>
      </c>
      <c r="F551" t="s">
        <v>4000</v>
      </c>
      <c r="G551" t="s">
        <v>4003</v>
      </c>
      <c r="H551" t="s">
        <v>4018</v>
      </c>
      <c r="I551" t="s">
        <v>4023</v>
      </c>
      <c r="J551" t="s">
        <v>4027</v>
      </c>
      <c r="K551" s="2">
        <v>44931</v>
      </c>
      <c r="L551" s="2">
        <v>44934</v>
      </c>
      <c r="M551">
        <v>4</v>
      </c>
      <c r="N551">
        <v>72</v>
      </c>
      <c r="O551">
        <f>IF(Tickets[[#This Row],[Ticket Priority]]="Critical",24,
IF(Tickets[[#This Row],[Ticket Priority]]="High",48,
IF(Tickets[[#This Row],[Ticket Priority]]="Medium",120,168)))</f>
        <v>120</v>
      </c>
      <c r="P551" t="str">
        <f>IF(Tickets[[#This Row],[Resolution Duration Hours]] &lt;= Tickets[[#This Row],[SLA_Target_Hours]], "Yes", "No")</f>
        <v>Yes</v>
      </c>
    </row>
    <row r="552" spans="1:16" hidden="1">
      <c r="A552">
        <v>551</v>
      </c>
      <c r="B552" t="s">
        <v>561</v>
      </c>
      <c r="C552" t="s">
        <v>2534</v>
      </c>
      <c r="D552" t="s">
        <v>3980</v>
      </c>
      <c r="E552" s="1">
        <v>44825</v>
      </c>
      <c r="F552" t="s">
        <v>4001</v>
      </c>
      <c r="G552" t="s">
        <v>4015</v>
      </c>
      <c r="H552" t="s">
        <v>4018</v>
      </c>
      <c r="I552" t="s">
        <v>4023</v>
      </c>
      <c r="J552" t="s">
        <v>4028</v>
      </c>
      <c r="K552" s="2">
        <v>45045</v>
      </c>
      <c r="L552" s="2">
        <v>45048</v>
      </c>
      <c r="N552">
        <v>72</v>
      </c>
      <c r="O552">
        <f>IF(Tickets[[#This Row],[Ticket Priority]]="Critical",24,
IF(Tickets[[#This Row],[Ticket Priority]]="High",48,
IF(Tickets[[#This Row],[Ticket Priority]]="Medium",120,168)))</f>
        <v>120</v>
      </c>
      <c r="P552" t="str">
        <f>IF(Tickets[[#This Row],[Resolution Duration Hours]] &lt;= Tickets[[#This Row],[SLA_Target_Hours]], "Yes", "No")</f>
        <v>Yes</v>
      </c>
    </row>
    <row r="553" spans="1:16" hidden="1">
      <c r="A553">
        <v>552</v>
      </c>
      <c r="B553" t="s">
        <v>562</v>
      </c>
      <c r="C553" t="s">
        <v>2535</v>
      </c>
      <c r="D553" t="s">
        <v>3980</v>
      </c>
      <c r="E553" s="1">
        <v>44916</v>
      </c>
      <c r="F553" t="s">
        <v>3999</v>
      </c>
      <c r="G553" t="s">
        <v>4000</v>
      </c>
      <c r="H553" t="s">
        <v>4017</v>
      </c>
      <c r="I553" t="s">
        <v>4023</v>
      </c>
      <c r="J553" t="s">
        <v>4026</v>
      </c>
      <c r="K553" s="2">
        <v>45165</v>
      </c>
      <c r="L553" s="2">
        <v>45170</v>
      </c>
      <c r="N553">
        <v>120</v>
      </c>
      <c r="O553">
        <f>IF(Tickets[[#This Row],[Ticket Priority]]="Critical",24,
IF(Tickets[[#This Row],[Ticket Priority]]="High",48,
IF(Tickets[[#This Row],[Ticket Priority]]="Medium",120,168)))</f>
        <v>120</v>
      </c>
      <c r="P553" t="str">
        <f>IF(Tickets[[#This Row],[Resolution Duration Hours]] &lt;= Tickets[[#This Row],[SLA_Target_Hours]], "Yes", "No")</f>
        <v>Yes</v>
      </c>
    </row>
    <row r="554" spans="1:16">
      <c r="A554">
        <v>1725</v>
      </c>
      <c r="B554" t="s">
        <v>1719</v>
      </c>
      <c r="C554" t="s">
        <v>3704</v>
      </c>
      <c r="D554" t="s">
        <v>3988</v>
      </c>
      <c r="E554" s="1">
        <v>43955</v>
      </c>
      <c r="F554" t="s">
        <v>4001</v>
      </c>
      <c r="G554" t="s">
        <v>4009</v>
      </c>
      <c r="H554" t="s">
        <v>4017</v>
      </c>
      <c r="I554" t="s">
        <v>4024</v>
      </c>
      <c r="J554" t="s">
        <v>4027</v>
      </c>
      <c r="K554" s="2">
        <v>44172</v>
      </c>
      <c r="L554" s="2">
        <v>44182</v>
      </c>
      <c r="N554">
        <v>240</v>
      </c>
      <c r="O554">
        <f>IF(Tickets[[#This Row],[Ticket Priority]]="Critical",24,
IF(Tickets[[#This Row],[Ticket Priority]]="High",48,
IF(Tickets[[#This Row],[Ticket Priority]]="Medium",120,168)))</f>
        <v>168</v>
      </c>
      <c r="P554" t="str">
        <f>IF(Tickets[[#This Row],[Resolution Duration Hours]] &lt;= Tickets[[#This Row],[SLA_Target_Hours]], "Yes", "No")</f>
        <v>No</v>
      </c>
    </row>
    <row r="555" spans="1:16" hidden="1">
      <c r="A555">
        <v>554</v>
      </c>
      <c r="B555" t="s">
        <v>564</v>
      </c>
      <c r="C555" t="s">
        <v>2537</v>
      </c>
      <c r="D555" t="s">
        <v>3980</v>
      </c>
      <c r="E555" s="1">
        <v>43971</v>
      </c>
      <c r="F555" t="s">
        <v>4000</v>
      </c>
      <c r="G555" t="s">
        <v>4005</v>
      </c>
      <c r="H555" t="s">
        <v>4018</v>
      </c>
      <c r="I555" t="s">
        <v>4024</v>
      </c>
      <c r="J555" t="s">
        <v>4028</v>
      </c>
      <c r="K555" s="2">
        <v>44296</v>
      </c>
      <c r="L555" s="2">
        <v>44301</v>
      </c>
      <c r="M555">
        <v>5</v>
      </c>
      <c r="N555">
        <v>120</v>
      </c>
      <c r="O555">
        <f>IF(Tickets[[#This Row],[Ticket Priority]]="Critical",24,
IF(Tickets[[#This Row],[Ticket Priority]]="High",48,
IF(Tickets[[#This Row],[Ticket Priority]]="Medium",120,168)))</f>
        <v>168</v>
      </c>
      <c r="P555" t="str">
        <f>IF(Tickets[[#This Row],[Resolution Duration Hours]] &lt;= Tickets[[#This Row],[SLA_Target_Hours]], "Yes", "No")</f>
        <v>Yes</v>
      </c>
    </row>
    <row r="556" spans="1:16">
      <c r="A556">
        <v>1745</v>
      </c>
      <c r="B556" t="s">
        <v>1738</v>
      </c>
      <c r="C556" t="s">
        <v>3724</v>
      </c>
      <c r="D556" t="s">
        <v>3992</v>
      </c>
      <c r="E556" s="1">
        <v>43847</v>
      </c>
      <c r="F556" t="s">
        <v>4001</v>
      </c>
      <c r="G556" t="s">
        <v>4003</v>
      </c>
      <c r="H556" t="s">
        <v>4018</v>
      </c>
      <c r="I556" t="s">
        <v>4024</v>
      </c>
      <c r="J556" t="s">
        <v>4026</v>
      </c>
      <c r="K556" s="2">
        <v>44006</v>
      </c>
      <c r="L556" s="2">
        <v>44016</v>
      </c>
      <c r="M556">
        <v>3</v>
      </c>
      <c r="N556">
        <v>240</v>
      </c>
      <c r="O556">
        <f>IF(Tickets[[#This Row],[Ticket Priority]]="Critical",24,
IF(Tickets[[#This Row],[Ticket Priority]]="High",48,
IF(Tickets[[#This Row],[Ticket Priority]]="Medium",120,168)))</f>
        <v>168</v>
      </c>
      <c r="P556" t="str">
        <f>IF(Tickets[[#This Row],[Resolution Duration Hours]] &lt;= Tickets[[#This Row],[SLA_Target_Hours]], "Yes", "No")</f>
        <v>No</v>
      </c>
    </row>
    <row r="557" spans="1:16">
      <c r="A557">
        <v>1747</v>
      </c>
      <c r="B557" t="s">
        <v>1740</v>
      </c>
      <c r="C557" t="s">
        <v>3726</v>
      </c>
      <c r="D557" t="s">
        <v>3979</v>
      </c>
      <c r="E557" s="1">
        <v>45009</v>
      </c>
      <c r="F557" t="s">
        <v>4001</v>
      </c>
      <c r="G557" t="s">
        <v>4014</v>
      </c>
      <c r="H557" t="s">
        <v>4018</v>
      </c>
      <c r="I557" t="s">
        <v>4024</v>
      </c>
      <c r="J557" t="s">
        <v>4026</v>
      </c>
      <c r="K557" s="2">
        <v>45251</v>
      </c>
      <c r="L557" s="2">
        <v>45261</v>
      </c>
      <c r="M557">
        <v>5</v>
      </c>
      <c r="N557">
        <v>240</v>
      </c>
      <c r="O557">
        <f>IF(Tickets[[#This Row],[Ticket Priority]]="Critical",24,
IF(Tickets[[#This Row],[Ticket Priority]]="High",48,
IF(Tickets[[#This Row],[Ticket Priority]]="Medium",120,168)))</f>
        <v>168</v>
      </c>
      <c r="P557" t="str">
        <f>IF(Tickets[[#This Row],[Resolution Duration Hours]] &lt;= Tickets[[#This Row],[SLA_Target_Hours]], "Yes", "No")</f>
        <v>No</v>
      </c>
    </row>
    <row r="558" spans="1:16" hidden="1">
      <c r="A558">
        <v>557</v>
      </c>
      <c r="B558" t="s">
        <v>567</v>
      </c>
      <c r="C558" t="s">
        <v>2540</v>
      </c>
      <c r="D558" t="s">
        <v>3979</v>
      </c>
      <c r="E558" s="1">
        <v>44518</v>
      </c>
      <c r="F558" t="s">
        <v>4000</v>
      </c>
      <c r="G558" t="s">
        <v>4000</v>
      </c>
      <c r="H558" t="s">
        <v>4018</v>
      </c>
      <c r="I558" t="s">
        <v>4021</v>
      </c>
      <c r="J558" t="s">
        <v>4026</v>
      </c>
      <c r="K558" s="2">
        <v>44662</v>
      </c>
      <c r="L558" s="2">
        <v>44663</v>
      </c>
      <c r="M558">
        <v>4</v>
      </c>
      <c r="N558">
        <v>24</v>
      </c>
      <c r="O558">
        <f>IF(Tickets[[#This Row],[Ticket Priority]]="Critical",24,
IF(Tickets[[#This Row],[Ticket Priority]]="High",48,
IF(Tickets[[#This Row],[Ticket Priority]]="Medium",120,168)))</f>
        <v>48</v>
      </c>
      <c r="P558" t="str">
        <f>IF(Tickets[[#This Row],[Resolution Duration Hours]] &lt;= Tickets[[#This Row],[SLA_Target_Hours]], "Yes", "No")</f>
        <v>Yes</v>
      </c>
    </row>
    <row r="559" spans="1:16" hidden="1">
      <c r="A559">
        <v>558</v>
      </c>
      <c r="B559" t="s">
        <v>568</v>
      </c>
      <c r="C559" t="s">
        <v>2541</v>
      </c>
      <c r="D559" t="s">
        <v>3982</v>
      </c>
      <c r="E559" s="1">
        <v>43873</v>
      </c>
      <c r="F559" t="s">
        <v>4002</v>
      </c>
      <c r="G559" t="s">
        <v>4014</v>
      </c>
      <c r="H559" t="s">
        <v>4018</v>
      </c>
      <c r="I559" t="s">
        <v>4023</v>
      </c>
      <c r="J559" t="s">
        <v>4026</v>
      </c>
      <c r="K559" s="2">
        <v>44116</v>
      </c>
      <c r="L559" s="2">
        <v>44121</v>
      </c>
      <c r="M559">
        <v>5</v>
      </c>
      <c r="N559">
        <v>120</v>
      </c>
      <c r="O559">
        <f>IF(Tickets[[#This Row],[Ticket Priority]]="Critical",24,
IF(Tickets[[#This Row],[Ticket Priority]]="High",48,
IF(Tickets[[#This Row],[Ticket Priority]]="Medium",120,168)))</f>
        <v>120</v>
      </c>
      <c r="P559" t="str">
        <f>IF(Tickets[[#This Row],[Resolution Duration Hours]] &lt;= Tickets[[#This Row],[SLA_Target_Hours]], "Yes", "No")</f>
        <v>Yes</v>
      </c>
    </row>
    <row r="560" spans="1:16" hidden="1">
      <c r="A560">
        <v>559</v>
      </c>
      <c r="B560" t="s">
        <v>569</v>
      </c>
      <c r="C560" t="s">
        <v>2542</v>
      </c>
      <c r="D560" t="s">
        <v>3987</v>
      </c>
      <c r="E560" s="1">
        <v>44471</v>
      </c>
      <c r="F560" t="s">
        <v>4000</v>
      </c>
      <c r="G560" t="s">
        <v>4016</v>
      </c>
      <c r="H560" t="s">
        <v>4018</v>
      </c>
      <c r="I560" t="s">
        <v>4023</v>
      </c>
      <c r="J560" t="s">
        <v>4028</v>
      </c>
      <c r="K560" s="2">
        <v>44544</v>
      </c>
      <c r="L560" s="2">
        <v>44548</v>
      </c>
      <c r="M560">
        <v>5</v>
      </c>
      <c r="N560">
        <v>96</v>
      </c>
      <c r="O560">
        <f>IF(Tickets[[#This Row],[Ticket Priority]]="Critical",24,
IF(Tickets[[#This Row],[Ticket Priority]]="High",48,
IF(Tickets[[#This Row],[Ticket Priority]]="Medium",120,168)))</f>
        <v>120</v>
      </c>
      <c r="P560" t="str">
        <f>IF(Tickets[[#This Row],[Resolution Duration Hours]] &lt;= Tickets[[#This Row],[SLA_Target_Hours]], "Yes", "No")</f>
        <v>Yes</v>
      </c>
    </row>
    <row r="561" spans="1:16" hidden="1">
      <c r="A561">
        <v>560</v>
      </c>
      <c r="B561" t="s">
        <v>570</v>
      </c>
      <c r="C561" t="s">
        <v>2543</v>
      </c>
      <c r="D561" t="s">
        <v>3995</v>
      </c>
      <c r="E561" s="1">
        <v>44994</v>
      </c>
      <c r="F561" t="s">
        <v>3998</v>
      </c>
      <c r="G561" t="s">
        <v>4010</v>
      </c>
      <c r="H561" t="s">
        <v>4018</v>
      </c>
      <c r="I561" t="s">
        <v>4023</v>
      </c>
      <c r="J561" t="s">
        <v>4026</v>
      </c>
      <c r="K561" s="2">
        <v>45313</v>
      </c>
      <c r="L561" s="2">
        <v>45318</v>
      </c>
      <c r="M561">
        <v>5</v>
      </c>
      <c r="N561">
        <v>120</v>
      </c>
      <c r="O561">
        <f>IF(Tickets[[#This Row],[Ticket Priority]]="Critical",24,
IF(Tickets[[#This Row],[Ticket Priority]]="High",48,
IF(Tickets[[#This Row],[Ticket Priority]]="Medium",120,168)))</f>
        <v>120</v>
      </c>
      <c r="P561" t="str">
        <f>IF(Tickets[[#This Row],[Resolution Duration Hours]] &lt;= Tickets[[#This Row],[SLA_Target_Hours]], "Yes", "No")</f>
        <v>Yes</v>
      </c>
    </row>
    <row r="562" spans="1:16" hidden="1">
      <c r="A562">
        <v>561</v>
      </c>
      <c r="B562" t="s">
        <v>571</v>
      </c>
      <c r="C562" t="s">
        <v>2544</v>
      </c>
      <c r="D562" t="s">
        <v>3993</v>
      </c>
      <c r="E562" s="1">
        <v>44248</v>
      </c>
      <c r="F562" t="s">
        <v>3999</v>
      </c>
      <c r="G562" t="s">
        <v>4003</v>
      </c>
      <c r="H562" t="s">
        <v>4019</v>
      </c>
      <c r="I562" t="s">
        <v>4023</v>
      </c>
      <c r="J562" t="s">
        <v>4028</v>
      </c>
      <c r="K562" s="2">
        <v>44612</v>
      </c>
      <c r="L562" s="2">
        <v>44617</v>
      </c>
      <c r="M562">
        <v>4</v>
      </c>
      <c r="N562">
        <v>120</v>
      </c>
      <c r="O562">
        <f>IF(Tickets[[#This Row],[Ticket Priority]]="Critical",24,
IF(Tickets[[#This Row],[Ticket Priority]]="High",48,
IF(Tickets[[#This Row],[Ticket Priority]]="Medium",120,168)))</f>
        <v>120</v>
      </c>
      <c r="P562" t="str">
        <f>IF(Tickets[[#This Row],[Resolution Duration Hours]] &lt;= Tickets[[#This Row],[SLA_Target_Hours]], "Yes", "No")</f>
        <v>Yes</v>
      </c>
    </row>
    <row r="563" spans="1:16" hidden="1">
      <c r="A563">
        <v>562</v>
      </c>
      <c r="B563" t="s">
        <v>572</v>
      </c>
      <c r="C563" t="s">
        <v>2545</v>
      </c>
      <c r="D563" t="s">
        <v>3988</v>
      </c>
      <c r="E563" s="1">
        <v>44207</v>
      </c>
      <c r="F563" t="s">
        <v>3998</v>
      </c>
      <c r="G563" t="s">
        <v>4006</v>
      </c>
      <c r="H563" t="s">
        <v>4018</v>
      </c>
      <c r="I563" t="s">
        <v>4023</v>
      </c>
      <c r="J563" t="s">
        <v>4028</v>
      </c>
      <c r="K563" s="2">
        <v>44279</v>
      </c>
      <c r="L563" s="2">
        <v>44283</v>
      </c>
      <c r="M563">
        <v>5</v>
      </c>
      <c r="N563">
        <v>96</v>
      </c>
      <c r="O563">
        <f>IF(Tickets[[#This Row],[Ticket Priority]]="Critical",24,
IF(Tickets[[#This Row],[Ticket Priority]]="High",48,
IF(Tickets[[#This Row],[Ticket Priority]]="Medium",120,168)))</f>
        <v>120</v>
      </c>
      <c r="P563" t="str">
        <f>IF(Tickets[[#This Row],[Resolution Duration Hours]] &lt;= Tickets[[#This Row],[SLA_Target_Hours]], "Yes", "No")</f>
        <v>Yes</v>
      </c>
    </row>
    <row r="564" spans="1:16" hidden="1">
      <c r="A564">
        <v>563</v>
      </c>
      <c r="B564" t="s">
        <v>573</v>
      </c>
      <c r="C564" t="s">
        <v>2546</v>
      </c>
      <c r="D564" t="s">
        <v>3993</v>
      </c>
      <c r="E564" s="1">
        <v>44017</v>
      </c>
      <c r="F564" t="s">
        <v>3998</v>
      </c>
      <c r="G564" t="s">
        <v>4010</v>
      </c>
      <c r="H564" t="s">
        <v>4018</v>
      </c>
      <c r="I564" t="s">
        <v>4024</v>
      </c>
      <c r="J564" t="s">
        <v>4028</v>
      </c>
      <c r="K564" s="2">
        <v>44258</v>
      </c>
      <c r="L564" s="2">
        <v>44262</v>
      </c>
      <c r="N564">
        <v>96</v>
      </c>
      <c r="O564">
        <f>IF(Tickets[[#This Row],[Ticket Priority]]="Critical",24,
IF(Tickets[[#This Row],[Ticket Priority]]="High",48,
IF(Tickets[[#This Row],[Ticket Priority]]="Medium",120,168)))</f>
        <v>168</v>
      </c>
      <c r="P564" t="str">
        <f>IF(Tickets[[#This Row],[Resolution Duration Hours]] &lt;= Tickets[[#This Row],[SLA_Target_Hours]], "Yes", "No")</f>
        <v>Yes</v>
      </c>
    </row>
    <row r="565" spans="1:16" hidden="1">
      <c r="A565">
        <v>564</v>
      </c>
      <c r="B565" t="s">
        <v>574</v>
      </c>
      <c r="C565" t="s">
        <v>2547</v>
      </c>
      <c r="D565" t="s">
        <v>3991</v>
      </c>
      <c r="E565" s="1">
        <v>44580</v>
      </c>
      <c r="F565" t="s">
        <v>3999</v>
      </c>
      <c r="G565" t="s">
        <v>4012</v>
      </c>
      <c r="H565" t="s">
        <v>4018</v>
      </c>
      <c r="I565" t="s">
        <v>4023</v>
      </c>
      <c r="J565" t="s">
        <v>4027</v>
      </c>
      <c r="K565" s="2">
        <v>44585</v>
      </c>
      <c r="L565" s="2">
        <v>44589</v>
      </c>
      <c r="M565">
        <v>4</v>
      </c>
      <c r="N565">
        <v>96</v>
      </c>
      <c r="O565">
        <f>IF(Tickets[[#This Row],[Ticket Priority]]="Critical",24,
IF(Tickets[[#This Row],[Ticket Priority]]="High",48,
IF(Tickets[[#This Row],[Ticket Priority]]="Medium",120,168)))</f>
        <v>120</v>
      </c>
      <c r="P565" t="str">
        <f>IF(Tickets[[#This Row],[Resolution Duration Hours]] &lt;= Tickets[[#This Row],[SLA_Target_Hours]], "Yes", "No")</f>
        <v>Yes</v>
      </c>
    </row>
    <row r="566" spans="1:16" hidden="1">
      <c r="A566">
        <v>565</v>
      </c>
      <c r="B566" t="s">
        <v>575</v>
      </c>
      <c r="C566" t="s">
        <v>2548</v>
      </c>
      <c r="D566" t="s">
        <v>3986</v>
      </c>
      <c r="E566" s="1">
        <v>44176</v>
      </c>
      <c r="F566" t="s">
        <v>3998</v>
      </c>
      <c r="G566" t="s">
        <v>4010</v>
      </c>
      <c r="H566" t="s">
        <v>4018</v>
      </c>
      <c r="I566" t="s">
        <v>4023</v>
      </c>
      <c r="J566" t="s">
        <v>4026</v>
      </c>
      <c r="K566" s="2">
        <v>44464</v>
      </c>
      <c r="L566" s="2">
        <v>44468</v>
      </c>
      <c r="M566">
        <v>5</v>
      </c>
      <c r="N566">
        <v>96</v>
      </c>
      <c r="O566">
        <f>IF(Tickets[[#This Row],[Ticket Priority]]="Critical",24,
IF(Tickets[[#This Row],[Ticket Priority]]="High",48,
IF(Tickets[[#This Row],[Ticket Priority]]="Medium",120,168)))</f>
        <v>120</v>
      </c>
      <c r="P566" t="str">
        <f>IF(Tickets[[#This Row],[Resolution Duration Hours]] &lt;= Tickets[[#This Row],[SLA_Target_Hours]], "Yes", "No")</f>
        <v>Yes</v>
      </c>
    </row>
    <row r="567" spans="1:16" hidden="1">
      <c r="A567">
        <v>566</v>
      </c>
      <c r="B567" t="s">
        <v>576</v>
      </c>
      <c r="C567" t="s">
        <v>2549</v>
      </c>
      <c r="D567" t="s">
        <v>3988</v>
      </c>
      <c r="E567" s="1">
        <v>44611</v>
      </c>
      <c r="F567" t="s">
        <v>3999</v>
      </c>
      <c r="G567" t="s">
        <v>4010</v>
      </c>
      <c r="H567" t="s">
        <v>4017</v>
      </c>
      <c r="I567" t="s">
        <v>4024</v>
      </c>
      <c r="J567" t="s">
        <v>4026</v>
      </c>
      <c r="K567" s="2">
        <v>44675</v>
      </c>
      <c r="L567" s="2">
        <v>44682</v>
      </c>
      <c r="N567">
        <v>168</v>
      </c>
      <c r="O567">
        <f>IF(Tickets[[#This Row],[Ticket Priority]]="Critical",24,
IF(Tickets[[#This Row],[Ticket Priority]]="High",48,
IF(Tickets[[#This Row],[Ticket Priority]]="Medium",120,168)))</f>
        <v>168</v>
      </c>
      <c r="P567" t="str">
        <f>IF(Tickets[[#This Row],[Resolution Duration Hours]] &lt;= Tickets[[#This Row],[SLA_Target_Hours]], "Yes", "No")</f>
        <v>Yes</v>
      </c>
    </row>
    <row r="568" spans="1:16" hidden="1">
      <c r="A568">
        <v>567</v>
      </c>
      <c r="B568" t="s">
        <v>577</v>
      </c>
      <c r="C568" t="s">
        <v>2550</v>
      </c>
      <c r="D568" t="s">
        <v>3979</v>
      </c>
      <c r="E568" s="1">
        <v>44545</v>
      </c>
      <c r="F568" t="s">
        <v>4002</v>
      </c>
      <c r="G568" t="s">
        <v>4011</v>
      </c>
      <c r="H568" t="s">
        <v>4020</v>
      </c>
      <c r="I568" t="s">
        <v>4023</v>
      </c>
      <c r="J568" t="s">
        <v>4026</v>
      </c>
      <c r="K568" s="2">
        <v>44854</v>
      </c>
      <c r="L568" s="2">
        <v>44858</v>
      </c>
      <c r="N568">
        <v>96</v>
      </c>
      <c r="O568">
        <f>IF(Tickets[[#This Row],[Ticket Priority]]="Critical",24,
IF(Tickets[[#This Row],[Ticket Priority]]="High",48,
IF(Tickets[[#This Row],[Ticket Priority]]="Medium",120,168)))</f>
        <v>120</v>
      </c>
      <c r="P568" t="str">
        <f>IF(Tickets[[#This Row],[Resolution Duration Hours]] &lt;= Tickets[[#This Row],[SLA_Target_Hours]], "Yes", "No")</f>
        <v>Yes</v>
      </c>
    </row>
    <row r="569" spans="1:16" hidden="1">
      <c r="A569">
        <v>568</v>
      </c>
      <c r="B569" t="s">
        <v>578</v>
      </c>
      <c r="C569" t="s">
        <v>2551</v>
      </c>
      <c r="D569" t="s">
        <v>3982</v>
      </c>
      <c r="E569" s="1">
        <v>44782</v>
      </c>
      <c r="F569" t="s">
        <v>4002</v>
      </c>
      <c r="G569" t="s">
        <v>4016</v>
      </c>
      <c r="H569" t="s">
        <v>4017</v>
      </c>
      <c r="I569" t="s">
        <v>4023</v>
      </c>
      <c r="J569" t="s">
        <v>4027</v>
      </c>
      <c r="K569" s="2">
        <v>45052</v>
      </c>
      <c r="L569" s="2">
        <v>45053</v>
      </c>
      <c r="N569">
        <v>24</v>
      </c>
      <c r="O569">
        <f>IF(Tickets[[#This Row],[Ticket Priority]]="Critical",24,
IF(Tickets[[#This Row],[Ticket Priority]]="High",48,
IF(Tickets[[#This Row],[Ticket Priority]]="Medium",120,168)))</f>
        <v>120</v>
      </c>
      <c r="P569" t="str">
        <f>IF(Tickets[[#This Row],[Resolution Duration Hours]] &lt;= Tickets[[#This Row],[SLA_Target_Hours]], "Yes", "No")</f>
        <v>Yes</v>
      </c>
    </row>
    <row r="570" spans="1:16" hidden="1">
      <c r="A570">
        <v>569</v>
      </c>
      <c r="B570" t="s">
        <v>579</v>
      </c>
      <c r="C570" t="s">
        <v>2552</v>
      </c>
      <c r="D570" t="s">
        <v>3992</v>
      </c>
      <c r="E570" s="1">
        <v>44116</v>
      </c>
      <c r="F570" t="s">
        <v>3999</v>
      </c>
      <c r="G570" t="s">
        <v>4010</v>
      </c>
      <c r="H570" t="s">
        <v>4018</v>
      </c>
      <c r="I570" t="s">
        <v>4021</v>
      </c>
      <c r="J570" t="s">
        <v>4025</v>
      </c>
      <c r="K570" s="2">
        <v>44327</v>
      </c>
      <c r="L570" s="2">
        <v>44329</v>
      </c>
      <c r="M570">
        <v>5</v>
      </c>
      <c r="N570">
        <v>48</v>
      </c>
      <c r="O570">
        <f>IF(Tickets[[#This Row],[Ticket Priority]]="Critical",24,
IF(Tickets[[#This Row],[Ticket Priority]]="High",48,
IF(Tickets[[#This Row],[Ticket Priority]]="Medium",120,168)))</f>
        <v>48</v>
      </c>
      <c r="P570" t="str">
        <f>IF(Tickets[[#This Row],[Resolution Duration Hours]] &lt;= Tickets[[#This Row],[SLA_Target_Hours]], "Yes", "No")</f>
        <v>Yes</v>
      </c>
    </row>
    <row r="571" spans="1:16">
      <c r="A571">
        <v>1855</v>
      </c>
      <c r="B571" t="s">
        <v>1845</v>
      </c>
      <c r="C571" t="s">
        <v>3834</v>
      </c>
      <c r="D571" t="s">
        <v>3996</v>
      </c>
      <c r="E571" s="1">
        <v>44401</v>
      </c>
      <c r="F571" t="s">
        <v>3999</v>
      </c>
      <c r="G571" t="s">
        <v>4015</v>
      </c>
      <c r="H571" t="s">
        <v>4018</v>
      </c>
      <c r="I571" t="s">
        <v>4023</v>
      </c>
      <c r="J571" t="s">
        <v>4027</v>
      </c>
      <c r="K571" s="2">
        <v>44754</v>
      </c>
      <c r="L571" s="2">
        <v>44764</v>
      </c>
      <c r="M571">
        <v>2</v>
      </c>
      <c r="N571">
        <v>240</v>
      </c>
      <c r="O571">
        <f>IF(Tickets[[#This Row],[Ticket Priority]]="Critical",24,
IF(Tickets[[#This Row],[Ticket Priority]]="High",48,
IF(Tickets[[#This Row],[Ticket Priority]]="Medium",120,168)))</f>
        <v>120</v>
      </c>
      <c r="P571" t="str">
        <f>IF(Tickets[[#This Row],[Resolution Duration Hours]] &lt;= Tickets[[#This Row],[SLA_Target_Hours]], "Yes", "No")</f>
        <v>No</v>
      </c>
    </row>
    <row r="572" spans="1:16" hidden="1">
      <c r="A572">
        <v>571</v>
      </c>
      <c r="B572" t="s">
        <v>581</v>
      </c>
      <c r="C572" t="s">
        <v>2554</v>
      </c>
      <c r="D572" t="s">
        <v>3996</v>
      </c>
      <c r="E572" s="1">
        <v>44057</v>
      </c>
      <c r="F572" t="s">
        <v>3999</v>
      </c>
      <c r="G572" t="s">
        <v>4004</v>
      </c>
      <c r="H572" t="s">
        <v>4020</v>
      </c>
      <c r="I572" t="s">
        <v>4023</v>
      </c>
      <c r="J572" t="s">
        <v>4026</v>
      </c>
      <c r="K572" s="2">
        <v>44299</v>
      </c>
      <c r="L572" s="2">
        <v>44302</v>
      </c>
      <c r="N572">
        <v>72</v>
      </c>
      <c r="O572">
        <f>IF(Tickets[[#This Row],[Ticket Priority]]="Critical",24,
IF(Tickets[[#This Row],[Ticket Priority]]="High",48,
IF(Tickets[[#This Row],[Ticket Priority]]="Medium",120,168)))</f>
        <v>120</v>
      </c>
      <c r="P572" t="str">
        <f>IF(Tickets[[#This Row],[Resolution Duration Hours]] &lt;= Tickets[[#This Row],[SLA_Target_Hours]], "Yes", "No")</f>
        <v>Yes</v>
      </c>
    </row>
    <row r="573" spans="1:16" hidden="1">
      <c r="A573">
        <v>572</v>
      </c>
      <c r="B573" t="s">
        <v>582</v>
      </c>
      <c r="C573" t="s">
        <v>2555</v>
      </c>
      <c r="D573" t="s">
        <v>3994</v>
      </c>
      <c r="E573" s="1">
        <v>44634</v>
      </c>
      <c r="F573" t="s">
        <v>3999</v>
      </c>
      <c r="G573" t="s">
        <v>4012</v>
      </c>
      <c r="H573" t="s">
        <v>4020</v>
      </c>
      <c r="I573" t="s">
        <v>4023</v>
      </c>
      <c r="J573" t="s">
        <v>4027</v>
      </c>
      <c r="K573" s="2">
        <v>44683</v>
      </c>
      <c r="L573" s="2">
        <v>44687</v>
      </c>
      <c r="N573">
        <v>96</v>
      </c>
      <c r="O573">
        <f>IF(Tickets[[#This Row],[Ticket Priority]]="Critical",24,
IF(Tickets[[#This Row],[Ticket Priority]]="High",48,
IF(Tickets[[#This Row],[Ticket Priority]]="Medium",120,168)))</f>
        <v>120</v>
      </c>
      <c r="P573" t="str">
        <f>IF(Tickets[[#This Row],[Resolution Duration Hours]] &lt;= Tickets[[#This Row],[SLA_Target_Hours]], "Yes", "No")</f>
        <v>Yes</v>
      </c>
    </row>
    <row r="574" spans="1:16" hidden="1">
      <c r="A574">
        <v>573</v>
      </c>
      <c r="B574" t="s">
        <v>583</v>
      </c>
      <c r="C574" t="s">
        <v>2556</v>
      </c>
      <c r="D574" t="s">
        <v>3990</v>
      </c>
      <c r="E574" s="1">
        <v>43984</v>
      </c>
      <c r="F574" t="s">
        <v>4002</v>
      </c>
      <c r="G574" t="s">
        <v>4004</v>
      </c>
      <c r="H574" t="s">
        <v>4018</v>
      </c>
      <c r="I574" t="s">
        <v>4023</v>
      </c>
      <c r="J574" t="s">
        <v>4028</v>
      </c>
      <c r="K574" s="2">
        <v>44034</v>
      </c>
      <c r="L574" s="2">
        <v>44038</v>
      </c>
      <c r="M574">
        <v>5</v>
      </c>
      <c r="N574">
        <v>96</v>
      </c>
      <c r="O574">
        <f>IF(Tickets[[#This Row],[Ticket Priority]]="Critical",24,
IF(Tickets[[#This Row],[Ticket Priority]]="High",48,
IF(Tickets[[#This Row],[Ticket Priority]]="Medium",120,168)))</f>
        <v>120</v>
      </c>
      <c r="P574" t="str">
        <f>IF(Tickets[[#This Row],[Resolution Duration Hours]] &lt;= Tickets[[#This Row],[SLA_Target_Hours]], "Yes", "No")</f>
        <v>Yes</v>
      </c>
    </row>
    <row r="575" spans="1:16" hidden="1">
      <c r="A575">
        <v>574</v>
      </c>
      <c r="B575" t="s">
        <v>584</v>
      </c>
      <c r="C575" t="s">
        <v>2557</v>
      </c>
      <c r="D575" t="s">
        <v>3982</v>
      </c>
      <c r="E575" s="1">
        <v>44987</v>
      </c>
      <c r="F575" t="s">
        <v>4001</v>
      </c>
      <c r="G575" t="s">
        <v>4013</v>
      </c>
      <c r="H575" t="s">
        <v>4017</v>
      </c>
      <c r="I575" t="s">
        <v>4024</v>
      </c>
      <c r="J575" t="s">
        <v>4026</v>
      </c>
      <c r="K575" s="2">
        <v>45147</v>
      </c>
      <c r="L575" s="2">
        <v>45153</v>
      </c>
      <c r="N575">
        <v>144</v>
      </c>
      <c r="O575">
        <f>IF(Tickets[[#This Row],[Ticket Priority]]="Critical",24,
IF(Tickets[[#This Row],[Ticket Priority]]="High",48,
IF(Tickets[[#This Row],[Ticket Priority]]="Medium",120,168)))</f>
        <v>168</v>
      </c>
      <c r="P575" t="str">
        <f>IF(Tickets[[#This Row],[Resolution Duration Hours]] &lt;= Tickets[[#This Row],[SLA_Target_Hours]], "Yes", "No")</f>
        <v>Yes</v>
      </c>
    </row>
    <row r="576" spans="1:16" hidden="1">
      <c r="A576">
        <v>575</v>
      </c>
      <c r="B576" t="s">
        <v>585</v>
      </c>
      <c r="C576" t="s">
        <v>2558</v>
      </c>
      <c r="D576" t="s">
        <v>3984</v>
      </c>
      <c r="E576" s="1">
        <v>44886</v>
      </c>
      <c r="F576" t="s">
        <v>3998</v>
      </c>
      <c r="G576" t="s">
        <v>4013</v>
      </c>
      <c r="H576" t="s">
        <v>4017</v>
      </c>
      <c r="I576" t="s">
        <v>4023</v>
      </c>
      <c r="J576" t="s">
        <v>4026</v>
      </c>
      <c r="K576" s="2">
        <v>45065</v>
      </c>
      <c r="L576" s="2">
        <v>45069</v>
      </c>
      <c r="N576">
        <v>96</v>
      </c>
      <c r="O576">
        <f>IF(Tickets[[#This Row],[Ticket Priority]]="Critical",24,
IF(Tickets[[#This Row],[Ticket Priority]]="High",48,
IF(Tickets[[#This Row],[Ticket Priority]]="Medium",120,168)))</f>
        <v>120</v>
      </c>
      <c r="P576" t="str">
        <f>IF(Tickets[[#This Row],[Resolution Duration Hours]] &lt;= Tickets[[#This Row],[SLA_Target_Hours]], "Yes", "No")</f>
        <v>Yes</v>
      </c>
    </row>
    <row r="577" spans="1:16">
      <c r="A577">
        <v>1863</v>
      </c>
      <c r="B577" t="s">
        <v>1853</v>
      </c>
      <c r="C577" t="s">
        <v>3842</v>
      </c>
      <c r="D577" t="s">
        <v>3987</v>
      </c>
      <c r="E577" s="1">
        <v>44546</v>
      </c>
      <c r="F577" t="s">
        <v>4002</v>
      </c>
      <c r="G577" t="s">
        <v>4006</v>
      </c>
      <c r="H577" t="s">
        <v>4020</v>
      </c>
      <c r="I577" t="s">
        <v>4024</v>
      </c>
      <c r="J577" t="s">
        <v>4027</v>
      </c>
      <c r="K577" s="2">
        <v>44561</v>
      </c>
      <c r="L577" s="2">
        <v>44571</v>
      </c>
      <c r="N577">
        <v>240</v>
      </c>
      <c r="O577">
        <f>IF(Tickets[[#This Row],[Ticket Priority]]="Critical",24,
IF(Tickets[[#This Row],[Ticket Priority]]="High",48,
IF(Tickets[[#This Row],[Ticket Priority]]="Medium",120,168)))</f>
        <v>168</v>
      </c>
      <c r="P577" t="str">
        <f>IF(Tickets[[#This Row],[Resolution Duration Hours]] &lt;= Tickets[[#This Row],[SLA_Target_Hours]], "Yes", "No")</f>
        <v>No</v>
      </c>
    </row>
    <row r="578" spans="1:16" hidden="1">
      <c r="A578">
        <v>577</v>
      </c>
      <c r="B578" t="s">
        <v>587</v>
      </c>
      <c r="C578" t="s">
        <v>2560</v>
      </c>
      <c r="D578" t="s">
        <v>3979</v>
      </c>
      <c r="E578" s="1">
        <v>44056</v>
      </c>
      <c r="F578" t="s">
        <v>3999</v>
      </c>
      <c r="G578" t="s">
        <v>4008</v>
      </c>
      <c r="H578" t="s">
        <v>4017</v>
      </c>
      <c r="I578" t="s">
        <v>4023</v>
      </c>
      <c r="J578" t="s">
        <v>4028</v>
      </c>
      <c r="K578" s="2">
        <v>44412</v>
      </c>
      <c r="L578" s="2">
        <v>44416</v>
      </c>
      <c r="N578">
        <v>96</v>
      </c>
      <c r="O578">
        <f>IF(Tickets[[#This Row],[Ticket Priority]]="Critical",24,
IF(Tickets[[#This Row],[Ticket Priority]]="High",48,
IF(Tickets[[#This Row],[Ticket Priority]]="Medium",120,168)))</f>
        <v>120</v>
      </c>
      <c r="P578" t="str">
        <f>IF(Tickets[[#This Row],[Resolution Duration Hours]] &lt;= Tickets[[#This Row],[SLA_Target_Hours]], "Yes", "No")</f>
        <v>Yes</v>
      </c>
    </row>
    <row r="579" spans="1:16" hidden="1">
      <c r="A579">
        <v>578</v>
      </c>
      <c r="B579" t="s">
        <v>588</v>
      </c>
      <c r="C579" t="s">
        <v>2561</v>
      </c>
      <c r="D579" t="s">
        <v>3995</v>
      </c>
      <c r="E579" s="1">
        <v>43941</v>
      </c>
      <c r="F579" t="s">
        <v>4000</v>
      </c>
      <c r="G579" t="s">
        <v>4000</v>
      </c>
      <c r="H579" t="s">
        <v>4018</v>
      </c>
      <c r="I579" t="s">
        <v>4024</v>
      </c>
      <c r="J579" t="s">
        <v>4025</v>
      </c>
      <c r="K579" s="2">
        <v>44295</v>
      </c>
      <c r="L579" s="2">
        <v>44300</v>
      </c>
      <c r="M579">
        <v>4</v>
      </c>
      <c r="N579">
        <v>120</v>
      </c>
      <c r="O579">
        <f>IF(Tickets[[#This Row],[Ticket Priority]]="Critical",24,
IF(Tickets[[#This Row],[Ticket Priority]]="High",48,
IF(Tickets[[#This Row],[Ticket Priority]]="Medium",120,168)))</f>
        <v>168</v>
      </c>
      <c r="P579" t="str">
        <f>IF(Tickets[[#This Row],[Resolution Duration Hours]] &lt;= Tickets[[#This Row],[SLA_Target_Hours]], "Yes", "No")</f>
        <v>Yes</v>
      </c>
    </row>
    <row r="580" spans="1:16" hidden="1">
      <c r="A580">
        <v>579</v>
      </c>
      <c r="B580" t="s">
        <v>589</v>
      </c>
      <c r="C580" t="s">
        <v>2562</v>
      </c>
      <c r="D580" t="s">
        <v>3994</v>
      </c>
      <c r="E580" s="1">
        <v>44522</v>
      </c>
      <c r="F580" t="s">
        <v>4002</v>
      </c>
      <c r="G580" t="s">
        <v>4013</v>
      </c>
      <c r="H580" t="s">
        <v>4020</v>
      </c>
      <c r="I580" t="s">
        <v>4023</v>
      </c>
      <c r="J580" t="s">
        <v>4028</v>
      </c>
      <c r="K580" s="2">
        <v>44655</v>
      </c>
      <c r="L580" s="2">
        <v>44660</v>
      </c>
      <c r="N580">
        <v>120</v>
      </c>
      <c r="O580">
        <f>IF(Tickets[[#This Row],[Ticket Priority]]="Critical",24,
IF(Tickets[[#This Row],[Ticket Priority]]="High",48,
IF(Tickets[[#This Row],[Ticket Priority]]="Medium",120,168)))</f>
        <v>120</v>
      </c>
      <c r="P580" t="str">
        <f>IF(Tickets[[#This Row],[Resolution Duration Hours]] &lt;= Tickets[[#This Row],[SLA_Target_Hours]], "Yes", "No")</f>
        <v>Yes</v>
      </c>
    </row>
    <row r="581" spans="1:16" hidden="1">
      <c r="A581">
        <v>580</v>
      </c>
      <c r="B581" t="s">
        <v>590</v>
      </c>
      <c r="C581" t="s">
        <v>2563</v>
      </c>
      <c r="D581" t="s">
        <v>3992</v>
      </c>
      <c r="E581" s="1">
        <v>44025</v>
      </c>
      <c r="F581" t="s">
        <v>4001</v>
      </c>
      <c r="G581" t="s">
        <v>4010</v>
      </c>
      <c r="H581" t="s">
        <v>4020</v>
      </c>
      <c r="I581" t="s">
        <v>4024</v>
      </c>
      <c r="J581" t="s">
        <v>4025</v>
      </c>
      <c r="K581" s="2">
        <v>44080</v>
      </c>
      <c r="L581" s="2">
        <v>44084</v>
      </c>
      <c r="N581">
        <v>96</v>
      </c>
      <c r="O581">
        <f>IF(Tickets[[#This Row],[Ticket Priority]]="Critical",24,
IF(Tickets[[#This Row],[Ticket Priority]]="High",48,
IF(Tickets[[#This Row],[Ticket Priority]]="Medium",120,168)))</f>
        <v>168</v>
      </c>
      <c r="P581" t="str">
        <f>IF(Tickets[[#This Row],[Resolution Duration Hours]] &lt;= Tickets[[#This Row],[SLA_Target_Hours]], "Yes", "No")</f>
        <v>Yes</v>
      </c>
    </row>
    <row r="582" spans="1:16" hidden="1">
      <c r="A582">
        <v>581</v>
      </c>
      <c r="B582" t="s">
        <v>591</v>
      </c>
      <c r="C582" t="s">
        <v>2564</v>
      </c>
      <c r="D582" t="s">
        <v>3988</v>
      </c>
      <c r="E582" s="1">
        <v>43930</v>
      </c>
      <c r="F582" t="s">
        <v>4001</v>
      </c>
      <c r="G582" t="s">
        <v>4013</v>
      </c>
      <c r="H582" t="s">
        <v>4018</v>
      </c>
      <c r="I582" t="s">
        <v>4023</v>
      </c>
      <c r="J582" t="s">
        <v>4028</v>
      </c>
      <c r="K582" s="2">
        <v>43966</v>
      </c>
      <c r="L582" s="2">
        <v>43970</v>
      </c>
      <c r="M582">
        <v>3</v>
      </c>
      <c r="N582">
        <v>96</v>
      </c>
      <c r="O582">
        <f>IF(Tickets[[#This Row],[Ticket Priority]]="Critical",24,
IF(Tickets[[#This Row],[Ticket Priority]]="High",48,
IF(Tickets[[#This Row],[Ticket Priority]]="Medium",120,168)))</f>
        <v>120</v>
      </c>
      <c r="P582" t="str">
        <f>IF(Tickets[[#This Row],[Resolution Duration Hours]] &lt;= Tickets[[#This Row],[SLA_Target_Hours]], "Yes", "No")</f>
        <v>Yes</v>
      </c>
    </row>
    <row r="583" spans="1:16">
      <c r="A583">
        <v>1894</v>
      </c>
      <c r="B583" t="s">
        <v>1883</v>
      </c>
      <c r="C583" t="s">
        <v>3873</v>
      </c>
      <c r="D583" t="s">
        <v>3989</v>
      </c>
      <c r="E583" s="1">
        <v>44363</v>
      </c>
      <c r="F583" t="s">
        <v>4000</v>
      </c>
      <c r="G583" t="s">
        <v>4007</v>
      </c>
      <c r="H583" t="s">
        <v>4018</v>
      </c>
      <c r="I583" t="s">
        <v>4024</v>
      </c>
      <c r="J583" t="s">
        <v>4026</v>
      </c>
      <c r="K583" s="2">
        <v>44686</v>
      </c>
      <c r="L583" s="2">
        <v>44696</v>
      </c>
      <c r="M583">
        <v>3</v>
      </c>
      <c r="N583">
        <v>240</v>
      </c>
      <c r="O583">
        <f>IF(Tickets[[#This Row],[Ticket Priority]]="Critical",24,
IF(Tickets[[#This Row],[Ticket Priority]]="High",48,
IF(Tickets[[#This Row],[Ticket Priority]]="Medium",120,168)))</f>
        <v>168</v>
      </c>
      <c r="P583" t="str">
        <f>IF(Tickets[[#This Row],[Resolution Duration Hours]] &lt;= Tickets[[#This Row],[SLA_Target_Hours]], "Yes", "No")</f>
        <v>No</v>
      </c>
    </row>
    <row r="584" spans="1:16" hidden="1">
      <c r="A584">
        <v>583</v>
      </c>
      <c r="B584" t="s">
        <v>593</v>
      </c>
      <c r="C584" t="s">
        <v>2566</v>
      </c>
      <c r="D584" t="s">
        <v>3996</v>
      </c>
      <c r="E584" s="1">
        <v>44272</v>
      </c>
      <c r="F584" t="s">
        <v>4000</v>
      </c>
      <c r="G584" t="s">
        <v>4010</v>
      </c>
      <c r="H584" t="s">
        <v>4018</v>
      </c>
      <c r="I584" t="s">
        <v>4023</v>
      </c>
      <c r="J584" t="s">
        <v>4028</v>
      </c>
      <c r="K584" s="2">
        <v>44624</v>
      </c>
      <c r="L584" s="2">
        <v>44627</v>
      </c>
      <c r="M584">
        <v>4</v>
      </c>
      <c r="N584">
        <v>72</v>
      </c>
      <c r="O584">
        <f>IF(Tickets[[#This Row],[Ticket Priority]]="Critical",24,
IF(Tickets[[#This Row],[Ticket Priority]]="High",48,
IF(Tickets[[#This Row],[Ticket Priority]]="Medium",120,168)))</f>
        <v>120</v>
      </c>
      <c r="P584" t="str">
        <f>IF(Tickets[[#This Row],[Resolution Duration Hours]] &lt;= Tickets[[#This Row],[SLA_Target_Hours]], "Yes", "No")</f>
        <v>Yes</v>
      </c>
    </row>
    <row r="585" spans="1:16">
      <c r="A585">
        <v>1933</v>
      </c>
      <c r="B585" t="s">
        <v>1921</v>
      </c>
      <c r="C585" t="s">
        <v>3912</v>
      </c>
      <c r="D585" t="s">
        <v>3992</v>
      </c>
      <c r="E585" s="1">
        <v>44732</v>
      </c>
      <c r="F585" t="s">
        <v>3998</v>
      </c>
      <c r="G585" t="s">
        <v>4009</v>
      </c>
      <c r="H585" t="s">
        <v>4018</v>
      </c>
      <c r="I585" t="s">
        <v>4024</v>
      </c>
      <c r="J585" t="s">
        <v>4028</v>
      </c>
      <c r="K585" s="2">
        <v>44881</v>
      </c>
      <c r="L585" s="2">
        <v>44891</v>
      </c>
      <c r="M585">
        <v>4</v>
      </c>
      <c r="N585">
        <v>240</v>
      </c>
      <c r="O585">
        <f>IF(Tickets[[#This Row],[Ticket Priority]]="Critical",24,
IF(Tickets[[#This Row],[Ticket Priority]]="High",48,
IF(Tickets[[#This Row],[Ticket Priority]]="Medium",120,168)))</f>
        <v>168</v>
      </c>
      <c r="P585" t="str">
        <f>IF(Tickets[[#This Row],[Resolution Duration Hours]] &lt;= Tickets[[#This Row],[SLA_Target_Hours]], "Yes", "No")</f>
        <v>No</v>
      </c>
    </row>
    <row r="586" spans="1:16" hidden="1">
      <c r="A586">
        <v>585</v>
      </c>
      <c r="B586" t="s">
        <v>595</v>
      </c>
      <c r="C586" t="s">
        <v>2568</v>
      </c>
      <c r="D586" t="s">
        <v>3994</v>
      </c>
      <c r="E586" s="1">
        <v>44106</v>
      </c>
      <c r="F586" t="s">
        <v>4000</v>
      </c>
      <c r="G586" t="s">
        <v>4003</v>
      </c>
      <c r="H586" t="s">
        <v>4017</v>
      </c>
      <c r="I586" t="s">
        <v>4023</v>
      </c>
      <c r="J586" t="s">
        <v>4028</v>
      </c>
      <c r="K586" s="2">
        <v>44302</v>
      </c>
      <c r="L586" s="2">
        <v>44305</v>
      </c>
      <c r="N586">
        <v>72</v>
      </c>
      <c r="O586">
        <f>IF(Tickets[[#This Row],[Ticket Priority]]="Critical",24,
IF(Tickets[[#This Row],[Ticket Priority]]="High",48,
IF(Tickets[[#This Row],[Ticket Priority]]="Medium",120,168)))</f>
        <v>120</v>
      </c>
      <c r="P586" t="str">
        <f>IF(Tickets[[#This Row],[Resolution Duration Hours]] &lt;= Tickets[[#This Row],[SLA_Target_Hours]], "Yes", "No")</f>
        <v>Yes</v>
      </c>
    </row>
    <row r="587" spans="1:16" hidden="1">
      <c r="A587">
        <v>586</v>
      </c>
      <c r="B587" t="s">
        <v>596</v>
      </c>
      <c r="C587" t="s">
        <v>2569</v>
      </c>
      <c r="D587" t="s">
        <v>3984</v>
      </c>
      <c r="E587" s="1">
        <v>44312</v>
      </c>
      <c r="F587" t="s">
        <v>3998</v>
      </c>
      <c r="G587" t="s">
        <v>4013</v>
      </c>
      <c r="H587" t="s">
        <v>4018</v>
      </c>
      <c r="I587" t="s">
        <v>4021</v>
      </c>
      <c r="J587" t="s">
        <v>4026</v>
      </c>
      <c r="K587" s="2">
        <v>44409</v>
      </c>
      <c r="L587" s="2">
        <v>44410</v>
      </c>
      <c r="M587">
        <v>5</v>
      </c>
      <c r="N587">
        <v>24</v>
      </c>
      <c r="O587">
        <f>IF(Tickets[[#This Row],[Ticket Priority]]="Critical",24,
IF(Tickets[[#This Row],[Ticket Priority]]="High",48,
IF(Tickets[[#This Row],[Ticket Priority]]="Medium",120,168)))</f>
        <v>48</v>
      </c>
      <c r="P587" t="str">
        <f>IF(Tickets[[#This Row],[Resolution Duration Hours]] &lt;= Tickets[[#This Row],[SLA_Target_Hours]], "Yes", "No")</f>
        <v>Yes</v>
      </c>
    </row>
    <row r="588" spans="1:16" hidden="1">
      <c r="A588">
        <v>587</v>
      </c>
      <c r="B588" t="s">
        <v>597</v>
      </c>
      <c r="C588" t="s">
        <v>2570</v>
      </c>
      <c r="D588" t="s">
        <v>3991</v>
      </c>
      <c r="E588" s="1">
        <v>44072</v>
      </c>
      <c r="F588" t="s">
        <v>4002</v>
      </c>
      <c r="G588" t="s">
        <v>4008</v>
      </c>
      <c r="H588" t="s">
        <v>4018</v>
      </c>
      <c r="I588" t="s">
        <v>4022</v>
      </c>
      <c r="J588" t="s">
        <v>4026</v>
      </c>
      <c r="K588" s="2">
        <v>44303</v>
      </c>
      <c r="L588" s="2">
        <v>44303</v>
      </c>
      <c r="M588">
        <v>2</v>
      </c>
      <c r="N588">
        <v>0</v>
      </c>
      <c r="O588">
        <f>IF(Tickets[[#This Row],[Ticket Priority]]="Critical",24,
IF(Tickets[[#This Row],[Ticket Priority]]="High",48,
IF(Tickets[[#This Row],[Ticket Priority]]="Medium",120,168)))</f>
        <v>24</v>
      </c>
      <c r="P588" t="str">
        <f>IF(Tickets[[#This Row],[Resolution Duration Hours]] &lt;= Tickets[[#This Row],[SLA_Target_Hours]], "Yes", "No")</f>
        <v>Yes</v>
      </c>
    </row>
    <row r="589" spans="1:16">
      <c r="A589">
        <v>1952</v>
      </c>
      <c r="B589" t="s">
        <v>1937</v>
      </c>
      <c r="C589" t="s">
        <v>3930</v>
      </c>
      <c r="D589" t="s">
        <v>3982</v>
      </c>
      <c r="E589" s="1">
        <v>44164</v>
      </c>
      <c r="F589" t="s">
        <v>4002</v>
      </c>
      <c r="G589" t="s">
        <v>4010</v>
      </c>
      <c r="H589" t="s">
        <v>4017</v>
      </c>
      <c r="I589" t="s">
        <v>4024</v>
      </c>
      <c r="J589" t="s">
        <v>4026</v>
      </c>
      <c r="K589" s="2">
        <v>44221</v>
      </c>
      <c r="L589" s="2">
        <v>44231</v>
      </c>
      <c r="N589">
        <v>240</v>
      </c>
      <c r="O589">
        <f>IF(Tickets[[#This Row],[Ticket Priority]]="Critical",24,
IF(Tickets[[#This Row],[Ticket Priority]]="High",48,
IF(Tickets[[#This Row],[Ticket Priority]]="Medium",120,168)))</f>
        <v>168</v>
      </c>
      <c r="P589" t="str">
        <f>IF(Tickets[[#This Row],[Resolution Duration Hours]] &lt;= Tickets[[#This Row],[SLA_Target_Hours]], "Yes", "No")</f>
        <v>No</v>
      </c>
    </row>
    <row r="590" spans="1:16" hidden="1">
      <c r="A590">
        <v>589</v>
      </c>
      <c r="B590" t="s">
        <v>599</v>
      </c>
      <c r="C590" t="s">
        <v>2572</v>
      </c>
      <c r="D590" t="s">
        <v>3992</v>
      </c>
      <c r="E590" s="1">
        <v>44190</v>
      </c>
      <c r="F590" t="s">
        <v>4001</v>
      </c>
      <c r="G590" t="s">
        <v>4011</v>
      </c>
      <c r="H590" t="s">
        <v>4017</v>
      </c>
      <c r="I590" t="s">
        <v>4024</v>
      </c>
      <c r="J590" t="s">
        <v>4026</v>
      </c>
      <c r="K590" s="2">
        <v>44506</v>
      </c>
      <c r="L590" s="2">
        <v>44510</v>
      </c>
      <c r="N590">
        <v>96</v>
      </c>
      <c r="O590">
        <f>IF(Tickets[[#This Row],[Ticket Priority]]="Critical",24,
IF(Tickets[[#This Row],[Ticket Priority]]="High",48,
IF(Tickets[[#This Row],[Ticket Priority]]="Medium",120,168)))</f>
        <v>168</v>
      </c>
      <c r="P590" t="str">
        <f>IF(Tickets[[#This Row],[Resolution Duration Hours]] &lt;= Tickets[[#This Row],[SLA_Target_Hours]], "Yes", "No")</f>
        <v>Yes</v>
      </c>
    </row>
    <row r="591" spans="1:16">
      <c r="A591">
        <v>1980</v>
      </c>
      <c r="B591" t="s">
        <v>1964</v>
      </c>
      <c r="C591" t="s">
        <v>3958</v>
      </c>
      <c r="D591" t="s">
        <v>3993</v>
      </c>
      <c r="E591" s="1">
        <v>44472</v>
      </c>
      <c r="F591" t="s">
        <v>3999</v>
      </c>
      <c r="G591" t="s">
        <v>4015</v>
      </c>
      <c r="H591" t="s">
        <v>4017</v>
      </c>
      <c r="I591" t="s">
        <v>4024</v>
      </c>
      <c r="J591" t="s">
        <v>4026</v>
      </c>
      <c r="K591" s="2">
        <v>44479</v>
      </c>
      <c r="L591" s="2">
        <v>44489</v>
      </c>
      <c r="N591">
        <v>240</v>
      </c>
      <c r="O591">
        <f>IF(Tickets[[#This Row],[Ticket Priority]]="Critical",24,
IF(Tickets[[#This Row],[Ticket Priority]]="High",48,
IF(Tickets[[#This Row],[Ticket Priority]]="Medium",120,168)))</f>
        <v>168</v>
      </c>
      <c r="P591" t="str">
        <f>IF(Tickets[[#This Row],[Resolution Duration Hours]] &lt;= Tickets[[#This Row],[SLA_Target_Hours]], "Yes", "No")</f>
        <v>No</v>
      </c>
    </row>
    <row r="592" spans="1:16" hidden="1">
      <c r="A592">
        <v>591</v>
      </c>
      <c r="B592" t="s">
        <v>601</v>
      </c>
      <c r="C592" t="s">
        <v>2574</v>
      </c>
      <c r="D592" t="s">
        <v>3996</v>
      </c>
      <c r="E592" s="1">
        <v>44908</v>
      </c>
      <c r="F592" t="s">
        <v>4001</v>
      </c>
      <c r="G592" t="s">
        <v>4009</v>
      </c>
      <c r="H592" t="s">
        <v>4019</v>
      </c>
      <c r="I592" t="s">
        <v>4024</v>
      </c>
      <c r="J592" t="s">
        <v>4026</v>
      </c>
      <c r="K592" s="2">
        <v>45074</v>
      </c>
      <c r="L592" s="2">
        <v>45079</v>
      </c>
      <c r="M592">
        <v>3</v>
      </c>
      <c r="N592">
        <v>120</v>
      </c>
      <c r="O592">
        <f>IF(Tickets[[#This Row],[Ticket Priority]]="Critical",24,
IF(Tickets[[#This Row],[Ticket Priority]]="High",48,
IF(Tickets[[#This Row],[Ticket Priority]]="Medium",120,168)))</f>
        <v>168</v>
      </c>
      <c r="P592" t="str">
        <f>IF(Tickets[[#This Row],[Resolution Duration Hours]] &lt;= Tickets[[#This Row],[SLA_Target_Hours]], "Yes", "No")</f>
        <v>Yes</v>
      </c>
    </row>
    <row r="593" spans="1:16">
      <c r="A593">
        <v>34</v>
      </c>
      <c r="B593" t="s">
        <v>47</v>
      </c>
      <c r="C593" t="s">
        <v>2017</v>
      </c>
      <c r="D593" t="s">
        <v>3985</v>
      </c>
      <c r="E593" s="1">
        <v>44833</v>
      </c>
      <c r="F593" t="s">
        <v>3999</v>
      </c>
      <c r="G593" t="s">
        <v>4008</v>
      </c>
      <c r="H593" t="s">
        <v>4017</v>
      </c>
      <c r="I593" t="s">
        <v>4024</v>
      </c>
      <c r="J593" t="s">
        <v>4025</v>
      </c>
      <c r="K593" s="2">
        <v>44954</v>
      </c>
      <c r="L593" s="2">
        <v>44963</v>
      </c>
      <c r="N593">
        <v>216</v>
      </c>
      <c r="O593">
        <f>IF(Tickets[[#This Row],[Ticket Priority]]="Critical",24,
IF(Tickets[[#This Row],[Ticket Priority]]="High",48,
IF(Tickets[[#This Row],[Ticket Priority]]="Medium",120,168)))</f>
        <v>168</v>
      </c>
      <c r="P593" t="str">
        <f>IF(Tickets[[#This Row],[Resolution Duration Hours]] &lt;= Tickets[[#This Row],[SLA_Target_Hours]], "Yes", "No")</f>
        <v>No</v>
      </c>
    </row>
    <row r="594" spans="1:16">
      <c r="A594">
        <v>41</v>
      </c>
      <c r="B594" t="s">
        <v>54</v>
      </c>
      <c r="C594" t="s">
        <v>2024</v>
      </c>
      <c r="D594" t="s">
        <v>3985</v>
      </c>
      <c r="E594" s="1">
        <v>44678</v>
      </c>
      <c r="F594" t="s">
        <v>3998</v>
      </c>
      <c r="G594" t="s">
        <v>4016</v>
      </c>
      <c r="H594" t="s">
        <v>4018</v>
      </c>
      <c r="I594" t="s">
        <v>4024</v>
      </c>
      <c r="J594" t="s">
        <v>4026</v>
      </c>
      <c r="K594" s="2">
        <v>44776</v>
      </c>
      <c r="L594" s="2">
        <v>44785</v>
      </c>
      <c r="M594">
        <v>4</v>
      </c>
      <c r="N594">
        <v>216</v>
      </c>
      <c r="O594">
        <f>IF(Tickets[[#This Row],[Ticket Priority]]="Critical",24,
IF(Tickets[[#This Row],[Ticket Priority]]="High",48,
IF(Tickets[[#This Row],[Ticket Priority]]="Medium",120,168)))</f>
        <v>168</v>
      </c>
      <c r="P594" t="str">
        <f>IF(Tickets[[#This Row],[Resolution Duration Hours]] &lt;= Tickets[[#This Row],[SLA_Target_Hours]], "Yes", "No")</f>
        <v>No</v>
      </c>
    </row>
    <row r="595" spans="1:16" hidden="1">
      <c r="A595">
        <v>594</v>
      </c>
      <c r="B595" t="s">
        <v>604</v>
      </c>
      <c r="C595" t="s">
        <v>2577</v>
      </c>
      <c r="D595" t="s">
        <v>3992</v>
      </c>
      <c r="E595" s="1">
        <v>43971</v>
      </c>
      <c r="F595" t="s">
        <v>4001</v>
      </c>
      <c r="G595" t="s">
        <v>4009</v>
      </c>
      <c r="H595" t="s">
        <v>4018</v>
      </c>
      <c r="I595" t="s">
        <v>4021</v>
      </c>
      <c r="J595" t="s">
        <v>4026</v>
      </c>
      <c r="K595" s="2">
        <v>44325</v>
      </c>
      <c r="L595" s="2">
        <v>44326</v>
      </c>
      <c r="M595">
        <v>3</v>
      </c>
      <c r="N595">
        <v>24</v>
      </c>
      <c r="O595">
        <f>IF(Tickets[[#This Row],[Ticket Priority]]="Critical",24,
IF(Tickets[[#This Row],[Ticket Priority]]="High",48,
IF(Tickets[[#This Row],[Ticket Priority]]="Medium",120,168)))</f>
        <v>48</v>
      </c>
      <c r="P595" t="str">
        <f>IF(Tickets[[#This Row],[Resolution Duration Hours]] &lt;= Tickets[[#This Row],[SLA_Target_Hours]], "Yes", "No")</f>
        <v>Yes</v>
      </c>
    </row>
    <row r="596" spans="1:16" hidden="1">
      <c r="A596">
        <v>595</v>
      </c>
      <c r="B596" t="s">
        <v>605</v>
      </c>
      <c r="C596" t="s">
        <v>2578</v>
      </c>
      <c r="D596" t="s">
        <v>3992</v>
      </c>
      <c r="E596" s="1">
        <v>44913</v>
      </c>
      <c r="F596" t="s">
        <v>4001</v>
      </c>
      <c r="G596" t="s">
        <v>4004</v>
      </c>
      <c r="H596" t="s">
        <v>4017</v>
      </c>
      <c r="I596" t="s">
        <v>4023</v>
      </c>
      <c r="J596" t="s">
        <v>4026</v>
      </c>
      <c r="K596" s="2">
        <v>45227</v>
      </c>
      <c r="L596" s="2">
        <v>45229</v>
      </c>
      <c r="N596">
        <v>48</v>
      </c>
      <c r="O596">
        <f>IF(Tickets[[#This Row],[Ticket Priority]]="Critical",24,
IF(Tickets[[#This Row],[Ticket Priority]]="High",48,
IF(Tickets[[#This Row],[Ticket Priority]]="Medium",120,168)))</f>
        <v>120</v>
      </c>
      <c r="P596" t="str">
        <f>IF(Tickets[[#This Row],[Resolution Duration Hours]] &lt;= Tickets[[#This Row],[SLA_Target_Hours]], "Yes", "No")</f>
        <v>Yes</v>
      </c>
    </row>
    <row r="597" spans="1:16" hidden="1">
      <c r="A597">
        <v>596</v>
      </c>
      <c r="B597" t="s">
        <v>606</v>
      </c>
      <c r="C597" t="s">
        <v>2579</v>
      </c>
      <c r="D597" t="s">
        <v>3979</v>
      </c>
      <c r="E597" s="1">
        <v>44674</v>
      </c>
      <c r="F597" t="s">
        <v>3999</v>
      </c>
      <c r="G597" t="s">
        <v>4010</v>
      </c>
      <c r="H597" t="s">
        <v>4020</v>
      </c>
      <c r="I597" t="s">
        <v>4024</v>
      </c>
      <c r="J597" t="s">
        <v>4028</v>
      </c>
      <c r="K597" s="2">
        <v>44990</v>
      </c>
      <c r="L597" s="2">
        <v>44996</v>
      </c>
      <c r="N597">
        <v>144</v>
      </c>
      <c r="O597">
        <f>IF(Tickets[[#This Row],[Ticket Priority]]="Critical",24,
IF(Tickets[[#This Row],[Ticket Priority]]="High",48,
IF(Tickets[[#This Row],[Ticket Priority]]="Medium",120,168)))</f>
        <v>168</v>
      </c>
      <c r="P597" t="str">
        <f>IF(Tickets[[#This Row],[Resolution Duration Hours]] &lt;= Tickets[[#This Row],[SLA_Target_Hours]], "Yes", "No")</f>
        <v>Yes</v>
      </c>
    </row>
    <row r="598" spans="1:16" hidden="1">
      <c r="A598">
        <v>597</v>
      </c>
      <c r="B598" t="s">
        <v>607</v>
      </c>
      <c r="C598" t="s">
        <v>2580</v>
      </c>
      <c r="D598" t="s">
        <v>3989</v>
      </c>
      <c r="E598" s="1">
        <v>44217</v>
      </c>
      <c r="F598" t="s">
        <v>4001</v>
      </c>
      <c r="G598" t="s">
        <v>4010</v>
      </c>
      <c r="H598" t="s">
        <v>4018</v>
      </c>
      <c r="I598" t="s">
        <v>4024</v>
      </c>
      <c r="J598" t="s">
        <v>4028</v>
      </c>
      <c r="K598" s="2">
        <v>44274</v>
      </c>
      <c r="L598" s="2">
        <v>44281</v>
      </c>
      <c r="M598">
        <v>4</v>
      </c>
      <c r="N598">
        <v>168</v>
      </c>
      <c r="O598">
        <f>IF(Tickets[[#This Row],[Ticket Priority]]="Critical",24,
IF(Tickets[[#This Row],[Ticket Priority]]="High",48,
IF(Tickets[[#This Row],[Ticket Priority]]="Medium",120,168)))</f>
        <v>168</v>
      </c>
      <c r="P598" t="str">
        <f>IF(Tickets[[#This Row],[Resolution Duration Hours]] &lt;= Tickets[[#This Row],[SLA_Target_Hours]], "Yes", "No")</f>
        <v>Yes</v>
      </c>
    </row>
    <row r="599" spans="1:16" hidden="1">
      <c r="A599">
        <v>598</v>
      </c>
      <c r="B599" t="s">
        <v>608</v>
      </c>
      <c r="C599" t="s">
        <v>2581</v>
      </c>
      <c r="D599" t="s">
        <v>3986</v>
      </c>
      <c r="E599" s="1">
        <v>44640</v>
      </c>
      <c r="F599" t="s">
        <v>3998</v>
      </c>
      <c r="G599" t="s">
        <v>4014</v>
      </c>
      <c r="H599" t="s">
        <v>4017</v>
      </c>
      <c r="I599" t="s">
        <v>4023</v>
      </c>
      <c r="J599" t="s">
        <v>4025</v>
      </c>
      <c r="K599" s="2">
        <v>44747</v>
      </c>
      <c r="L599" s="2">
        <v>44751</v>
      </c>
      <c r="N599">
        <v>96</v>
      </c>
      <c r="O599">
        <f>IF(Tickets[[#This Row],[Ticket Priority]]="Critical",24,
IF(Tickets[[#This Row],[Ticket Priority]]="High",48,
IF(Tickets[[#This Row],[Ticket Priority]]="Medium",120,168)))</f>
        <v>120</v>
      </c>
      <c r="P599" t="str">
        <f>IF(Tickets[[#This Row],[Resolution Duration Hours]] &lt;= Tickets[[#This Row],[SLA_Target_Hours]], "Yes", "No")</f>
        <v>Yes</v>
      </c>
    </row>
    <row r="600" spans="1:16" hidden="1">
      <c r="A600">
        <v>599</v>
      </c>
      <c r="B600" t="s">
        <v>609</v>
      </c>
      <c r="C600" t="s">
        <v>2582</v>
      </c>
      <c r="D600" t="s">
        <v>3982</v>
      </c>
      <c r="E600" s="1">
        <v>44684</v>
      </c>
      <c r="F600" t="s">
        <v>4002</v>
      </c>
      <c r="G600" t="s">
        <v>4015</v>
      </c>
      <c r="H600" t="s">
        <v>4018</v>
      </c>
      <c r="I600" t="s">
        <v>4021</v>
      </c>
      <c r="J600" t="s">
        <v>4026</v>
      </c>
      <c r="K600" s="2">
        <v>44698</v>
      </c>
      <c r="L600" s="2">
        <v>44698</v>
      </c>
      <c r="M600">
        <v>5</v>
      </c>
      <c r="N600">
        <v>0</v>
      </c>
      <c r="O600">
        <f>IF(Tickets[[#This Row],[Ticket Priority]]="Critical",24,
IF(Tickets[[#This Row],[Ticket Priority]]="High",48,
IF(Tickets[[#This Row],[Ticket Priority]]="Medium",120,168)))</f>
        <v>48</v>
      </c>
      <c r="P600" t="str">
        <f>IF(Tickets[[#This Row],[Resolution Duration Hours]] &lt;= Tickets[[#This Row],[SLA_Target_Hours]], "Yes", "No")</f>
        <v>Yes</v>
      </c>
    </row>
    <row r="601" spans="1:16" hidden="1">
      <c r="A601">
        <v>600</v>
      </c>
      <c r="B601" t="s">
        <v>610</v>
      </c>
      <c r="C601" t="s">
        <v>2583</v>
      </c>
      <c r="D601" t="s">
        <v>3983</v>
      </c>
      <c r="E601" s="1">
        <v>44169</v>
      </c>
      <c r="F601" t="s">
        <v>4002</v>
      </c>
      <c r="G601" t="s">
        <v>4003</v>
      </c>
      <c r="H601" t="s">
        <v>4020</v>
      </c>
      <c r="I601" t="s">
        <v>4023</v>
      </c>
      <c r="J601" t="s">
        <v>4026</v>
      </c>
      <c r="K601" s="2">
        <v>44286</v>
      </c>
      <c r="L601" s="2">
        <v>44289</v>
      </c>
      <c r="N601">
        <v>72</v>
      </c>
      <c r="O601">
        <f>IF(Tickets[[#This Row],[Ticket Priority]]="Critical",24,
IF(Tickets[[#This Row],[Ticket Priority]]="High",48,
IF(Tickets[[#This Row],[Ticket Priority]]="Medium",120,168)))</f>
        <v>120</v>
      </c>
      <c r="P601" t="str">
        <f>IF(Tickets[[#This Row],[Resolution Duration Hours]] &lt;= Tickets[[#This Row],[SLA_Target_Hours]], "Yes", "No")</f>
        <v>Yes</v>
      </c>
    </row>
    <row r="602" spans="1:16">
      <c r="A602">
        <v>53</v>
      </c>
      <c r="B602" t="s">
        <v>66</v>
      </c>
      <c r="C602" t="s">
        <v>2036</v>
      </c>
      <c r="D602" t="s">
        <v>3985</v>
      </c>
      <c r="E602" s="1">
        <v>44715</v>
      </c>
      <c r="F602" t="s">
        <v>4000</v>
      </c>
      <c r="G602" t="s">
        <v>4014</v>
      </c>
      <c r="H602" t="s">
        <v>4018</v>
      </c>
      <c r="I602" t="s">
        <v>4024</v>
      </c>
      <c r="J602" t="s">
        <v>4026</v>
      </c>
      <c r="K602" s="2">
        <v>45033</v>
      </c>
      <c r="L602" s="2">
        <v>45042</v>
      </c>
      <c r="M602">
        <v>4</v>
      </c>
      <c r="N602">
        <v>216</v>
      </c>
      <c r="O602">
        <f>IF(Tickets[[#This Row],[Ticket Priority]]="Critical",24,
IF(Tickets[[#This Row],[Ticket Priority]]="High",48,
IF(Tickets[[#This Row],[Ticket Priority]]="Medium",120,168)))</f>
        <v>168</v>
      </c>
      <c r="P602" t="str">
        <f>IF(Tickets[[#This Row],[Resolution Duration Hours]] &lt;= Tickets[[#This Row],[SLA_Target_Hours]], "Yes", "No")</f>
        <v>No</v>
      </c>
    </row>
    <row r="603" spans="1:16" hidden="1">
      <c r="A603">
        <v>602</v>
      </c>
      <c r="B603" t="s">
        <v>612</v>
      </c>
      <c r="C603" t="s">
        <v>2585</v>
      </c>
      <c r="D603" t="s">
        <v>3981</v>
      </c>
      <c r="E603" s="1">
        <v>45028</v>
      </c>
      <c r="F603" t="s">
        <v>4000</v>
      </c>
      <c r="G603" t="s">
        <v>4011</v>
      </c>
      <c r="H603" t="s">
        <v>4017</v>
      </c>
      <c r="I603" t="s">
        <v>4021</v>
      </c>
      <c r="J603" t="s">
        <v>4026</v>
      </c>
      <c r="K603" s="2">
        <v>45166</v>
      </c>
      <c r="L603" s="2">
        <v>45168</v>
      </c>
      <c r="N603">
        <v>48</v>
      </c>
      <c r="O603">
        <f>IF(Tickets[[#This Row],[Ticket Priority]]="Critical",24,
IF(Tickets[[#This Row],[Ticket Priority]]="High",48,
IF(Tickets[[#This Row],[Ticket Priority]]="Medium",120,168)))</f>
        <v>48</v>
      </c>
      <c r="P603" t="str">
        <f>IF(Tickets[[#This Row],[Resolution Duration Hours]] &lt;= Tickets[[#This Row],[SLA_Target_Hours]], "Yes", "No")</f>
        <v>Yes</v>
      </c>
    </row>
    <row r="604" spans="1:16" hidden="1">
      <c r="A604">
        <v>603</v>
      </c>
      <c r="B604" t="s">
        <v>613</v>
      </c>
      <c r="C604" t="s">
        <v>2586</v>
      </c>
      <c r="D604" t="s">
        <v>3995</v>
      </c>
      <c r="E604" s="1">
        <v>44832</v>
      </c>
      <c r="F604" t="s">
        <v>4002</v>
      </c>
      <c r="G604" t="s">
        <v>4009</v>
      </c>
      <c r="H604" t="s">
        <v>4020</v>
      </c>
      <c r="I604" t="s">
        <v>4021</v>
      </c>
      <c r="J604" t="s">
        <v>4027</v>
      </c>
      <c r="K604" s="2">
        <v>44919</v>
      </c>
      <c r="L604" s="2">
        <v>44921</v>
      </c>
      <c r="N604">
        <v>48</v>
      </c>
      <c r="O604">
        <f>IF(Tickets[[#This Row],[Ticket Priority]]="Critical",24,
IF(Tickets[[#This Row],[Ticket Priority]]="High",48,
IF(Tickets[[#This Row],[Ticket Priority]]="Medium",120,168)))</f>
        <v>48</v>
      </c>
      <c r="P604" t="str">
        <f>IF(Tickets[[#This Row],[Resolution Duration Hours]] &lt;= Tickets[[#This Row],[SLA_Target_Hours]], "Yes", "No")</f>
        <v>Yes</v>
      </c>
    </row>
    <row r="605" spans="1:16">
      <c r="A605">
        <v>74</v>
      </c>
      <c r="B605" t="s">
        <v>87</v>
      </c>
      <c r="C605" t="s">
        <v>2057</v>
      </c>
      <c r="D605" t="s">
        <v>3984</v>
      </c>
      <c r="E605" s="1">
        <v>44208</v>
      </c>
      <c r="F605" t="s">
        <v>4000</v>
      </c>
      <c r="G605" t="s">
        <v>4003</v>
      </c>
      <c r="H605" t="s">
        <v>4018</v>
      </c>
      <c r="I605" t="s">
        <v>4024</v>
      </c>
      <c r="J605" t="s">
        <v>4027</v>
      </c>
      <c r="K605" s="2">
        <v>44244</v>
      </c>
      <c r="L605" s="2">
        <v>44253</v>
      </c>
      <c r="M605">
        <v>3</v>
      </c>
      <c r="N605">
        <v>216</v>
      </c>
      <c r="O605">
        <f>IF(Tickets[[#This Row],[Ticket Priority]]="Critical",24,
IF(Tickets[[#This Row],[Ticket Priority]]="High",48,
IF(Tickets[[#This Row],[Ticket Priority]]="Medium",120,168)))</f>
        <v>168</v>
      </c>
      <c r="P605" t="str">
        <f>IF(Tickets[[#This Row],[Resolution Duration Hours]] &lt;= Tickets[[#This Row],[SLA_Target_Hours]], "Yes", "No")</f>
        <v>No</v>
      </c>
    </row>
    <row r="606" spans="1:16">
      <c r="A606">
        <v>96</v>
      </c>
      <c r="B606" t="s">
        <v>109</v>
      </c>
      <c r="C606" t="s">
        <v>2079</v>
      </c>
      <c r="D606" t="s">
        <v>3994</v>
      </c>
      <c r="E606" s="1">
        <v>44279</v>
      </c>
      <c r="F606" t="s">
        <v>4002</v>
      </c>
      <c r="G606" t="s">
        <v>4013</v>
      </c>
      <c r="H606" t="s">
        <v>4018</v>
      </c>
      <c r="I606" t="s">
        <v>4024</v>
      </c>
      <c r="J606" t="s">
        <v>4025</v>
      </c>
      <c r="K606" s="2">
        <v>44589</v>
      </c>
      <c r="L606" s="2">
        <v>44598</v>
      </c>
      <c r="M606">
        <v>5</v>
      </c>
      <c r="N606">
        <v>216</v>
      </c>
      <c r="O606">
        <f>IF(Tickets[[#This Row],[Ticket Priority]]="Critical",24,
IF(Tickets[[#This Row],[Ticket Priority]]="High",48,
IF(Tickets[[#This Row],[Ticket Priority]]="Medium",120,168)))</f>
        <v>168</v>
      </c>
      <c r="P606" t="str">
        <f>IF(Tickets[[#This Row],[Resolution Duration Hours]] &lt;= Tickets[[#This Row],[SLA_Target_Hours]], "Yes", "No")</f>
        <v>No</v>
      </c>
    </row>
    <row r="607" spans="1:16" hidden="1">
      <c r="A607">
        <v>606</v>
      </c>
      <c r="B607" t="s">
        <v>616</v>
      </c>
      <c r="C607" t="s">
        <v>2589</v>
      </c>
      <c r="D607" t="s">
        <v>3994</v>
      </c>
      <c r="E607" s="1">
        <v>44120</v>
      </c>
      <c r="F607" t="s">
        <v>4001</v>
      </c>
      <c r="G607" t="s">
        <v>4011</v>
      </c>
      <c r="H607" t="s">
        <v>4020</v>
      </c>
      <c r="I607" t="s">
        <v>4023</v>
      </c>
      <c r="J607" t="s">
        <v>4028</v>
      </c>
      <c r="K607" s="2">
        <v>44360</v>
      </c>
      <c r="L607" s="2">
        <v>44364</v>
      </c>
      <c r="N607">
        <v>96</v>
      </c>
      <c r="O607">
        <f>IF(Tickets[[#This Row],[Ticket Priority]]="Critical",24,
IF(Tickets[[#This Row],[Ticket Priority]]="High",48,
IF(Tickets[[#This Row],[Ticket Priority]]="Medium",120,168)))</f>
        <v>120</v>
      </c>
      <c r="P607" t="str">
        <f>IF(Tickets[[#This Row],[Resolution Duration Hours]] &lt;= Tickets[[#This Row],[SLA_Target_Hours]], "Yes", "No")</f>
        <v>Yes</v>
      </c>
    </row>
    <row r="608" spans="1:16">
      <c r="A608">
        <v>98</v>
      </c>
      <c r="B608" t="s">
        <v>111</v>
      </c>
      <c r="C608" t="s">
        <v>2081</v>
      </c>
      <c r="D608" t="s">
        <v>3984</v>
      </c>
      <c r="E608" s="1">
        <v>44878</v>
      </c>
      <c r="F608" t="s">
        <v>4002</v>
      </c>
      <c r="G608" t="s">
        <v>4008</v>
      </c>
      <c r="H608" t="s">
        <v>4018</v>
      </c>
      <c r="I608" t="s">
        <v>4024</v>
      </c>
      <c r="J608" t="s">
        <v>4026</v>
      </c>
      <c r="K608" s="2">
        <v>44895</v>
      </c>
      <c r="L608" s="2">
        <v>44904</v>
      </c>
      <c r="M608">
        <v>4</v>
      </c>
      <c r="N608">
        <v>216</v>
      </c>
      <c r="O608">
        <f>IF(Tickets[[#This Row],[Ticket Priority]]="Critical",24,
IF(Tickets[[#This Row],[Ticket Priority]]="High",48,
IF(Tickets[[#This Row],[Ticket Priority]]="Medium",120,168)))</f>
        <v>168</v>
      </c>
      <c r="P608" t="str">
        <f>IF(Tickets[[#This Row],[Resolution Duration Hours]] &lt;= Tickets[[#This Row],[SLA_Target_Hours]], "Yes", "No")</f>
        <v>No</v>
      </c>
    </row>
    <row r="609" spans="1:16" hidden="1">
      <c r="A609">
        <v>608</v>
      </c>
      <c r="B609" t="s">
        <v>618</v>
      </c>
      <c r="C609" t="s">
        <v>2591</v>
      </c>
      <c r="D609" t="s">
        <v>3987</v>
      </c>
      <c r="E609" s="1">
        <v>44396</v>
      </c>
      <c r="F609" t="s">
        <v>4000</v>
      </c>
      <c r="G609" t="s">
        <v>4008</v>
      </c>
      <c r="H609" t="s">
        <v>4018</v>
      </c>
      <c r="I609" t="s">
        <v>4021</v>
      </c>
      <c r="J609" t="s">
        <v>4027</v>
      </c>
      <c r="K609" s="2">
        <v>44641</v>
      </c>
      <c r="L609" s="2">
        <v>44642</v>
      </c>
      <c r="M609">
        <v>5</v>
      </c>
      <c r="N609">
        <v>24</v>
      </c>
      <c r="O609">
        <f>IF(Tickets[[#This Row],[Ticket Priority]]="Critical",24,
IF(Tickets[[#This Row],[Ticket Priority]]="High",48,
IF(Tickets[[#This Row],[Ticket Priority]]="Medium",120,168)))</f>
        <v>48</v>
      </c>
      <c r="P609" t="str">
        <f>IF(Tickets[[#This Row],[Resolution Duration Hours]] &lt;= Tickets[[#This Row],[SLA_Target_Hours]], "Yes", "No")</f>
        <v>Yes</v>
      </c>
    </row>
    <row r="610" spans="1:16" hidden="1">
      <c r="A610">
        <v>609</v>
      </c>
      <c r="B610" t="s">
        <v>619</v>
      </c>
      <c r="C610" t="s">
        <v>2592</v>
      </c>
      <c r="D610" t="s">
        <v>3996</v>
      </c>
      <c r="E610" s="1">
        <v>45020</v>
      </c>
      <c r="F610" t="s">
        <v>3999</v>
      </c>
      <c r="G610" t="s">
        <v>4004</v>
      </c>
      <c r="H610" t="s">
        <v>4020</v>
      </c>
      <c r="I610" t="s">
        <v>4023</v>
      </c>
      <c r="J610" t="s">
        <v>4026</v>
      </c>
      <c r="K610" s="2">
        <v>45114</v>
      </c>
      <c r="L610" s="2">
        <v>45116</v>
      </c>
      <c r="N610">
        <v>48</v>
      </c>
      <c r="O610">
        <f>IF(Tickets[[#This Row],[Ticket Priority]]="Critical",24,
IF(Tickets[[#This Row],[Ticket Priority]]="High",48,
IF(Tickets[[#This Row],[Ticket Priority]]="Medium",120,168)))</f>
        <v>120</v>
      </c>
      <c r="P610" t="str">
        <f>IF(Tickets[[#This Row],[Resolution Duration Hours]] &lt;= Tickets[[#This Row],[SLA_Target_Hours]], "Yes", "No")</f>
        <v>Yes</v>
      </c>
    </row>
    <row r="611" spans="1:16">
      <c r="A611">
        <v>104</v>
      </c>
      <c r="B611" t="s">
        <v>117</v>
      </c>
      <c r="C611" t="s">
        <v>2087</v>
      </c>
      <c r="D611" t="s">
        <v>3991</v>
      </c>
      <c r="E611" s="1">
        <v>44684</v>
      </c>
      <c r="F611" t="s">
        <v>3999</v>
      </c>
      <c r="G611" t="s">
        <v>4010</v>
      </c>
      <c r="H611" t="s">
        <v>4020</v>
      </c>
      <c r="I611" t="s">
        <v>4024</v>
      </c>
      <c r="J611" t="s">
        <v>4028</v>
      </c>
      <c r="K611" s="2">
        <v>44898</v>
      </c>
      <c r="L611" s="2">
        <v>44907</v>
      </c>
      <c r="N611">
        <v>216</v>
      </c>
      <c r="O611">
        <f>IF(Tickets[[#This Row],[Ticket Priority]]="Critical",24,
IF(Tickets[[#This Row],[Ticket Priority]]="High",48,
IF(Tickets[[#This Row],[Ticket Priority]]="Medium",120,168)))</f>
        <v>168</v>
      </c>
      <c r="P611" t="str">
        <f>IF(Tickets[[#This Row],[Resolution Duration Hours]] &lt;= Tickets[[#This Row],[SLA_Target_Hours]], "Yes", "No")</f>
        <v>No</v>
      </c>
    </row>
    <row r="612" spans="1:16" hidden="1">
      <c r="A612">
        <v>611</v>
      </c>
      <c r="B612" t="s">
        <v>621</v>
      </c>
      <c r="C612" t="s">
        <v>2594</v>
      </c>
      <c r="D612" t="s">
        <v>3983</v>
      </c>
      <c r="E612" s="1">
        <v>44853</v>
      </c>
      <c r="F612" t="s">
        <v>4000</v>
      </c>
      <c r="G612" t="s">
        <v>4009</v>
      </c>
      <c r="H612" t="s">
        <v>4017</v>
      </c>
      <c r="I612" t="s">
        <v>4024</v>
      </c>
      <c r="J612" t="s">
        <v>4026</v>
      </c>
      <c r="K612" s="2">
        <v>44881</v>
      </c>
      <c r="L612" s="2">
        <v>44887</v>
      </c>
      <c r="N612">
        <v>144</v>
      </c>
      <c r="O612">
        <f>IF(Tickets[[#This Row],[Ticket Priority]]="Critical",24,
IF(Tickets[[#This Row],[Ticket Priority]]="High",48,
IF(Tickets[[#This Row],[Ticket Priority]]="Medium",120,168)))</f>
        <v>168</v>
      </c>
      <c r="P612" t="str">
        <f>IF(Tickets[[#This Row],[Resolution Duration Hours]] &lt;= Tickets[[#This Row],[SLA_Target_Hours]], "Yes", "No")</f>
        <v>Yes</v>
      </c>
    </row>
    <row r="613" spans="1:16" hidden="1">
      <c r="A613">
        <v>612</v>
      </c>
      <c r="B613" t="s">
        <v>622</v>
      </c>
      <c r="C613" t="s">
        <v>2595</v>
      </c>
      <c r="D613" t="s">
        <v>3994</v>
      </c>
      <c r="E613" s="1">
        <v>44849</v>
      </c>
      <c r="F613" t="s">
        <v>3999</v>
      </c>
      <c r="G613" t="s">
        <v>4005</v>
      </c>
      <c r="H613" t="s">
        <v>4020</v>
      </c>
      <c r="I613" t="s">
        <v>4023</v>
      </c>
      <c r="J613" t="s">
        <v>4026</v>
      </c>
      <c r="K613" s="2">
        <v>45036</v>
      </c>
      <c r="L613" s="2">
        <v>45037</v>
      </c>
      <c r="N613">
        <v>24</v>
      </c>
      <c r="O613">
        <f>IF(Tickets[[#This Row],[Ticket Priority]]="Critical",24,
IF(Tickets[[#This Row],[Ticket Priority]]="High",48,
IF(Tickets[[#This Row],[Ticket Priority]]="Medium",120,168)))</f>
        <v>120</v>
      </c>
      <c r="P613" t="str">
        <f>IF(Tickets[[#This Row],[Resolution Duration Hours]] &lt;= Tickets[[#This Row],[SLA_Target_Hours]], "Yes", "No")</f>
        <v>Yes</v>
      </c>
    </row>
    <row r="614" spans="1:16" hidden="1">
      <c r="A614">
        <v>613</v>
      </c>
      <c r="B614" t="s">
        <v>623</v>
      </c>
      <c r="C614" t="s">
        <v>2596</v>
      </c>
      <c r="D614" t="s">
        <v>3991</v>
      </c>
      <c r="E614" s="1">
        <v>44404</v>
      </c>
      <c r="F614" t="s">
        <v>4002</v>
      </c>
      <c r="G614" t="s">
        <v>4007</v>
      </c>
      <c r="H614" t="s">
        <v>4018</v>
      </c>
      <c r="I614" t="s">
        <v>4024</v>
      </c>
      <c r="J614" t="s">
        <v>4025</v>
      </c>
      <c r="K614" s="2">
        <v>44462</v>
      </c>
      <c r="L614" s="2">
        <v>44469</v>
      </c>
      <c r="M614">
        <v>3</v>
      </c>
      <c r="N614">
        <v>168</v>
      </c>
      <c r="O614">
        <f>IF(Tickets[[#This Row],[Ticket Priority]]="Critical",24,
IF(Tickets[[#This Row],[Ticket Priority]]="High",48,
IF(Tickets[[#This Row],[Ticket Priority]]="Medium",120,168)))</f>
        <v>168</v>
      </c>
      <c r="P614" t="str">
        <f>IF(Tickets[[#This Row],[Resolution Duration Hours]] &lt;= Tickets[[#This Row],[SLA_Target_Hours]], "Yes", "No")</f>
        <v>Yes</v>
      </c>
    </row>
    <row r="615" spans="1:16" hidden="1">
      <c r="A615">
        <v>614</v>
      </c>
      <c r="B615" t="s">
        <v>624</v>
      </c>
      <c r="C615" t="s">
        <v>2597</v>
      </c>
      <c r="D615" t="s">
        <v>3990</v>
      </c>
      <c r="E615" s="1">
        <v>44166</v>
      </c>
      <c r="F615" t="s">
        <v>4001</v>
      </c>
      <c r="G615" t="s">
        <v>4011</v>
      </c>
      <c r="H615" t="s">
        <v>4018</v>
      </c>
      <c r="I615" t="s">
        <v>4023</v>
      </c>
      <c r="J615" t="s">
        <v>4028</v>
      </c>
      <c r="K615" s="2">
        <v>44423</v>
      </c>
      <c r="L615" s="2">
        <v>44428</v>
      </c>
      <c r="M615">
        <v>3</v>
      </c>
      <c r="N615">
        <v>120</v>
      </c>
      <c r="O615">
        <f>IF(Tickets[[#This Row],[Ticket Priority]]="Critical",24,
IF(Tickets[[#This Row],[Ticket Priority]]="High",48,
IF(Tickets[[#This Row],[Ticket Priority]]="Medium",120,168)))</f>
        <v>120</v>
      </c>
      <c r="P615" t="str">
        <f>IF(Tickets[[#This Row],[Resolution Duration Hours]] &lt;= Tickets[[#This Row],[SLA_Target_Hours]], "Yes", "No")</f>
        <v>Yes</v>
      </c>
    </row>
    <row r="616" spans="1:16" hidden="1">
      <c r="A616">
        <v>615</v>
      </c>
      <c r="B616" t="s">
        <v>625</v>
      </c>
      <c r="C616" t="s">
        <v>2598</v>
      </c>
      <c r="D616" t="s">
        <v>3991</v>
      </c>
      <c r="E616" s="1">
        <v>44217</v>
      </c>
      <c r="F616" t="s">
        <v>4002</v>
      </c>
      <c r="G616" t="s">
        <v>4006</v>
      </c>
      <c r="H616" t="s">
        <v>4019</v>
      </c>
      <c r="I616" t="s">
        <v>4023</v>
      </c>
      <c r="J616" t="s">
        <v>4027</v>
      </c>
      <c r="K616" s="2">
        <v>44366</v>
      </c>
      <c r="L616" s="2">
        <v>44369</v>
      </c>
      <c r="N616">
        <v>72</v>
      </c>
      <c r="O616">
        <f>IF(Tickets[[#This Row],[Ticket Priority]]="Critical",24,
IF(Tickets[[#This Row],[Ticket Priority]]="High",48,
IF(Tickets[[#This Row],[Ticket Priority]]="Medium",120,168)))</f>
        <v>120</v>
      </c>
      <c r="P616" t="str">
        <f>IF(Tickets[[#This Row],[Resolution Duration Hours]] &lt;= Tickets[[#This Row],[SLA_Target_Hours]], "Yes", "No")</f>
        <v>Yes</v>
      </c>
    </row>
    <row r="617" spans="1:16" hidden="1">
      <c r="A617">
        <v>616</v>
      </c>
      <c r="B617" t="s">
        <v>626</v>
      </c>
      <c r="C617" t="s">
        <v>2599</v>
      </c>
      <c r="D617" t="s">
        <v>3988</v>
      </c>
      <c r="E617" s="1">
        <v>44726</v>
      </c>
      <c r="F617" t="s">
        <v>4001</v>
      </c>
      <c r="G617" t="s">
        <v>4015</v>
      </c>
      <c r="H617" t="s">
        <v>4017</v>
      </c>
      <c r="I617" t="s">
        <v>4021</v>
      </c>
      <c r="J617" t="s">
        <v>4026</v>
      </c>
      <c r="K617" s="2">
        <v>44767</v>
      </c>
      <c r="L617" s="2">
        <v>44767</v>
      </c>
      <c r="N617">
        <v>0</v>
      </c>
      <c r="O617">
        <f>IF(Tickets[[#This Row],[Ticket Priority]]="Critical",24,
IF(Tickets[[#This Row],[Ticket Priority]]="High",48,
IF(Tickets[[#This Row],[Ticket Priority]]="Medium",120,168)))</f>
        <v>48</v>
      </c>
      <c r="P617" t="str">
        <f>IF(Tickets[[#This Row],[Resolution Duration Hours]] &lt;= Tickets[[#This Row],[SLA_Target_Hours]], "Yes", "No")</f>
        <v>Yes</v>
      </c>
    </row>
    <row r="618" spans="1:16" hidden="1">
      <c r="A618">
        <v>617</v>
      </c>
      <c r="B618" t="s">
        <v>627</v>
      </c>
      <c r="C618" t="s">
        <v>2600</v>
      </c>
      <c r="D618" t="s">
        <v>3985</v>
      </c>
      <c r="E618" s="1">
        <v>44615</v>
      </c>
      <c r="F618" t="s">
        <v>3998</v>
      </c>
      <c r="G618" t="s">
        <v>4006</v>
      </c>
      <c r="H618" t="s">
        <v>4017</v>
      </c>
      <c r="I618" t="s">
        <v>4021</v>
      </c>
      <c r="J618" t="s">
        <v>4026</v>
      </c>
      <c r="K618" s="2">
        <v>44869</v>
      </c>
      <c r="L618" s="2">
        <v>44870</v>
      </c>
      <c r="N618">
        <v>24</v>
      </c>
      <c r="O618">
        <f>IF(Tickets[[#This Row],[Ticket Priority]]="Critical",24,
IF(Tickets[[#This Row],[Ticket Priority]]="High",48,
IF(Tickets[[#This Row],[Ticket Priority]]="Medium",120,168)))</f>
        <v>48</v>
      </c>
      <c r="P618" t="str">
        <f>IF(Tickets[[#This Row],[Resolution Duration Hours]] &lt;= Tickets[[#This Row],[SLA_Target_Hours]], "Yes", "No")</f>
        <v>Yes</v>
      </c>
    </row>
    <row r="619" spans="1:16" hidden="1">
      <c r="A619">
        <v>618</v>
      </c>
      <c r="B619" t="s">
        <v>628</v>
      </c>
      <c r="C619" t="s">
        <v>2601</v>
      </c>
      <c r="D619" t="s">
        <v>3985</v>
      </c>
      <c r="E619" s="1">
        <v>44335</v>
      </c>
      <c r="F619" t="s">
        <v>4002</v>
      </c>
      <c r="G619" t="s">
        <v>4016</v>
      </c>
      <c r="H619" t="s">
        <v>4018</v>
      </c>
      <c r="I619" t="s">
        <v>4023</v>
      </c>
      <c r="J619" t="s">
        <v>4027</v>
      </c>
      <c r="K619" s="2">
        <v>44577</v>
      </c>
      <c r="L619" s="2">
        <v>44577</v>
      </c>
      <c r="N619">
        <v>0</v>
      </c>
      <c r="O619">
        <f>IF(Tickets[[#This Row],[Ticket Priority]]="Critical",24,
IF(Tickets[[#This Row],[Ticket Priority]]="High",48,
IF(Tickets[[#This Row],[Ticket Priority]]="Medium",120,168)))</f>
        <v>120</v>
      </c>
      <c r="P619" t="str">
        <f>IF(Tickets[[#This Row],[Resolution Duration Hours]] &lt;= Tickets[[#This Row],[SLA_Target_Hours]], "Yes", "No")</f>
        <v>Yes</v>
      </c>
    </row>
    <row r="620" spans="1:16" hidden="1">
      <c r="A620">
        <v>619</v>
      </c>
      <c r="B620" t="s">
        <v>629</v>
      </c>
      <c r="C620" t="s">
        <v>2602</v>
      </c>
      <c r="D620" t="s">
        <v>3983</v>
      </c>
      <c r="E620" s="1">
        <v>44413</v>
      </c>
      <c r="F620" t="s">
        <v>3998</v>
      </c>
      <c r="G620" t="s">
        <v>4011</v>
      </c>
      <c r="H620" t="s">
        <v>4018</v>
      </c>
      <c r="I620" t="s">
        <v>4024</v>
      </c>
      <c r="J620" t="s">
        <v>4028</v>
      </c>
      <c r="K620" s="2">
        <v>44623</v>
      </c>
      <c r="L620" s="2">
        <v>44625</v>
      </c>
      <c r="M620">
        <v>5</v>
      </c>
      <c r="N620">
        <v>48</v>
      </c>
      <c r="O620">
        <f>IF(Tickets[[#This Row],[Ticket Priority]]="Critical",24,
IF(Tickets[[#This Row],[Ticket Priority]]="High",48,
IF(Tickets[[#This Row],[Ticket Priority]]="Medium",120,168)))</f>
        <v>168</v>
      </c>
      <c r="P620" t="str">
        <f>IF(Tickets[[#This Row],[Resolution Duration Hours]] &lt;= Tickets[[#This Row],[SLA_Target_Hours]], "Yes", "No")</f>
        <v>Yes</v>
      </c>
    </row>
    <row r="621" spans="1:16" hidden="1">
      <c r="A621">
        <v>620</v>
      </c>
      <c r="B621" t="s">
        <v>630</v>
      </c>
      <c r="C621" t="s">
        <v>2603</v>
      </c>
      <c r="D621" t="s">
        <v>3980</v>
      </c>
      <c r="E621" s="1">
        <v>44959</v>
      </c>
      <c r="F621" t="s">
        <v>4001</v>
      </c>
      <c r="G621" t="s">
        <v>4014</v>
      </c>
      <c r="H621" t="s">
        <v>4018</v>
      </c>
      <c r="I621" t="s">
        <v>4023</v>
      </c>
      <c r="J621" t="s">
        <v>4026</v>
      </c>
      <c r="K621" s="2">
        <v>45026</v>
      </c>
      <c r="L621" s="2">
        <v>45031</v>
      </c>
      <c r="M621">
        <v>4</v>
      </c>
      <c r="N621">
        <v>120</v>
      </c>
      <c r="O621">
        <f>IF(Tickets[[#This Row],[Ticket Priority]]="Critical",24,
IF(Tickets[[#This Row],[Ticket Priority]]="High",48,
IF(Tickets[[#This Row],[Ticket Priority]]="Medium",120,168)))</f>
        <v>120</v>
      </c>
      <c r="P621" t="str">
        <f>IF(Tickets[[#This Row],[Resolution Duration Hours]] &lt;= Tickets[[#This Row],[SLA_Target_Hours]], "Yes", "No")</f>
        <v>Yes</v>
      </c>
    </row>
    <row r="622" spans="1:16" hidden="1">
      <c r="A622">
        <v>621</v>
      </c>
      <c r="B622" t="s">
        <v>631</v>
      </c>
      <c r="C622" t="s">
        <v>2604</v>
      </c>
      <c r="D622" t="s">
        <v>3984</v>
      </c>
      <c r="E622" s="1">
        <v>44175</v>
      </c>
      <c r="F622" t="s">
        <v>4002</v>
      </c>
      <c r="G622" t="s">
        <v>4014</v>
      </c>
      <c r="H622" t="s">
        <v>4018</v>
      </c>
      <c r="I622" t="s">
        <v>4021</v>
      </c>
      <c r="J622" t="s">
        <v>4025</v>
      </c>
      <c r="K622" s="2">
        <v>44260</v>
      </c>
      <c r="L622" s="2">
        <v>44261</v>
      </c>
      <c r="M622">
        <v>4</v>
      </c>
      <c r="N622">
        <v>24</v>
      </c>
      <c r="O622">
        <f>IF(Tickets[[#This Row],[Ticket Priority]]="Critical",24,
IF(Tickets[[#This Row],[Ticket Priority]]="High",48,
IF(Tickets[[#This Row],[Ticket Priority]]="Medium",120,168)))</f>
        <v>48</v>
      </c>
      <c r="P622" t="str">
        <f>IF(Tickets[[#This Row],[Resolution Duration Hours]] &lt;= Tickets[[#This Row],[SLA_Target_Hours]], "Yes", "No")</f>
        <v>Yes</v>
      </c>
    </row>
    <row r="623" spans="1:16" hidden="1">
      <c r="A623">
        <v>622</v>
      </c>
      <c r="B623" t="s">
        <v>632</v>
      </c>
      <c r="C623" t="s">
        <v>2605</v>
      </c>
      <c r="D623" t="s">
        <v>3994</v>
      </c>
      <c r="E623" s="1">
        <v>44718</v>
      </c>
      <c r="F623" t="s">
        <v>3999</v>
      </c>
      <c r="G623" t="s">
        <v>4014</v>
      </c>
      <c r="H623" t="s">
        <v>4018</v>
      </c>
      <c r="I623" t="s">
        <v>4023</v>
      </c>
      <c r="J623" t="s">
        <v>4028</v>
      </c>
      <c r="K623" s="2">
        <v>44880</v>
      </c>
      <c r="L623" s="2">
        <v>44883</v>
      </c>
      <c r="M623">
        <v>3</v>
      </c>
      <c r="N623">
        <v>72</v>
      </c>
      <c r="O623">
        <f>IF(Tickets[[#This Row],[Ticket Priority]]="Critical",24,
IF(Tickets[[#This Row],[Ticket Priority]]="High",48,
IF(Tickets[[#This Row],[Ticket Priority]]="Medium",120,168)))</f>
        <v>120</v>
      </c>
      <c r="P623" t="str">
        <f>IF(Tickets[[#This Row],[Resolution Duration Hours]] &lt;= Tickets[[#This Row],[SLA_Target_Hours]], "Yes", "No")</f>
        <v>Yes</v>
      </c>
    </row>
    <row r="624" spans="1:16">
      <c r="A624">
        <v>123</v>
      </c>
      <c r="B624" t="s">
        <v>136</v>
      </c>
      <c r="C624" t="s">
        <v>2106</v>
      </c>
      <c r="D624" t="s">
        <v>3986</v>
      </c>
      <c r="E624" s="1">
        <v>44602</v>
      </c>
      <c r="F624" t="s">
        <v>3999</v>
      </c>
      <c r="G624" t="s">
        <v>4012</v>
      </c>
      <c r="H624" t="s">
        <v>4019</v>
      </c>
      <c r="I624" t="s">
        <v>4024</v>
      </c>
      <c r="J624" t="s">
        <v>4025</v>
      </c>
      <c r="K624" s="2">
        <v>44625</v>
      </c>
      <c r="L624" s="2">
        <v>44634</v>
      </c>
      <c r="M624">
        <v>3</v>
      </c>
      <c r="N624">
        <v>216</v>
      </c>
      <c r="O624">
        <f>IF(Tickets[[#This Row],[Ticket Priority]]="Critical",24,
IF(Tickets[[#This Row],[Ticket Priority]]="High",48,
IF(Tickets[[#This Row],[Ticket Priority]]="Medium",120,168)))</f>
        <v>168</v>
      </c>
      <c r="P624" t="str">
        <f>IF(Tickets[[#This Row],[Resolution Duration Hours]] &lt;= Tickets[[#This Row],[SLA_Target_Hours]], "Yes", "No")</f>
        <v>No</v>
      </c>
    </row>
    <row r="625" spans="1:16" hidden="1">
      <c r="A625">
        <v>624</v>
      </c>
      <c r="B625" t="s">
        <v>634</v>
      </c>
      <c r="C625" t="s">
        <v>2607</v>
      </c>
      <c r="D625" t="s">
        <v>3987</v>
      </c>
      <c r="E625" s="1">
        <v>44099</v>
      </c>
      <c r="F625" t="s">
        <v>3998</v>
      </c>
      <c r="G625" t="s">
        <v>4013</v>
      </c>
      <c r="H625" t="s">
        <v>4018</v>
      </c>
      <c r="I625" t="s">
        <v>4023</v>
      </c>
      <c r="J625" t="s">
        <v>4027</v>
      </c>
      <c r="K625" s="2">
        <v>44379</v>
      </c>
      <c r="L625" s="2">
        <v>44384</v>
      </c>
      <c r="M625">
        <v>4</v>
      </c>
      <c r="N625">
        <v>120</v>
      </c>
      <c r="O625">
        <f>IF(Tickets[[#This Row],[Ticket Priority]]="Critical",24,
IF(Tickets[[#This Row],[Ticket Priority]]="High",48,
IF(Tickets[[#This Row],[Ticket Priority]]="Medium",120,168)))</f>
        <v>120</v>
      </c>
      <c r="P625" t="str">
        <f>IF(Tickets[[#This Row],[Resolution Duration Hours]] &lt;= Tickets[[#This Row],[SLA_Target_Hours]], "Yes", "No")</f>
        <v>Yes</v>
      </c>
    </row>
    <row r="626" spans="1:16" hidden="1">
      <c r="A626">
        <v>625</v>
      </c>
      <c r="B626" t="s">
        <v>635</v>
      </c>
      <c r="C626" t="s">
        <v>2608</v>
      </c>
      <c r="D626" t="s">
        <v>3980</v>
      </c>
      <c r="E626" s="1">
        <v>44726</v>
      </c>
      <c r="F626" t="s">
        <v>4001</v>
      </c>
      <c r="G626" t="s">
        <v>4012</v>
      </c>
      <c r="H626" t="s">
        <v>4017</v>
      </c>
      <c r="I626" t="s">
        <v>4021</v>
      </c>
      <c r="J626" t="s">
        <v>4028</v>
      </c>
      <c r="K626" s="2">
        <v>44952</v>
      </c>
      <c r="L626" s="2">
        <v>44954</v>
      </c>
      <c r="N626">
        <v>48</v>
      </c>
      <c r="O626">
        <f>IF(Tickets[[#This Row],[Ticket Priority]]="Critical",24,
IF(Tickets[[#This Row],[Ticket Priority]]="High",48,
IF(Tickets[[#This Row],[Ticket Priority]]="Medium",120,168)))</f>
        <v>48</v>
      </c>
      <c r="P626" t="str">
        <f>IF(Tickets[[#This Row],[Resolution Duration Hours]] &lt;= Tickets[[#This Row],[SLA_Target_Hours]], "Yes", "No")</f>
        <v>Yes</v>
      </c>
    </row>
    <row r="627" spans="1:16" hidden="1">
      <c r="A627">
        <v>626</v>
      </c>
      <c r="B627" t="s">
        <v>636</v>
      </c>
      <c r="C627" t="s">
        <v>2609</v>
      </c>
      <c r="D627" t="s">
        <v>3987</v>
      </c>
      <c r="E627" s="1">
        <v>45027</v>
      </c>
      <c r="F627" t="s">
        <v>3998</v>
      </c>
      <c r="G627" t="s">
        <v>4005</v>
      </c>
      <c r="H627" t="s">
        <v>4018</v>
      </c>
      <c r="I627" t="s">
        <v>4021</v>
      </c>
      <c r="J627" t="s">
        <v>4026</v>
      </c>
      <c r="K627" s="2">
        <v>45232</v>
      </c>
      <c r="L627" s="2">
        <v>45234</v>
      </c>
      <c r="M627">
        <v>2</v>
      </c>
      <c r="N627">
        <v>48</v>
      </c>
      <c r="O627">
        <f>IF(Tickets[[#This Row],[Ticket Priority]]="Critical",24,
IF(Tickets[[#This Row],[Ticket Priority]]="High",48,
IF(Tickets[[#This Row],[Ticket Priority]]="Medium",120,168)))</f>
        <v>48</v>
      </c>
      <c r="P627" t="str">
        <f>IF(Tickets[[#This Row],[Resolution Duration Hours]] &lt;= Tickets[[#This Row],[SLA_Target_Hours]], "Yes", "No")</f>
        <v>Yes</v>
      </c>
    </row>
    <row r="628" spans="1:16" hidden="1">
      <c r="A628">
        <v>627</v>
      </c>
      <c r="B628" t="s">
        <v>637</v>
      </c>
      <c r="C628" t="s">
        <v>2610</v>
      </c>
      <c r="D628" t="s">
        <v>3990</v>
      </c>
      <c r="E628" s="1">
        <v>44304</v>
      </c>
      <c r="F628" t="s">
        <v>4002</v>
      </c>
      <c r="G628" t="s">
        <v>4011</v>
      </c>
      <c r="H628" t="s">
        <v>4018</v>
      </c>
      <c r="I628" t="s">
        <v>4023</v>
      </c>
      <c r="J628" t="s">
        <v>4028</v>
      </c>
      <c r="K628" s="2">
        <v>44404</v>
      </c>
      <c r="L628" s="2">
        <v>44407</v>
      </c>
      <c r="M628">
        <v>3</v>
      </c>
      <c r="N628">
        <v>72</v>
      </c>
      <c r="O628">
        <f>IF(Tickets[[#This Row],[Ticket Priority]]="Critical",24,
IF(Tickets[[#This Row],[Ticket Priority]]="High",48,
IF(Tickets[[#This Row],[Ticket Priority]]="Medium",120,168)))</f>
        <v>120</v>
      </c>
      <c r="P628" t="str">
        <f>IF(Tickets[[#This Row],[Resolution Duration Hours]] &lt;= Tickets[[#This Row],[SLA_Target_Hours]], "Yes", "No")</f>
        <v>Yes</v>
      </c>
    </row>
    <row r="629" spans="1:16" hidden="1">
      <c r="A629">
        <v>628</v>
      </c>
      <c r="B629" t="s">
        <v>638</v>
      </c>
      <c r="C629" t="s">
        <v>2611</v>
      </c>
      <c r="D629" t="s">
        <v>3997</v>
      </c>
      <c r="E629" s="1">
        <v>44877</v>
      </c>
      <c r="F629" t="s">
        <v>3999</v>
      </c>
      <c r="G629" t="s">
        <v>4007</v>
      </c>
      <c r="H629" t="s">
        <v>4018</v>
      </c>
      <c r="I629" t="s">
        <v>4023</v>
      </c>
      <c r="J629" t="s">
        <v>4026</v>
      </c>
      <c r="K629" s="2">
        <v>44905</v>
      </c>
      <c r="L629" s="2">
        <v>44907</v>
      </c>
      <c r="M629">
        <v>4</v>
      </c>
      <c r="N629">
        <v>48</v>
      </c>
      <c r="O629">
        <f>IF(Tickets[[#This Row],[Ticket Priority]]="Critical",24,
IF(Tickets[[#This Row],[Ticket Priority]]="High",48,
IF(Tickets[[#This Row],[Ticket Priority]]="Medium",120,168)))</f>
        <v>120</v>
      </c>
      <c r="P629" t="str">
        <f>IF(Tickets[[#This Row],[Resolution Duration Hours]] &lt;= Tickets[[#This Row],[SLA_Target_Hours]], "Yes", "No")</f>
        <v>Yes</v>
      </c>
    </row>
    <row r="630" spans="1:16">
      <c r="A630">
        <v>147</v>
      </c>
      <c r="B630" t="s">
        <v>160</v>
      </c>
      <c r="C630" t="s">
        <v>2130</v>
      </c>
      <c r="D630" t="s">
        <v>3988</v>
      </c>
      <c r="E630" s="1">
        <v>44477</v>
      </c>
      <c r="F630" t="s">
        <v>3999</v>
      </c>
      <c r="G630" t="s">
        <v>4005</v>
      </c>
      <c r="H630" t="s">
        <v>4018</v>
      </c>
      <c r="I630" t="s">
        <v>4024</v>
      </c>
      <c r="J630" t="s">
        <v>4026</v>
      </c>
      <c r="K630" s="2">
        <v>44486</v>
      </c>
      <c r="L630" s="2">
        <v>44495</v>
      </c>
      <c r="M630">
        <v>3</v>
      </c>
      <c r="N630">
        <v>216</v>
      </c>
      <c r="O630">
        <f>IF(Tickets[[#This Row],[Ticket Priority]]="Critical",24,
IF(Tickets[[#This Row],[Ticket Priority]]="High",48,
IF(Tickets[[#This Row],[Ticket Priority]]="Medium",120,168)))</f>
        <v>168</v>
      </c>
      <c r="P630" t="str">
        <f>IF(Tickets[[#This Row],[Resolution Duration Hours]] &lt;= Tickets[[#This Row],[SLA_Target_Hours]], "Yes", "No")</f>
        <v>No</v>
      </c>
    </row>
    <row r="631" spans="1:16" hidden="1">
      <c r="A631">
        <v>630</v>
      </c>
      <c r="B631" t="s">
        <v>640</v>
      </c>
      <c r="C631" t="s">
        <v>2613</v>
      </c>
      <c r="D631" t="s">
        <v>3995</v>
      </c>
      <c r="E631" s="1">
        <v>44610</v>
      </c>
      <c r="F631" t="s">
        <v>3999</v>
      </c>
      <c r="G631" t="s">
        <v>4003</v>
      </c>
      <c r="H631" t="s">
        <v>4019</v>
      </c>
      <c r="I631" t="s">
        <v>4023</v>
      </c>
      <c r="J631" t="s">
        <v>4028</v>
      </c>
      <c r="K631" s="2">
        <v>44681</v>
      </c>
      <c r="L631" s="2">
        <v>44686</v>
      </c>
      <c r="N631">
        <v>120</v>
      </c>
      <c r="O631">
        <f>IF(Tickets[[#This Row],[Ticket Priority]]="Critical",24,
IF(Tickets[[#This Row],[Ticket Priority]]="High",48,
IF(Tickets[[#This Row],[Ticket Priority]]="Medium",120,168)))</f>
        <v>120</v>
      </c>
      <c r="P631" t="str">
        <f>IF(Tickets[[#This Row],[Resolution Duration Hours]] &lt;= Tickets[[#This Row],[SLA_Target_Hours]], "Yes", "No")</f>
        <v>Yes</v>
      </c>
    </row>
    <row r="632" spans="1:16" hidden="1">
      <c r="A632">
        <v>631</v>
      </c>
      <c r="B632" t="s">
        <v>641</v>
      </c>
      <c r="C632" t="s">
        <v>2614</v>
      </c>
      <c r="D632" t="s">
        <v>3980</v>
      </c>
      <c r="E632" s="1">
        <v>44844</v>
      </c>
      <c r="F632" t="s">
        <v>4002</v>
      </c>
      <c r="G632" t="s">
        <v>4005</v>
      </c>
      <c r="H632" t="s">
        <v>4018</v>
      </c>
      <c r="I632" t="s">
        <v>4023</v>
      </c>
      <c r="J632" t="s">
        <v>4025</v>
      </c>
      <c r="K632" s="2">
        <v>45036</v>
      </c>
      <c r="L632" s="2">
        <v>45039</v>
      </c>
      <c r="M632">
        <v>4</v>
      </c>
      <c r="N632">
        <v>72</v>
      </c>
      <c r="O632">
        <f>IF(Tickets[[#This Row],[Ticket Priority]]="Critical",24,
IF(Tickets[[#This Row],[Ticket Priority]]="High",48,
IF(Tickets[[#This Row],[Ticket Priority]]="Medium",120,168)))</f>
        <v>120</v>
      </c>
      <c r="P632" t="str">
        <f>IF(Tickets[[#This Row],[Resolution Duration Hours]] &lt;= Tickets[[#This Row],[SLA_Target_Hours]], "Yes", "No")</f>
        <v>Yes</v>
      </c>
    </row>
    <row r="633" spans="1:16" hidden="1">
      <c r="A633">
        <v>632</v>
      </c>
      <c r="B633" t="s">
        <v>642</v>
      </c>
      <c r="C633" t="s">
        <v>2615</v>
      </c>
      <c r="D633" t="s">
        <v>3996</v>
      </c>
      <c r="E633" s="1">
        <v>44333</v>
      </c>
      <c r="F633" t="s">
        <v>4000</v>
      </c>
      <c r="G633" t="s">
        <v>4005</v>
      </c>
      <c r="H633" t="s">
        <v>4018</v>
      </c>
      <c r="I633" t="s">
        <v>4022</v>
      </c>
      <c r="J633" t="s">
        <v>4028</v>
      </c>
      <c r="K633" s="2">
        <v>44481</v>
      </c>
      <c r="L633" s="2">
        <v>44482</v>
      </c>
      <c r="M633">
        <v>5</v>
      </c>
      <c r="N633">
        <v>24</v>
      </c>
      <c r="O633">
        <f>IF(Tickets[[#This Row],[Ticket Priority]]="Critical",24,
IF(Tickets[[#This Row],[Ticket Priority]]="High",48,
IF(Tickets[[#This Row],[Ticket Priority]]="Medium",120,168)))</f>
        <v>24</v>
      </c>
      <c r="P633" t="str">
        <f>IF(Tickets[[#This Row],[Resolution Duration Hours]] &lt;= Tickets[[#This Row],[SLA_Target_Hours]], "Yes", "No")</f>
        <v>Yes</v>
      </c>
    </row>
    <row r="634" spans="1:16" hidden="1">
      <c r="A634">
        <v>633</v>
      </c>
      <c r="B634" t="s">
        <v>643</v>
      </c>
      <c r="C634" t="s">
        <v>2616</v>
      </c>
      <c r="D634" t="s">
        <v>3987</v>
      </c>
      <c r="E634" s="1">
        <v>44329</v>
      </c>
      <c r="F634" t="s">
        <v>4000</v>
      </c>
      <c r="G634" t="s">
        <v>4014</v>
      </c>
      <c r="H634" t="s">
        <v>4018</v>
      </c>
      <c r="I634" t="s">
        <v>4024</v>
      </c>
      <c r="J634" t="s">
        <v>4027</v>
      </c>
      <c r="K634" s="2">
        <v>44407</v>
      </c>
      <c r="L634" s="2">
        <v>44414</v>
      </c>
      <c r="M634">
        <v>3</v>
      </c>
      <c r="N634">
        <v>168</v>
      </c>
      <c r="O634">
        <f>IF(Tickets[[#This Row],[Ticket Priority]]="Critical",24,
IF(Tickets[[#This Row],[Ticket Priority]]="High",48,
IF(Tickets[[#This Row],[Ticket Priority]]="Medium",120,168)))</f>
        <v>168</v>
      </c>
      <c r="P634" t="str">
        <f>IF(Tickets[[#This Row],[Resolution Duration Hours]] &lt;= Tickets[[#This Row],[SLA_Target_Hours]], "Yes", "No")</f>
        <v>Yes</v>
      </c>
    </row>
    <row r="635" spans="1:16" hidden="1">
      <c r="A635">
        <v>634</v>
      </c>
      <c r="B635" t="s">
        <v>644</v>
      </c>
      <c r="C635" t="s">
        <v>2617</v>
      </c>
      <c r="D635" t="s">
        <v>3993</v>
      </c>
      <c r="E635" s="1">
        <v>44799</v>
      </c>
      <c r="F635" t="s">
        <v>3998</v>
      </c>
      <c r="G635" t="s">
        <v>4011</v>
      </c>
      <c r="H635" t="s">
        <v>4017</v>
      </c>
      <c r="I635" t="s">
        <v>4023</v>
      </c>
      <c r="J635" t="s">
        <v>4025</v>
      </c>
      <c r="K635" s="2">
        <v>44813</v>
      </c>
      <c r="L635" s="2">
        <v>44818</v>
      </c>
      <c r="N635">
        <v>120</v>
      </c>
      <c r="O635">
        <f>IF(Tickets[[#This Row],[Ticket Priority]]="Critical",24,
IF(Tickets[[#This Row],[Ticket Priority]]="High",48,
IF(Tickets[[#This Row],[Ticket Priority]]="Medium",120,168)))</f>
        <v>120</v>
      </c>
      <c r="P635" t="str">
        <f>IF(Tickets[[#This Row],[Resolution Duration Hours]] &lt;= Tickets[[#This Row],[SLA_Target_Hours]], "Yes", "No")</f>
        <v>Yes</v>
      </c>
    </row>
    <row r="636" spans="1:16" hidden="1">
      <c r="A636">
        <v>635</v>
      </c>
      <c r="B636" t="s">
        <v>645</v>
      </c>
      <c r="C636" t="s">
        <v>2618</v>
      </c>
      <c r="D636" t="s">
        <v>3980</v>
      </c>
      <c r="E636" s="1">
        <v>43964</v>
      </c>
      <c r="F636" t="s">
        <v>3998</v>
      </c>
      <c r="G636" t="s">
        <v>4010</v>
      </c>
      <c r="H636" t="s">
        <v>4018</v>
      </c>
      <c r="I636" t="s">
        <v>4023</v>
      </c>
      <c r="J636" t="s">
        <v>4028</v>
      </c>
      <c r="K636" s="2">
        <v>44187</v>
      </c>
      <c r="L636" s="2">
        <v>44191</v>
      </c>
      <c r="M636">
        <v>5</v>
      </c>
      <c r="N636">
        <v>96</v>
      </c>
      <c r="O636">
        <f>IF(Tickets[[#This Row],[Ticket Priority]]="Critical",24,
IF(Tickets[[#This Row],[Ticket Priority]]="High",48,
IF(Tickets[[#This Row],[Ticket Priority]]="Medium",120,168)))</f>
        <v>120</v>
      </c>
      <c r="P636" t="str">
        <f>IF(Tickets[[#This Row],[Resolution Duration Hours]] &lt;= Tickets[[#This Row],[SLA_Target_Hours]], "Yes", "No")</f>
        <v>Yes</v>
      </c>
    </row>
    <row r="637" spans="1:16" hidden="1">
      <c r="A637">
        <v>636</v>
      </c>
      <c r="B637" t="s">
        <v>646</v>
      </c>
      <c r="C637" t="s">
        <v>2619</v>
      </c>
      <c r="D637" t="s">
        <v>3982</v>
      </c>
      <c r="E637" s="1">
        <v>44364</v>
      </c>
      <c r="F637" t="s">
        <v>3999</v>
      </c>
      <c r="G637" t="s">
        <v>4007</v>
      </c>
      <c r="H637" t="s">
        <v>4017</v>
      </c>
      <c r="I637" t="s">
        <v>4023</v>
      </c>
      <c r="J637" t="s">
        <v>4026</v>
      </c>
      <c r="K637" s="2">
        <v>44661</v>
      </c>
      <c r="L637" s="2">
        <v>44666</v>
      </c>
      <c r="N637">
        <v>120</v>
      </c>
      <c r="O637">
        <f>IF(Tickets[[#This Row],[Ticket Priority]]="Critical",24,
IF(Tickets[[#This Row],[Ticket Priority]]="High",48,
IF(Tickets[[#This Row],[Ticket Priority]]="Medium",120,168)))</f>
        <v>120</v>
      </c>
      <c r="P637" t="str">
        <f>IF(Tickets[[#This Row],[Resolution Duration Hours]] &lt;= Tickets[[#This Row],[SLA_Target_Hours]], "Yes", "No")</f>
        <v>Yes</v>
      </c>
    </row>
    <row r="638" spans="1:16" hidden="1">
      <c r="A638">
        <v>637</v>
      </c>
      <c r="B638" t="s">
        <v>647</v>
      </c>
      <c r="C638" t="s">
        <v>2620</v>
      </c>
      <c r="D638" t="s">
        <v>3995</v>
      </c>
      <c r="E638" s="1">
        <v>44147</v>
      </c>
      <c r="F638" t="s">
        <v>4002</v>
      </c>
      <c r="G638" t="s">
        <v>4008</v>
      </c>
      <c r="H638" t="s">
        <v>4019</v>
      </c>
      <c r="I638" t="s">
        <v>4023</v>
      </c>
      <c r="J638" t="s">
        <v>4028</v>
      </c>
      <c r="K638" s="2">
        <v>44472</v>
      </c>
      <c r="L638" s="2">
        <v>44477</v>
      </c>
      <c r="M638">
        <v>4</v>
      </c>
      <c r="N638">
        <v>120</v>
      </c>
      <c r="O638">
        <f>IF(Tickets[[#This Row],[Ticket Priority]]="Critical",24,
IF(Tickets[[#This Row],[Ticket Priority]]="High",48,
IF(Tickets[[#This Row],[Ticket Priority]]="Medium",120,168)))</f>
        <v>120</v>
      </c>
      <c r="P638" t="str">
        <f>IF(Tickets[[#This Row],[Resolution Duration Hours]] &lt;= Tickets[[#This Row],[SLA_Target_Hours]], "Yes", "No")</f>
        <v>Yes</v>
      </c>
    </row>
    <row r="639" spans="1:16">
      <c r="A639">
        <v>189</v>
      </c>
      <c r="B639" t="s">
        <v>202</v>
      </c>
      <c r="C639" t="s">
        <v>2172</v>
      </c>
      <c r="D639" t="s">
        <v>3988</v>
      </c>
      <c r="E639" s="1">
        <v>45064</v>
      </c>
      <c r="F639" t="s">
        <v>3998</v>
      </c>
      <c r="G639" t="s">
        <v>4015</v>
      </c>
      <c r="H639" t="s">
        <v>4020</v>
      </c>
      <c r="I639" t="s">
        <v>4024</v>
      </c>
      <c r="J639" t="s">
        <v>4026</v>
      </c>
      <c r="K639" s="2">
        <v>45241</v>
      </c>
      <c r="L639" s="2">
        <v>45250</v>
      </c>
      <c r="N639">
        <v>216</v>
      </c>
      <c r="O639">
        <f>IF(Tickets[[#This Row],[Ticket Priority]]="Critical",24,
IF(Tickets[[#This Row],[Ticket Priority]]="High",48,
IF(Tickets[[#This Row],[Ticket Priority]]="Medium",120,168)))</f>
        <v>168</v>
      </c>
      <c r="P639" t="str">
        <f>IF(Tickets[[#This Row],[Resolution Duration Hours]] &lt;= Tickets[[#This Row],[SLA_Target_Hours]], "Yes", "No")</f>
        <v>No</v>
      </c>
    </row>
    <row r="640" spans="1:16">
      <c r="A640">
        <v>215</v>
      </c>
      <c r="B640" t="s">
        <v>228</v>
      </c>
      <c r="C640" t="s">
        <v>2198</v>
      </c>
      <c r="D640" t="s">
        <v>3984</v>
      </c>
      <c r="E640" s="1">
        <v>44637</v>
      </c>
      <c r="F640" t="s">
        <v>4001</v>
      </c>
      <c r="G640" t="s">
        <v>4005</v>
      </c>
      <c r="H640" t="s">
        <v>4018</v>
      </c>
      <c r="I640" t="s">
        <v>4024</v>
      </c>
      <c r="J640" t="s">
        <v>4028</v>
      </c>
      <c r="K640" s="2">
        <v>44826</v>
      </c>
      <c r="L640" s="2">
        <v>44835</v>
      </c>
      <c r="M640">
        <v>4</v>
      </c>
      <c r="N640">
        <v>216</v>
      </c>
      <c r="O640">
        <f>IF(Tickets[[#This Row],[Ticket Priority]]="Critical",24,
IF(Tickets[[#This Row],[Ticket Priority]]="High",48,
IF(Tickets[[#This Row],[Ticket Priority]]="Medium",120,168)))</f>
        <v>168</v>
      </c>
      <c r="P640" t="str">
        <f>IF(Tickets[[#This Row],[Resolution Duration Hours]] &lt;= Tickets[[#This Row],[SLA_Target_Hours]], "Yes", "No")</f>
        <v>No</v>
      </c>
    </row>
    <row r="641" spans="1:16">
      <c r="A641">
        <v>268</v>
      </c>
      <c r="B641" t="s">
        <v>281</v>
      </c>
      <c r="C641" t="s">
        <v>2251</v>
      </c>
      <c r="D641" t="s">
        <v>3980</v>
      </c>
      <c r="E641" s="1">
        <v>44195</v>
      </c>
      <c r="F641" t="s">
        <v>4000</v>
      </c>
      <c r="G641" t="s">
        <v>4010</v>
      </c>
      <c r="H641" t="s">
        <v>4017</v>
      </c>
      <c r="I641" t="s">
        <v>4024</v>
      </c>
      <c r="J641" t="s">
        <v>4028</v>
      </c>
      <c r="K641" s="2">
        <v>44443</v>
      </c>
      <c r="L641" s="2">
        <v>44452</v>
      </c>
      <c r="N641">
        <v>216</v>
      </c>
      <c r="O641">
        <f>IF(Tickets[[#This Row],[Ticket Priority]]="Critical",24,
IF(Tickets[[#This Row],[Ticket Priority]]="High",48,
IF(Tickets[[#This Row],[Ticket Priority]]="Medium",120,168)))</f>
        <v>168</v>
      </c>
      <c r="P641" t="str">
        <f>IF(Tickets[[#This Row],[Resolution Duration Hours]] &lt;= Tickets[[#This Row],[SLA_Target_Hours]], "Yes", "No")</f>
        <v>No</v>
      </c>
    </row>
    <row r="642" spans="1:16">
      <c r="A642">
        <v>360</v>
      </c>
      <c r="B642" t="s">
        <v>373</v>
      </c>
      <c r="C642" t="s">
        <v>2343</v>
      </c>
      <c r="D642" t="s">
        <v>3992</v>
      </c>
      <c r="E642" s="1">
        <v>43920</v>
      </c>
      <c r="F642" t="s">
        <v>4002</v>
      </c>
      <c r="G642" t="s">
        <v>4010</v>
      </c>
      <c r="H642" t="s">
        <v>4018</v>
      </c>
      <c r="I642" t="s">
        <v>4024</v>
      </c>
      <c r="J642" t="s">
        <v>4026</v>
      </c>
      <c r="K642" s="2">
        <v>44021</v>
      </c>
      <c r="L642" s="2">
        <v>44030</v>
      </c>
      <c r="M642">
        <v>2</v>
      </c>
      <c r="N642">
        <v>216</v>
      </c>
      <c r="O642">
        <f>IF(Tickets[[#This Row],[Ticket Priority]]="Critical",24,
IF(Tickets[[#This Row],[Ticket Priority]]="High",48,
IF(Tickets[[#This Row],[Ticket Priority]]="Medium",120,168)))</f>
        <v>168</v>
      </c>
      <c r="P642" t="str">
        <f>IF(Tickets[[#This Row],[Resolution Duration Hours]] &lt;= Tickets[[#This Row],[SLA_Target_Hours]], "Yes", "No")</f>
        <v>No</v>
      </c>
    </row>
    <row r="643" spans="1:16" hidden="1">
      <c r="A643">
        <v>642</v>
      </c>
      <c r="B643" t="s">
        <v>652</v>
      </c>
      <c r="C643" t="s">
        <v>2625</v>
      </c>
      <c r="D643" t="s">
        <v>3983</v>
      </c>
      <c r="E643" s="1">
        <v>44701</v>
      </c>
      <c r="F643" t="s">
        <v>4002</v>
      </c>
      <c r="G643" t="s">
        <v>4012</v>
      </c>
      <c r="H643" t="s">
        <v>4020</v>
      </c>
      <c r="I643" t="s">
        <v>4022</v>
      </c>
      <c r="J643" t="s">
        <v>4026</v>
      </c>
      <c r="K643" s="2">
        <v>44789</v>
      </c>
      <c r="L643" s="2">
        <v>44789</v>
      </c>
      <c r="N643">
        <v>0</v>
      </c>
      <c r="O643">
        <f>IF(Tickets[[#This Row],[Ticket Priority]]="Critical",24,
IF(Tickets[[#This Row],[Ticket Priority]]="High",48,
IF(Tickets[[#This Row],[Ticket Priority]]="Medium",120,168)))</f>
        <v>24</v>
      </c>
      <c r="P643" t="str">
        <f>IF(Tickets[[#This Row],[Resolution Duration Hours]] &lt;= Tickets[[#This Row],[SLA_Target_Hours]], "Yes", "No")</f>
        <v>Yes</v>
      </c>
    </row>
    <row r="644" spans="1:16" hidden="1">
      <c r="A644">
        <v>643</v>
      </c>
      <c r="B644" t="s">
        <v>653</v>
      </c>
      <c r="C644" t="s">
        <v>2626</v>
      </c>
      <c r="D644" t="s">
        <v>3985</v>
      </c>
      <c r="E644" s="1">
        <v>44369</v>
      </c>
      <c r="F644" t="s">
        <v>4000</v>
      </c>
      <c r="G644" t="s">
        <v>4010</v>
      </c>
      <c r="H644" t="s">
        <v>4018</v>
      </c>
      <c r="I644" t="s">
        <v>4021</v>
      </c>
      <c r="J644" t="s">
        <v>4025</v>
      </c>
      <c r="K644" s="2">
        <v>44476</v>
      </c>
      <c r="L644" s="2">
        <v>44477</v>
      </c>
      <c r="M644">
        <v>4</v>
      </c>
      <c r="N644">
        <v>24</v>
      </c>
      <c r="O644">
        <f>IF(Tickets[[#This Row],[Ticket Priority]]="Critical",24,
IF(Tickets[[#This Row],[Ticket Priority]]="High",48,
IF(Tickets[[#This Row],[Ticket Priority]]="Medium",120,168)))</f>
        <v>48</v>
      </c>
      <c r="P644" t="str">
        <f>IF(Tickets[[#This Row],[Resolution Duration Hours]] &lt;= Tickets[[#This Row],[SLA_Target_Hours]], "Yes", "No")</f>
        <v>Yes</v>
      </c>
    </row>
    <row r="645" spans="1:16" hidden="1">
      <c r="A645">
        <v>644</v>
      </c>
      <c r="B645" t="s">
        <v>654</v>
      </c>
      <c r="C645" t="s">
        <v>2627</v>
      </c>
      <c r="D645" t="s">
        <v>3994</v>
      </c>
      <c r="E645" s="1">
        <v>44693</v>
      </c>
      <c r="F645" t="s">
        <v>4001</v>
      </c>
      <c r="G645" t="s">
        <v>4008</v>
      </c>
      <c r="H645" t="s">
        <v>4018</v>
      </c>
      <c r="I645" t="s">
        <v>4022</v>
      </c>
      <c r="J645" t="s">
        <v>4028</v>
      </c>
      <c r="K645" s="2">
        <v>45030</v>
      </c>
      <c r="L645" s="2">
        <v>45031</v>
      </c>
      <c r="M645">
        <v>4</v>
      </c>
      <c r="N645">
        <v>24</v>
      </c>
      <c r="O645">
        <f>IF(Tickets[[#This Row],[Ticket Priority]]="Critical",24,
IF(Tickets[[#This Row],[Ticket Priority]]="High",48,
IF(Tickets[[#This Row],[Ticket Priority]]="Medium",120,168)))</f>
        <v>24</v>
      </c>
      <c r="P645" t="str">
        <f>IF(Tickets[[#This Row],[Resolution Duration Hours]] &lt;= Tickets[[#This Row],[SLA_Target_Hours]], "Yes", "No")</f>
        <v>Yes</v>
      </c>
    </row>
    <row r="646" spans="1:16" hidden="1">
      <c r="A646">
        <v>645</v>
      </c>
      <c r="B646" t="s">
        <v>655</v>
      </c>
      <c r="C646" t="s">
        <v>2628</v>
      </c>
      <c r="D646" t="s">
        <v>3989</v>
      </c>
      <c r="E646" s="1">
        <v>44424</v>
      </c>
      <c r="F646" t="s">
        <v>3999</v>
      </c>
      <c r="G646" t="s">
        <v>4009</v>
      </c>
      <c r="H646" t="s">
        <v>4017</v>
      </c>
      <c r="I646" t="s">
        <v>4021</v>
      </c>
      <c r="J646" t="s">
        <v>4025</v>
      </c>
      <c r="K646" s="2">
        <v>44724</v>
      </c>
      <c r="L646" s="2">
        <v>44725</v>
      </c>
      <c r="N646">
        <v>24</v>
      </c>
      <c r="O646">
        <f>IF(Tickets[[#This Row],[Ticket Priority]]="Critical",24,
IF(Tickets[[#This Row],[Ticket Priority]]="High",48,
IF(Tickets[[#This Row],[Ticket Priority]]="Medium",120,168)))</f>
        <v>48</v>
      </c>
      <c r="P646" t="str">
        <f>IF(Tickets[[#This Row],[Resolution Duration Hours]] &lt;= Tickets[[#This Row],[SLA_Target_Hours]], "Yes", "No")</f>
        <v>Yes</v>
      </c>
    </row>
    <row r="647" spans="1:16">
      <c r="A647">
        <v>369</v>
      </c>
      <c r="B647" t="s">
        <v>382</v>
      </c>
      <c r="C647" t="s">
        <v>2352</v>
      </c>
      <c r="D647" t="s">
        <v>3993</v>
      </c>
      <c r="E647" s="1">
        <v>44339</v>
      </c>
      <c r="F647" t="s">
        <v>4001</v>
      </c>
      <c r="G647" t="s">
        <v>4010</v>
      </c>
      <c r="H647" t="s">
        <v>4018</v>
      </c>
      <c r="I647" t="s">
        <v>4024</v>
      </c>
      <c r="J647" t="s">
        <v>4027</v>
      </c>
      <c r="K647" s="2">
        <v>44585</v>
      </c>
      <c r="L647" s="2">
        <v>44594</v>
      </c>
      <c r="M647">
        <v>3</v>
      </c>
      <c r="N647">
        <v>216</v>
      </c>
      <c r="O647">
        <f>IF(Tickets[[#This Row],[Ticket Priority]]="Critical",24,
IF(Tickets[[#This Row],[Ticket Priority]]="High",48,
IF(Tickets[[#This Row],[Ticket Priority]]="Medium",120,168)))</f>
        <v>168</v>
      </c>
      <c r="P647" t="str">
        <f>IF(Tickets[[#This Row],[Resolution Duration Hours]] &lt;= Tickets[[#This Row],[SLA_Target_Hours]], "Yes", "No")</f>
        <v>No</v>
      </c>
    </row>
    <row r="648" spans="1:16" hidden="1">
      <c r="A648">
        <v>647</v>
      </c>
      <c r="B648" t="s">
        <v>657</v>
      </c>
      <c r="C648" t="s">
        <v>2630</v>
      </c>
      <c r="D648" t="s">
        <v>3989</v>
      </c>
      <c r="E648" s="1">
        <v>45073</v>
      </c>
      <c r="F648" t="s">
        <v>4002</v>
      </c>
      <c r="G648" t="s">
        <v>4006</v>
      </c>
      <c r="H648" t="s">
        <v>4017</v>
      </c>
      <c r="I648" t="s">
        <v>4021</v>
      </c>
      <c r="J648" t="s">
        <v>4025</v>
      </c>
      <c r="K648" s="2">
        <v>45172</v>
      </c>
      <c r="L648" s="2">
        <v>45174</v>
      </c>
      <c r="N648">
        <v>48</v>
      </c>
      <c r="O648">
        <f>IF(Tickets[[#This Row],[Ticket Priority]]="Critical",24,
IF(Tickets[[#This Row],[Ticket Priority]]="High",48,
IF(Tickets[[#This Row],[Ticket Priority]]="Medium",120,168)))</f>
        <v>48</v>
      </c>
      <c r="P648" t="str">
        <f>IF(Tickets[[#This Row],[Resolution Duration Hours]] &lt;= Tickets[[#This Row],[SLA_Target_Hours]], "Yes", "No")</f>
        <v>Yes</v>
      </c>
    </row>
    <row r="649" spans="1:16" hidden="1">
      <c r="A649">
        <v>648</v>
      </c>
      <c r="B649" t="s">
        <v>658</v>
      </c>
      <c r="C649" t="s">
        <v>2631</v>
      </c>
      <c r="D649" t="s">
        <v>3997</v>
      </c>
      <c r="E649" s="1">
        <v>44850</v>
      </c>
      <c r="F649" t="s">
        <v>4000</v>
      </c>
      <c r="G649" t="s">
        <v>4000</v>
      </c>
      <c r="H649" t="s">
        <v>4018</v>
      </c>
      <c r="I649" t="s">
        <v>4024</v>
      </c>
      <c r="J649" t="s">
        <v>4025</v>
      </c>
      <c r="K649" s="2">
        <v>45212</v>
      </c>
      <c r="L649" s="2">
        <v>45219</v>
      </c>
      <c r="M649">
        <v>4</v>
      </c>
      <c r="N649">
        <v>168</v>
      </c>
      <c r="O649">
        <f>IF(Tickets[[#This Row],[Ticket Priority]]="Critical",24,
IF(Tickets[[#This Row],[Ticket Priority]]="High",48,
IF(Tickets[[#This Row],[Ticket Priority]]="Medium",120,168)))</f>
        <v>168</v>
      </c>
      <c r="P649" t="str">
        <f>IF(Tickets[[#This Row],[Resolution Duration Hours]] &lt;= Tickets[[#This Row],[SLA_Target_Hours]], "Yes", "No")</f>
        <v>Yes</v>
      </c>
    </row>
    <row r="650" spans="1:16">
      <c r="A650">
        <v>373</v>
      </c>
      <c r="B650" t="s">
        <v>386</v>
      </c>
      <c r="C650" t="s">
        <v>2356</v>
      </c>
      <c r="D650" t="s">
        <v>3991</v>
      </c>
      <c r="E650" s="1">
        <v>44595</v>
      </c>
      <c r="F650" t="s">
        <v>4000</v>
      </c>
      <c r="G650" t="s">
        <v>4007</v>
      </c>
      <c r="H650" t="s">
        <v>4020</v>
      </c>
      <c r="I650" t="s">
        <v>4024</v>
      </c>
      <c r="J650" t="s">
        <v>4028</v>
      </c>
      <c r="K650" s="2">
        <v>44595</v>
      </c>
      <c r="L650" s="2">
        <v>44604</v>
      </c>
      <c r="N650">
        <v>216</v>
      </c>
      <c r="O650">
        <f>IF(Tickets[[#This Row],[Ticket Priority]]="Critical",24,
IF(Tickets[[#This Row],[Ticket Priority]]="High",48,
IF(Tickets[[#This Row],[Ticket Priority]]="Medium",120,168)))</f>
        <v>168</v>
      </c>
      <c r="P650" t="str">
        <f>IF(Tickets[[#This Row],[Resolution Duration Hours]] &lt;= Tickets[[#This Row],[SLA_Target_Hours]], "Yes", "No")</f>
        <v>No</v>
      </c>
    </row>
    <row r="651" spans="1:16" hidden="1">
      <c r="A651">
        <v>650</v>
      </c>
      <c r="B651" t="s">
        <v>660</v>
      </c>
      <c r="C651" t="s">
        <v>2633</v>
      </c>
      <c r="D651" t="s">
        <v>3986</v>
      </c>
      <c r="E651" s="1">
        <v>44977</v>
      </c>
      <c r="F651" t="s">
        <v>4000</v>
      </c>
      <c r="G651" t="s">
        <v>4005</v>
      </c>
      <c r="H651" t="s">
        <v>4018</v>
      </c>
      <c r="I651" t="s">
        <v>4021</v>
      </c>
      <c r="J651" t="s">
        <v>4025</v>
      </c>
      <c r="K651" s="2">
        <v>45262</v>
      </c>
      <c r="L651" s="2">
        <v>45263</v>
      </c>
      <c r="M651">
        <v>4</v>
      </c>
      <c r="N651">
        <v>24</v>
      </c>
      <c r="O651">
        <f>IF(Tickets[[#This Row],[Ticket Priority]]="Critical",24,
IF(Tickets[[#This Row],[Ticket Priority]]="High",48,
IF(Tickets[[#This Row],[Ticket Priority]]="Medium",120,168)))</f>
        <v>48</v>
      </c>
      <c r="P651" t="str">
        <f>IF(Tickets[[#This Row],[Resolution Duration Hours]] &lt;= Tickets[[#This Row],[SLA_Target_Hours]], "Yes", "No")</f>
        <v>Yes</v>
      </c>
    </row>
    <row r="652" spans="1:16" hidden="1">
      <c r="A652">
        <v>651</v>
      </c>
      <c r="B652" t="s">
        <v>661</v>
      </c>
      <c r="C652" t="s">
        <v>2634</v>
      </c>
      <c r="D652" t="s">
        <v>3986</v>
      </c>
      <c r="E652" s="1">
        <v>44245</v>
      </c>
      <c r="F652" t="s">
        <v>4000</v>
      </c>
      <c r="G652" t="s">
        <v>4013</v>
      </c>
      <c r="H652" t="s">
        <v>4018</v>
      </c>
      <c r="I652" t="s">
        <v>4022</v>
      </c>
      <c r="J652" t="s">
        <v>4026</v>
      </c>
      <c r="K652" s="2">
        <v>44464</v>
      </c>
      <c r="L652" s="2">
        <v>44464</v>
      </c>
      <c r="M652">
        <v>4</v>
      </c>
      <c r="N652">
        <v>0</v>
      </c>
      <c r="O652">
        <f>IF(Tickets[[#This Row],[Ticket Priority]]="Critical",24,
IF(Tickets[[#This Row],[Ticket Priority]]="High",48,
IF(Tickets[[#This Row],[Ticket Priority]]="Medium",120,168)))</f>
        <v>24</v>
      </c>
      <c r="P652" t="str">
        <f>IF(Tickets[[#This Row],[Resolution Duration Hours]] &lt;= Tickets[[#This Row],[SLA_Target_Hours]], "Yes", "No")</f>
        <v>Yes</v>
      </c>
    </row>
    <row r="653" spans="1:16" hidden="1">
      <c r="A653">
        <v>652</v>
      </c>
      <c r="B653" t="s">
        <v>662</v>
      </c>
      <c r="C653" t="s">
        <v>2635</v>
      </c>
      <c r="D653" t="s">
        <v>3984</v>
      </c>
      <c r="E653" s="1">
        <v>45042</v>
      </c>
      <c r="F653" t="s">
        <v>4002</v>
      </c>
      <c r="G653" t="s">
        <v>4003</v>
      </c>
      <c r="H653" t="s">
        <v>4018</v>
      </c>
      <c r="I653" t="s">
        <v>4021</v>
      </c>
      <c r="J653" t="s">
        <v>4026</v>
      </c>
      <c r="K653" s="2">
        <v>45309</v>
      </c>
      <c r="L653" s="2">
        <v>45311</v>
      </c>
      <c r="M653">
        <v>4</v>
      </c>
      <c r="N653">
        <v>48</v>
      </c>
      <c r="O653">
        <f>IF(Tickets[[#This Row],[Ticket Priority]]="Critical",24,
IF(Tickets[[#This Row],[Ticket Priority]]="High",48,
IF(Tickets[[#This Row],[Ticket Priority]]="Medium",120,168)))</f>
        <v>48</v>
      </c>
      <c r="P653" t="str">
        <f>IF(Tickets[[#This Row],[Resolution Duration Hours]] &lt;= Tickets[[#This Row],[SLA_Target_Hours]], "Yes", "No")</f>
        <v>Yes</v>
      </c>
    </row>
    <row r="654" spans="1:16">
      <c r="A654">
        <v>387</v>
      </c>
      <c r="B654" t="s">
        <v>400</v>
      </c>
      <c r="C654" t="s">
        <v>2370</v>
      </c>
      <c r="D654" t="s">
        <v>3990</v>
      </c>
      <c r="E654" s="1">
        <v>44836</v>
      </c>
      <c r="F654" t="s">
        <v>3999</v>
      </c>
      <c r="G654" t="s">
        <v>4008</v>
      </c>
      <c r="H654" t="s">
        <v>4020</v>
      </c>
      <c r="I654" t="s">
        <v>4024</v>
      </c>
      <c r="J654" t="s">
        <v>4025</v>
      </c>
      <c r="K654" s="2">
        <v>44939</v>
      </c>
      <c r="L654" s="2">
        <v>44948</v>
      </c>
      <c r="N654">
        <v>216</v>
      </c>
      <c r="O654">
        <f>IF(Tickets[[#This Row],[Ticket Priority]]="Critical",24,
IF(Tickets[[#This Row],[Ticket Priority]]="High",48,
IF(Tickets[[#This Row],[Ticket Priority]]="Medium",120,168)))</f>
        <v>168</v>
      </c>
      <c r="P654" t="str">
        <f>IF(Tickets[[#This Row],[Resolution Duration Hours]] &lt;= Tickets[[#This Row],[SLA_Target_Hours]], "Yes", "No")</f>
        <v>No</v>
      </c>
    </row>
    <row r="655" spans="1:16" hidden="1">
      <c r="A655">
        <v>654</v>
      </c>
      <c r="B655" t="s">
        <v>664</v>
      </c>
      <c r="C655" t="s">
        <v>2637</v>
      </c>
      <c r="D655" t="s">
        <v>3996</v>
      </c>
      <c r="E655" s="1">
        <v>44984</v>
      </c>
      <c r="F655" t="s">
        <v>4001</v>
      </c>
      <c r="G655" t="s">
        <v>4003</v>
      </c>
      <c r="H655" t="s">
        <v>4018</v>
      </c>
      <c r="I655" t="s">
        <v>4023</v>
      </c>
      <c r="J655" t="s">
        <v>4025</v>
      </c>
      <c r="K655" s="2">
        <v>45166</v>
      </c>
      <c r="L655" s="2">
        <v>45167</v>
      </c>
      <c r="M655">
        <v>4</v>
      </c>
      <c r="N655">
        <v>24</v>
      </c>
      <c r="O655">
        <f>IF(Tickets[[#This Row],[Ticket Priority]]="Critical",24,
IF(Tickets[[#This Row],[Ticket Priority]]="High",48,
IF(Tickets[[#This Row],[Ticket Priority]]="Medium",120,168)))</f>
        <v>120</v>
      </c>
      <c r="P655" t="str">
        <f>IF(Tickets[[#This Row],[Resolution Duration Hours]] &lt;= Tickets[[#This Row],[SLA_Target_Hours]], "Yes", "No")</f>
        <v>Yes</v>
      </c>
    </row>
    <row r="656" spans="1:16" hidden="1">
      <c r="A656">
        <v>655</v>
      </c>
      <c r="B656" t="s">
        <v>665</v>
      </c>
      <c r="C656" t="s">
        <v>2638</v>
      </c>
      <c r="D656" t="s">
        <v>3992</v>
      </c>
      <c r="E656" s="1">
        <v>44592</v>
      </c>
      <c r="F656" t="s">
        <v>4001</v>
      </c>
      <c r="G656" t="s">
        <v>4014</v>
      </c>
      <c r="H656" t="s">
        <v>4017</v>
      </c>
      <c r="I656" t="s">
        <v>4021</v>
      </c>
      <c r="J656" t="s">
        <v>4026</v>
      </c>
      <c r="K656" s="2">
        <v>44710</v>
      </c>
      <c r="L656" s="2">
        <v>44712</v>
      </c>
      <c r="N656">
        <v>48</v>
      </c>
      <c r="O656">
        <f>IF(Tickets[[#This Row],[Ticket Priority]]="Critical",24,
IF(Tickets[[#This Row],[Ticket Priority]]="High",48,
IF(Tickets[[#This Row],[Ticket Priority]]="Medium",120,168)))</f>
        <v>48</v>
      </c>
      <c r="P656" t="str">
        <f>IF(Tickets[[#This Row],[Resolution Duration Hours]] &lt;= Tickets[[#This Row],[SLA_Target_Hours]], "Yes", "No")</f>
        <v>Yes</v>
      </c>
    </row>
    <row r="657" spans="1:16">
      <c r="A657">
        <v>462</v>
      </c>
      <c r="B657" t="s">
        <v>475</v>
      </c>
      <c r="C657" t="s">
        <v>2445</v>
      </c>
      <c r="D657" t="s">
        <v>3992</v>
      </c>
      <c r="E657" s="1">
        <v>44552</v>
      </c>
      <c r="F657" t="s">
        <v>4002</v>
      </c>
      <c r="G657" t="s">
        <v>4000</v>
      </c>
      <c r="H657" t="s">
        <v>4020</v>
      </c>
      <c r="I657" t="s">
        <v>4024</v>
      </c>
      <c r="J657" t="s">
        <v>4028</v>
      </c>
      <c r="K657" s="2">
        <v>44796</v>
      </c>
      <c r="L657" s="2">
        <v>44805</v>
      </c>
      <c r="N657">
        <v>216</v>
      </c>
      <c r="O657">
        <f>IF(Tickets[[#This Row],[Ticket Priority]]="Critical",24,
IF(Tickets[[#This Row],[Ticket Priority]]="High",48,
IF(Tickets[[#This Row],[Ticket Priority]]="Medium",120,168)))</f>
        <v>168</v>
      </c>
      <c r="P657" t="str">
        <f>IF(Tickets[[#This Row],[Resolution Duration Hours]] &lt;= Tickets[[#This Row],[SLA_Target_Hours]], "Yes", "No")</f>
        <v>No</v>
      </c>
    </row>
    <row r="658" spans="1:16" hidden="1">
      <c r="A658">
        <v>657</v>
      </c>
      <c r="B658" t="s">
        <v>667</v>
      </c>
      <c r="C658" t="s">
        <v>2640</v>
      </c>
      <c r="D658" t="s">
        <v>3992</v>
      </c>
      <c r="E658" s="1">
        <v>44212</v>
      </c>
      <c r="F658" t="s">
        <v>3998</v>
      </c>
      <c r="G658" t="s">
        <v>4010</v>
      </c>
      <c r="H658" t="s">
        <v>4018</v>
      </c>
      <c r="I658" t="s">
        <v>4024</v>
      </c>
      <c r="J658" t="s">
        <v>4027</v>
      </c>
      <c r="K658" s="2">
        <v>44450</v>
      </c>
      <c r="L658" s="2">
        <v>44455</v>
      </c>
      <c r="N658">
        <v>120</v>
      </c>
      <c r="O658">
        <f>IF(Tickets[[#This Row],[Ticket Priority]]="Critical",24,
IF(Tickets[[#This Row],[Ticket Priority]]="High",48,
IF(Tickets[[#This Row],[Ticket Priority]]="Medium",120,168)))</f>
        <v>168</v>
      </c>
      <c r="P658" t="str">
        <f>IF(Tickets[[#This Row],[Resolution Duration Hours]] &lt;= Tickets[[#This Row],[SLA_Target_Hours]], "Yes", "No")</f>
        <v>Yes</v>
      </c>
    </row>
    <row r="659" spans="1:16" hidden="1">
      <c r="A659">
        <v>658</v>
      </c>
      <c r="B659" t="s">
        <v>668</v>
      </c>
      <c r="C659" t="s">
        <v>2641</v>
      </c>
      <c r="D659" t="s">
        <v>3994</v>
      </c>
      <c r="E659" s="1">
        <v>44125</v>
      </c>
      <c r="F659" t="s">
        <v>4002</v>
      </c>
      <c r="G659" t="s">
        <v>4004</v>
      </c>
      <c r="H659" t="s">
        <v>4018</v>
      </c>
      <c r="I659" t="s">
        <v>4021</v>
      </c>
      <c r="J659" t="s">
        <v>4026</v>
      </c>
      <c r="K659" s="2">
        <v>44345</v>
      </c>
      <c r="L659" s="2">
        <v>44347</v>
      </c>
      <c r="M659">
        <v>4</v>
      </c>
      <c r="N659">
        <v>48</v>
      </c>
      <c r="O659">
        <f>IF(Tickets[[#This Row],[Ticket Priority]]="Critical",24,
IF(Tickets[[#This Row],[Ticket Priority]]="High",48,
IF(Tickets[[#This Row],[Ticket Priority]]="Medium",120,168)))</f>
        <v>48</v>
      </c>
      <c r="P659" t="str">
        <f>IF(Tickets[[#This Row],[Resolution Duration Hours]] &lt;= Tickets[[#This Row],[SLA_Target_Hours]], "Yes", "No")</f>
        <v>Yes</v>
      </c>
    </row>
    <row r="660" spans="1:16" hidden="1">
      <c r="A660">
        <v>659</v>
      </c>
      <c r="B660" t="s">
        <v>669</v>
      </c>
      <c r="C660" t="s">
        <v>2642</v>
      </c>
      <c r="D660" t="s">
        <v>3986</v>
      </c>
      <c r="E660" s="1">
        <v>43915</v>
      </c>
      <c r="F660" t="s">
        <v>4000</v>
      </c>
      <c r="G660" t="s">
        <v>4013</v>
      </c>
      <c r="H660" t="s">
        <v>4020</v>
      </c>
      <c r="I660" t="s">
        <v>4023</v>
      </c>
      <c r="J660" t="s">
        <v>4028</v>
      </c>
      <c r="K660" s="2">
        <v>44276</v>
      </c>
      <c r="L660" s="2">
        <v>44279</v>
      </c>
      <c r="N660">
        <v>72</v>
      </c>
      <c r="O660">
        <f>IF(Tickets[[#This Row],[Ticket Priority]]="Critical",24,
IF(Tickets[[#This Row],[Ticket Priority]]="High",48,
IF(Tickets[[#This Row],[Ticket Priority]]="Medium",120,168)))</f>
        <v>120</v>
      </c>
      <c r="P660" t="str">
        <f>IF(Tickets[[#This Row],[Resolution Duration Hours]] &lt;= Tickets[[#This Row],[SLA_Target_Hours]], "Yes", "No")</f>
        <v>Yes</v>
      </c>
    </row>
    <row r="661" spans="1:16" hidden="1">
      <c r="A661">
        <v>660</v>
      </c>
      <c r="B661" t="s">
        <v>670</v>
      </c>
      <c r="C661" t="s">
        <v>2643</v>
      </c>
      <c r="D661" t="s">
        <v>3991</v>
      </c>
      <c r="E661" s="1">
        <v>44110</v>
      </c>
      <c r="F661" t="s">
        <v>3998</v>
      </c>
      <c r="G661" t="s">
        <v>4000</v>
      </c>
      <c r="H661" t="s">
        <v>4018</v>
      </c>
      <c r="I661" t="s">
        <v>4023</v>
      </c>
      <c r="J661" t="s">
        <v>4026</v>
      </c>
      <c r="K661" s="2">
        <v>44460</v>
      </c>
      <c r="L661" s="2">
        <v>44465</v>
      </c>
      <c r="M661">
        <v>5</v>
      </c>
      <c r="N661">
        <v>120</v>
      </c>
      <c r="O661">
        <f>IF(Tickets[[#This Row],[Ticket Priority]]="Critical",24,
IF(Tickets[[#This Row],[Ticket Priority]]="High",48,
IF(Tickets[[#This Row],[Ticket Priority]]="Medium",120,168)))</f>
        <v>120</v>
      </c>
      <c r="P661" t="str">
        <f>IF(Tickets[[#This Row],[Resolution Duration Hours]] &lt;= Tickets[[#This Row],[SLA_Target_Hours]], "Yes", "No")</f>
        <v>Yes</v>
      </c>
    </row>
    <row r="662" spans="1:16" hidden="1">
      <c r="A662">
        <v>661</v>
      </c>
      <c r="B662" t="s">
        <v>671</v>
      </c>
      <c r="C662" t="s">
        <v>2644</v>
      </c>
      <c r="D662" t="s">
        <v>3981</v>
      </c>
      <c r="E662" s="1">
        <v>44108</v>
      </c>
      <c r="F662" t="s">
        <v>4001</v>
      </c>
      <c r="G662" t="s">
        <v>4008</v>
      </c>
      <c r="H662" t="s">
        <v>4018</v>
      </c>
      <c r="I662" t="s">
        <v>4022</v>
      </c>
      <c r="J662" t="s">
        <v>4025</v>
      </c>
      <c r="K662" s="2">
        <v>44253</v>
      </c>
      <c r="L662" s="2">
        <v>44253</v>
      </c>
      <c r="N662">
        <v>0</v>
      </c>
      <c r="O662">
        <f>IF(Tickets[[#This Row],[Ticket Priority]]="Critical",24,
IF(Tickets[[#This Row],[Ticket Priority]]="High",48,
IF(Tickets[[#This Row],[Ticket Priority]]="Medium",120,168)))</f>
        <v>24</v>
      </c>
      <c r="P662" t="str">
        <f>IF(Tickets[[#This Row],[Resolution Duration Hours]] &lt;= Tickets[[#This Row],[SLA_Target_Hours]], "Yes", "No")</f>
        <v>Yes</v>
      </c>
    </row>
    <row r="663" spans="1:16">
      <c r="A663">
        <v>510</v>
      </c>
      <c r="B663" t="s">
        <v>520</v>
      </c>
      <c r="C663" t="s">
        <v>2493</v>
      </c>
      <c r="D663" t="s">
        <v>3979</v>
      </c>
      <c r="E663" s="1">
        <v>43965</v>
      </c>
      <c r="F663" t="s">
        <v>4002</v>
      </c>
      <c r="G663" t="s">
        <v>4005</v>
      </c>
      <c r="H663" t="s">
        <v>4018</v>
      </c>
      <c r="I663" t="s">
        <v>4024</v>
      </c>
      <c r="J663" t="s">
        <v>4026</v>
      </c>
      <c r="K663" s="2">
        <v>44032</v>
      </c>
      <c r="L663" s="2">
        <v>44041</v>
      </c>
      <c r="M663">
        <v>3</v>
      </c>
      <c r="N663">
        <v>216</v>
      </c>
      <c r="O663">
        <f>IF(Tickets[[#This Row],[Ticket Priority]]="Critical",24,
IF(Tickets[[#This Row],[Ticket Priority]]="High",48,
IF(Tickets[[#This Row],[Ticket Priority]]="Medium",120,168)))</f>
        <v>168</v>
      </c>
      <c r="P663" t="str">
        <f>IF(Tickets[[#This Row],[Resolution Duration Hours]] &lt;= Tickets[[#This Row],[SLA_Target_Hours]], "Yes", "No")</f>
        <v>No</v>
      </c>
    </row>
    <row r="664" spans="1:16" hidden="1">
      <c r="A664">
        <v>663</v>
      </c>
      <c r="B664" t="s">
        <v>673</v>
      </c>
      <c r="C664" t="s">
        <v>2646</v>
      </c>
      <c r="D664" t="s">
        <v>3988</v>
      </c>
      <c r="E664" s="1">
        <v>44394</v>
      </c>
      <c r="F664" t="s">
        <v>4000</v>
      </c>
      <c r="G664" t="s">
        <v>4009</v>
      </c>
      <c r="H664" t="s">
        <v>4017</v>
      </c>
      <c r="I664" t="s">
        <v>4021</v>
      </c>
      <c r="J664" t="s">
        <v>4028</v>
      </c>
      <c r="K664" s="2">
        <v>44550</v>
      </c>
      <c r="L664" s="2">
        <v>44551</v>
      </c>
      <c r="N664">
        <v>24</v>
      </c>
      <c r="O664">
        <f>IF(Tickets[[#This Row],[Ticket Priority]]="Critical",24,
IF(Tickets[[#This Row],[Ticket Priority]]="High",48,
IF(Tickets[[#This Row],[Ticket Priority]]="Medium",120,168)))</f>
        <v>48</v>
      </c>
      <c r="P664" t="str">
        <f>IF(Tickets[[#This Row],[Resolution Duration Hours]] &lt;= Tickets[[#This Row],[SLA_Target_Hours]], "Yes", "No")</f>
        <v>Yes</v>
      </c>
    </row>
    <row r="665" spans="1:16">
      <c r="A665">
        <v>525</v>
      </c>
      <c r="B665" t="s">
        <v>535</v>
      </c>
      <c r="C665" t="s">
        <v>2508</v>
      </c>
      <c r="D665" t="s">
        <v>3985</v>
      </c>
      <c r="E665" s="1">
        <v>44893</v>
      </c>
      <c r="F665" t="s">
        <v>4002</v>
      </c>
      <c r="G665" t="s">
        <v>4014</v>
      </c>
      <c r="H665" t="s">
        <v>4017</v>
      </c>
      <c r="I665" t="s">
        <v>4024</v>
      </c>
      <c r="J665" t="s">
        <v>4026</v>
      </c>
      <c r="K665" s="2">
        <v>44909</v>
      </c>
      <c r="L665" s="2">
        <v>44918</v>
      </c>
      <c r="N665">
        <v>216</v>
      </c>
      <c r="O665">
        <f>IF(Tickets[[#This Row],[Ticket Priority]]="Critical",24,
IF(Tickets[[#This Row],[Ticket Priority]]="High",48,
IF(Tickets[[#This Row],[Ticket Priority]]="Medium",120,168)))</f>
        <v>168</v>
      </c>
      <c r="P665" t="str">
        <f>IF(Tickets[[#This Row],[Resolution Duration Hours]] &lt;= Tickets[[#This Row],[SLA_Target_Hours]], "Yes", "No")</f>
        <v>No</v>
      </c>
    </row>
    <row r="666" spans="1:16" hidden="1">
      <c r="A666">
        <v>665</v>
      </c>
      <c r="B666" t="s">
        <v>675</v>
      </c>
      <c r="C666" t="s">
        <v>2648</v>
      </c>
      <c r="D666" t="s">
        <v>3979</v>
      </c>
      <c r="E666" s="1">
        <v>44309</v>
      </c>
      <c r="F666" t="s">
        <v>3999</v>
      </c>
      <c r="G666" t="s">
        <v>4000</v>
      </c>
      <c r="H666" t="s">
        <v>4018</v>
      </c>
      <c r="I666" t="s">
        <v>4023</v>
      </c>
      <c r="J666" t="s">
        <v>4028</v>
      </c>
      <c r="K666" s="2">
        <v>44662</v>
      </c>
      <c r="L666" s="2">
        <v>44666</v>
      </c>
      <c r="M666">
        <v>4</v>
      </c>
      <c r="N666">
        <v>96</v>
      </c>
      <c r="O666">
        <f>IF(Tickets[[#This Row],[Ticket Priority]]="Critical",24,
IF(Tickets[[#This Row],[Ticket Priority]]="High",48,
IF(Tickets[[#This Row],[Ticket Priority]]="Medium",120,168)))</f>
        <v>120</v>
      </c>
      <c r="P666" t="str">
        <f>IF(Tickets[[#This Row],[Resolution Duration Hours]] &lt;= Tickets[[#This Row],[SLA_Target_Hours]], "Yes", "No")</f>
        <v>Yes</v>
      </c>
    </row>
    <row r="667" spans="1:16" hidden="1">
      <c r="A667">
        <v>666</v>
      </c>
      <c r="B667" t="s">
        <v>676</v>
      </c>
      <c r="C667" t="s">
        <v>2649</v>
      </c>
      <c r="D667" t="s">
        <v>3988</v>
      </c>
      <c r="E667" s="1">
        <v>43836</v>
      </c>
      <c r="F667" t="s">
        <v>4001</v>
      </c>
      <c r="G667" t="s">
        <v>4015</v>
      </c>
      <c r="H667" t="s">
        <v>4020</v>
      </c>
      <c r="I667" t="s">
        <v>4023</v>
      </c>
      <c r="J667" t="s">
        <v>4028</v>
      </c>
      <c r="K667" s="2">
        <v>44110</v>
      </c>
      <c r="L667" s="2">
        <v>44112</v>
      </c>
      <c r="N667">
        <v>48</v>
      </c>
      <c r="O667">
        <f>IF(Tickets[[#This Row],[Ticket Priority]]="Critical",24,
IF(Tickets[[#This Row],[Ticket Priority]]="High",48,
IF(Tickets[[#This Row],[Ticket Priority]]="Medium",120,168)))</f>
        <v>120</v>
      </c>
      <c r="P667" t="str">
        <f>IF(Tickets[[#This Row],[Resolution Duration Hours]] &lt;= Tickets[[#This Row],[SLA_Target_Hours]], "Yes", "No")</f>
        <v>Yes</v>
      </c>
    </row>
    <row r="668" spans="1:16" hidden="1">
      <c r="A668">
        <v>667</v>
      </c>
      <c r="B668" t="s">
        <v>677</v>
      </c>
      <c r="C668" t="s">
        <v>2650</v>
      </c>
      <c r="D668" t="s">
        <v>3980</v>
      </c>
      <c r="E668" s="1">
        <v>44597</v>
      </c>
      <c r="F668" t="s">
        <v>4001</v>
      </c>
      <c r="G668" t="s">
        <v>4013</v>
      </c>
      <c r="H668" t="s">
        <v>4018</v>
      </c>
      <c r="I668" t="s">
        <v>4023</v>
      </c>
      <c r="J668" t="s">
        <v>4026</v>
      </c>
      <c r="K668" s="2">
        <v>44645</v>
      </c>
      <c r="L668" s="2">
        <v>44648</v>
      </c>
      <c r="M668">
        <v>5</v>
      </c>
      <c r="N668">
        <v>72</v>
      </c>
      <c r="O668">
        <f>IF(Tickets[[#This Row],[Ticket Priority]]="Critical",24,
IF(Tickets[[#This Row],[Ticket Priority]]="High",48,
IF(Tickets[[#This Row],[Ticket Priority]]="Medium",120,168)))</f>
        <v>120</v>
      </c>
      <c r="P668" t="str">
        <f>IF(Tickets[[#This Row],[Resolution Duration Hours]] &lt;= Tickets[[#This Row],[SLA_Target_Hours]], "Yes", "No")</f>
        <v>Yes</v>
      </c>
    </row>
    <row r="669" spans="1:16" hidden="1">
      <c r="A669">
        <v>668</v>
      </c>
      <c r="B669" t="s">
        <v>678</v>
      </c>
      <c r="C669" t="s">
        <v>2651</v>
      </c>
      <c r="D669" t="s">
        <v>3997</v>
      </c>
      <c r="E669" s="1">
        <v>43841</v>
      </c>
      <c r="F669" t="s">
        <v>3998</v>
      </c>
      <c r="G669" t="s">
        <v>4014</v>
      </c>
      <c r="H669" t="s">
        <v>4018</v>
      </c>
      <c r="I669" t="s">
        <v>4023</v>
      </c>
      <c r="J669" t="s">
        <v>4028</v>
      </c>
      <c r="K669" s="2">
        <v>43994</v>
      </c>
      <c r="L669" s="2">
        <v>43998</v>
      </c>
      <c r="N669">
        <v>96</v>
      </c>
      <c r="O669">
        <f>IF(Tickets[[#This Row],[Ticket Priority]]="Critical",24,
IF(Tickets[[#This Row],[Ticket Priority]]="High",48,
IF(Tickets[[#This Row],[Ticket Priority]]="Medium",120,168)))</f>
        <v>120</v>
      </c>
      <c r="P669" t="str">
        <f>IF(Tickets[[#This Row],[Resolution Duration Hours]] &lt;= Tickets[[#This Row],[SLA_Target_Hours]], "Yes", "No")</f>
        <v>Yes</v>
      </c>
    </row>
    <row r="670" spans="1:16" hidden="1">
      <c r="A670">
        <v>669</v>
      </c>
      <c r="B670" t="s">
        <v>679</v>
      </c>
      <c r="C670" t="s">
        <v>2652</v>
      </c>
      <c r="D670" t="s">
        <v>3997</v>
      </c>
      <c r="E670" s="1">
        <v>44373</v>
      </c>
      <c r="F670" t="s">
        <v>3998</v>
      </c>
      <c r="G670" t="s">
        <v>4008</v>
      </c>
      <c r="H670" t="s">
        <v>4018</v>
      </c>
      <c r="I670" t="s">
        <v>4021</v>
      </c>
      <c r="J670" t="s">
        <v>4027</v>
      </c>
      <c r="K670" s="2">
        <v>44468</v>
      </c>
      <c r="L670" s="2">
        <v>44469</v>
      </c>
      <c r="M670">
        <v>5</v>
      </c>
      <c r="N670">
        <v>24</v>
      </c>
      <c r="O670">
        <f>IF(Tickets[[#This Row],[Ticket Priority]]="Critical",24,
IF(Tickets[[#This Row],[Ticket Priority]]="High",48,
IF(Tickets[[#This Row],[Ticket Priority]]="Medium",120,168)))</f>
        <v>48</v>
      </c>
      <c r="P670" t="str">
        <f>IF(Tickets[[#This Row],[Resolution Duration Hours]] &lt;= Tickets[[#This Row],[SLA_Target_Hours]], "Yes", "No")</f>
        <v>Yes</v>
      </c>
    </row>
    <row r="671" spans="1:16" hidden="1">
      <c r="A671">
        <v>670</v>
      </c>
      <c r="B671" t="s">
        <v>680</v>
      </c>
      <c r="C671" t="s">
        <v>2653</v>
      </c>
      <c r="D671" t="s">
        <v>3995</v>
      </c>
      <c r="E671" s="1">
        <v>44478</v>
      </c>
      <c r="F671" t="s">
        <v>3999</v>
      </c>
      <c r="G671" t="s">
        <v>4016</v>
      </c>
      <c r="H671" t="s">
        <v>4018</v>
      </c>
      <c r="I671" t="s">
        <v>4022</v>
      </c>
      <c r="J671" t="s">
        <v>4025</v>
      </c>
      <c r="K671" s="2">
        <v>44767</v>
      </c>
      <c r="L671" s="2">
        <v>44767</v>
      </c>
      <c r="M671">
        <v>5</v>
      </c>
      <c r="N671">
        <v>0</v>
      </c>
      <c r="O671">
        <f>IF(Tickets[[#This Row],[Ticket Priority]]="Critical",24,
IF(Tickets[[#This Row],[Ticket Priority]]="High",48,
IF(Tickets[[#This Row],[Ticket Priority]]="Medium",120,168)))</f>
        <v>24</v>
      </c>
      <c r="P671" t="str">
        <f>IF(Tickets[[#This Row],[Resolution Duration Hours]] &lt;= Tickets[[#This Row],[SLA_Target_Hours]], "Yes", "No")</f>
        <v>Yes</v>
      </c>
    </row>
    <row r="672" spans="1:16" hidden="1">
      <c r="A672">
        <v>671</v>
      </c>
      <c r="B672" t="s">
        <v>681</v>
      </c>
      <c r="C672" t="s">
        <v>2654</v>
      </c>
      <c r="D672" t="s">
        <v>3983</v>
      </c>
      <c r="E672" s="1">
        <v>43886</v>
      </c>
      <c r="F672" t="s">
        <v>4002</v>
      </c>
      <c r="G672" t="s">
        <v>4000</v>
      </c>
      <c r="H672" t="s">
        <v>4018</v>
      </c>
      <c r="I672" t="s">
        <v>4024</v>
      </c>
      <c r="J672" t="s">
        <v>4028</v>
      </c>
      <c r="K672" s="2">
        <v>43918</v>
      </c>
      <c r="L672" s="2">
        <v>43920</v>
      </c>
      <c r="M672">
        <v>4</v>
      </c>
      <c r="N672">
        <v>48</v>
      </c>
      <c r="O672">
        <f>IF(Tickets[[#This Row],[Ticket Priority]]="Critical",24,
IF(Tickets[[#This Row],[Ticket Priority]]="High",48,
IF(Tickets[[#This Row],[Ticket Priority]]="Medium",120,168)))</f>
        <v>168</v>
      </c>
      <c r="P672" t="str">
        <f>IF(Tickets[[#This Row],[Resolution Duration Hours]] &lt;= Tickets[[#This Row],[SLA_Target_Hours]], "Yes", "No")</f>
        <v>Yes</v>
      </c>
    </row>
    <row r="673" spans="1:16" hidden="1">
      <c r="A673">
        <v>672</v>
      </c>
      <c r="B673" t="s">
        <v>682</v>
      </c>
      <c r="C673" t="s">
        <v>2655</v>
      </c>
      <c r="D673" t="s">
        <v>3985</v>
      </c>
      <c r="E673" s="1">
        <v>44686</v>
      </c>
      <c r="F673" t="s">
        <v>4001</v>
      </c>
      <c r="G673" t="s">
        <v>4005</v>
      </c>
      <c r="H673" t="s">
        <v>4019</v>
      </c>
      <c r="I673" t="s">
        <v>4024</v>
      </c>
      <c r="J673" t="s">
        <v>4026</v>
      </c>
      <c r="K673" s="2">
        <v>44784</v>
      </c>
      <c r="L673" s="2">
        <v>44787</v>
      </c>
      <c r="M673">
        <v>3</v>
      </c>
      <c r="N673">
        <v>72</v>
      </c>
      <c r="O673">
        <f>IF(Tickets[[#This Row],[Ticket Priority]]="Critical",24,
IF(Tickets[[#This Row],[Ticket Priority]]="High",48,
IF(Tickets[[#This Row],[Ticket Priority]]="Medium",120,168)))</f>
        <v>168</v>
      </c>
      <c r="P673" t="str">
        <f>IF(Tickets[[#This Row],[Resolution Duration Hours]] &lt;= Tickets[[#This Row],[SLA_Target_Hours]], "Yes", "No")</f>
        <v>Yes</v>
      </c>
    </row>
    <row r="674" spans="1:16">
      <c r="A674">
        <v>592</v>
      </c>
      <c r="B674" t="s">
        <v>602</v>
      </c>
      <c r="C674" t="s">
        <v>2575</v>
      </c>
      <c r="D674" t="s">
        <v>3988</v>
      </c>
      <c r="E674" s="1">
        <v>44280</v>
      </c>
      <c r="F674" t="s">
        <v>3998</v>
      </c>
      <c r="G674" t="s">
        <v>4010</v>
      </c>
      <c r="H674" t="s">
        <v>4018</v>
      </c>
      <c r="I674" t="s">
        <v>4024</v>
      </c>
      <c r="J674" t="s">
        <v>4026</v>
      </c>
      <c r="K674" s="2">
        <v>44341</v>
      </c>
      <c r="L674" s="2">
        <v>44350</v>
      </c>
      <c r="M674">
        <v>5</v>
      </c>
      <c r="N674">
        <v>216</v>
      </c>
      <c r="O674">
        <f>IF(Tickets[[#This Row],[Ticket Priority]]="Critical",24,
IF(Tickets[[#This Row],[Ticket Priority]]="High",48,
IF(Tickets[[#This Row],[Ticket Priority]]="Medium",120,168)))</f>
        <v>168</v>
      </c>
      <c r="P674" t="str">
        <f>IF(Tickets[[#This Row],[Resolution Duration Hours]] &lt;= Tickets[[#This Row],[SLA_Target_Hours]], "Yes", "No")</f>
        <v>No</v>
      </c>
    </row>
    <row r="675" spans="1:16" hidden="1">
      <c r="A675">
        <v>674</v>
      </c>
      <c r="B675" t="s">
        <v>684</v>
      </c>
      <c r="C675" t="s">
        <v>2657</v>
      </c>
      <c r="D675" t="s">
        <v>3987</v>
      </c>
      <c r="E675" s="1">
        <v>44277</v>
      </c>
      <c r="F675" t="s">
        <v>3999</v>
      </c>
      <c r="G675" t="s">
        <v>4013</v>
      </c>
      <c r="H675" t="s">
        <v>4020</v>
      </c>
      <c r="I675" t="s">
        <v>4021</v>
      </c>
      <c r="J675" t="s">
        <v>4026</v>
      </c>
      <c r="K675" s="2">
        <v>44305</v>
      </c>
      <c r="L675" s="2">
        <v>44306</v>
      </c>
      <c r="N675">
        <v>24</v>
      </c>
      <c r="O675">
        <f>IF(Tickets[[#This Row],[Ticket Priority]]="Critical",24,
IF(Tickets[[#This Row],[Ticket Priority]]="High",48,
IF(Tickets[[#This Row],[Ticket Priority]]="Medium",120,168)))</f>
        <v>48</v>
      </c>
      <c r="P675" t="str">
        <f>IF(Tickets[[#This Row],[Resolution Duration Hours]] &lt;= Tickets[[#This Row],[SLA_Target_Hours]], "Yes", "No")</f>
        <v>Yes</v>
      </c>
    </row>
    <row r="676" spans="1:16" hidden="1">
      <c r="A676">
        <v>675</v>
      </c>
      <c r="B676" t="s">
        <v>685</v>
      </c>
      <c r="C676" t="s">
        <v>2658</v>
      </c>
      <c r="D676" t="s">
        <v>3988</v>
      </c>
      <c r="E676" s="1">
        <v>44638</v>
      </c>
      <c r="F676" t="s">
        <v>4001</v>
      </c>
      <c r="G676" t="s">
        <v>4004</v>
      </c>
      <c r="H676" t="s">
        <v>4017</v>
      </c>
      <c r="I676" t="s">
        <v>4024</v>
      </c>
      <c r="J676" t="s">
        <v>4025</v>
      </c>
      <c r="K676" s="2">
        <v>44841</v>
      </c>
      <c r="L676" s="2">
        <v>44848</v>
      </c>
      <c r="N676">
        <v>168</v>
      </c>
      <c r="O676">
        <f>IF(Tickets[[#This Row],[Ticket Priority]]="Critical",24,
IF(Tickets[[#This Row],[Ticket Priority]]="High",48,
IF(Tickets[[#This Row],[Ticket Priority]]="Medium",120,168)))</f>
        <v>168</v>
      </c>
      <c r="P676" t="str">
        <f>IF(Tickets[[#This Row],[Resolution Duration Hours]] &lt;= Tickets[[#This Row],[SLA_Target_Hours]], "Yes", "No")</f>
        <v>Yes</v>
      </c>
    </row>
    <row r="677" spans="1:16" hidden="1">
      <c r="A677">
        <v>676</v>
      </c>
      <c r="B677" t="s">
        <v>686</v>
      </c>
      <c r="C677" t="s">
        <v>2659</v>
      </c>
      <c r="D677" t="s">
        <v>3980</v>
      </c>
      <c r="E677" s="1">
        <v>44014</v>
      </c>
      <c r="F677" t="s">
        <v>3999</v>
      </c>
      <c r="G677" t="s">
        <v>4016</v>
      </c>
      <c r="H677" t="s">
        <v>4017</v>
      </c>
      <c r="I677" t="s">
        <v>4024</v>
      </c>
      <c r="J677" t="s">
        <v>4025</v>
      </c>
      <c r="K677" s="2">
        <v>44282</v>
      </c>
      <c r="L677" s="2">
        <v>44288</v>
      </c>
      <c r="N677">
        <v>144</v>
      </c>
      <c r="O677">
        <f>IF(Tickets[[#This Row],[Ticket Priority]]="Critical",24,
IF(Tickets[[#This Row],[Ticket Priority]]="High",48,
IF(Tickets[[#This Row],[Ticket Priority]]="Medium",120,168)))</f>
        <v>168</v>
      </c>
      <c r="P677" t="str">
        <f>IF(Tickets[[#This Row],[Resolution Duration Hours]] &lt;= Tickets[[#This Row],[SLA_Target_Hours]], "Yes", "No")</f>
        <v>Yes</v>
      </c>
    </row>
    <row r="678" spans="1:16">
      <c r="A678">
        <v>682</v>
      </c>
      <c r="B678" t="s">
        <v>692</v>
      </c>
      <c r="C678" t="s">
        <v>2665</v>
      </c>
      <c r="D678" t="s">
        <v>3982</v>
      </c>
      <c r="E678" s="1">
        <v>44884</v>
      </c>
      <c r="F678" t="s">
        <v>4000</v>
      </c>
      <c r="G678" t="s">
        <v>4011</v>
      </c>
      <c r="H678" t="s">
        <v>4017</v>
      </c>
      <c r="I678" t="s">
        <v>4024</v>
      </c>
      <c r="J678" t="s">
        <v>4027</v>
      </c>
      <c r="K678" s="2">
        <v>45108</v>
      </c>
      <c r="L678" s="2">
        <v>45117</v>
      </c>
      <c r="N678">
        <v>216</v>
      </c>
      <c r="O678">
        <f>IF(Tickets[[#This Row],[Ticket Priority]]="Critical",24,
IF(Tickets[[#This Row],[Ticket Priority]]="High",48,
IF(Tickets[[#This Row],[Ticket Priority]]="Medium",120,168)))</f>
        <v>168</v>
      </c>
      <c r="P678" t="str">
        <f>IF(Tickets[[#This Row],[Resolution Duration Hours]] &lt;= Tickets[[#This Row],[SLA_Target_Hours]], "Yes", "No")</f>
        <v>No</v>
      </c>
    </row>
    <row r="679" spans="1:16" hidden="1">
      <c r="A679">
        <v>678</v>
      </c>
      <c r="B679" t="s">
        <v>688</v>
      </c>
      <c r="C679" t="s">
        <v>2661</v>
      </c>
      <c r="D679" t="s">
        <v>3980</v>
      </c>
      <c r="E679" s="1">
        <v>45058</v>
      </c>
      <c r="F679" t="s">
        <v>3999</v>
      </c>
      <c r="G679" t="s">
        <v>4006</v>
      </c>
      <c r="H679" t="s">
        <v>4018</v>
      </c>
      <c r="I679" t="s">
        <v>4023</v>
      </c>
      <c r="J679" t="s">
        <v>4028</v>
      </c>
      <c r="K679" s="2">
        <v>45086</v>
      </c>
      <c r="L679" s="2">
        <v>45087</v>
      </c>
      <c r="M679">
        <v>5</v>
      </c>
      <c r="N679">
        <v>24</v>
      </c>
      <c r="O679">
        <f>IF(Tickets[[#This Row],[Ticket Priority]]="Critical",24,
IF(Tickets[[#This Row],[Ticket Priority]]="High",48,
IF(Tickets[[#This Row],[Ticket Priority]]="Medium",120,168)))</f>
        <v>120</v>
      </c>
      <c r="P679" t="str">
        <f>IF(Tickets[[#This Row],[Resolution Duration Hours]] &lt;= Tickets[[#This Row],[SLA_Target_Hours]], "Yes", "No")</f>
        <v>Yes</v>
      </c>
    </row>
    <row r="680" spans="1:16" hidden="1">
      <c r="A680">
        <v>679</v>
      </c>
      <c r="B680" t="s">
        <v>689</v>
      </c>
      <c r="C680" t="s">
        <v>2662</v>
      </c>
      <c r="D680" t="s">
        <v>3985</v>
      </c>
      <c r="E680" s="1">
        <v>44956</v>
      </c>
      <c r="F680" t="s">
        <v>4001</v>
      </c>
      <c r="G680" t="s">
        <v>4015</v>
      </c>
      <c r="H680" t="s">
        <v>4020</v>
      </c>
      <c r="I680" t="s">
        <v>4023</v>
      </c>
      <c r="J680" t="s">
        <v>4026</v>
      </c>
      <c r="K680" s="2">
        <v>45141</v>
      </c>
      <c r="L680" s="2">
        <v>45144</v>
      </c>
      <c r="N680">
        <v>72</v>
      </c>
      <c r="O680">
        <f>IF(Tickets[[#This Row],[Ticket Priority]]="Critical",24,
IF(Tickets[[#This Row],[Ticket Priority]]="High",48,
IF(Tickets[[#This Row],[Ticket Priority]]="Medium",120,168)))</f>
        <v>120</v>
      </c>
      <c r="P680" t="str">
        <f>IF(Tickets[[#This Row],[Resolution Duration Hours]] &lt;= Tickets[[#This Row],[SLA_Target_Hours]], "Yes", "No")</f>
        <v>Yes</v>
      </c>
    </row>
    <row r="681" spans="1:16" hidden="1">
      <c r="A681">
        <v>680</v>
      </c>
      <c r="B681" t="s">
        <v>690</v>
      </c>
      <c r="C681" t="s">
        <v>2663</v>
      </c>
      <c r="D681" t="s">
        <v>3993</v>
      </c>
      <c r="E681" s="1">
        <v>44575</v>
      </c>
      <c r="F681" t="s">
        <v>4002</v>
      </c>
      <c r="G681" t="s">
        <v>4016</v>
      </c>
      <c r="H681" t="s">
        <v>4020</v>
      </c>
      <c r="I681" t="s">
        <v>4023</v>
      </c>
      <c r="J681" t="s">
        <v>4026</v>
      </c>
      <c r="K681" s="2">
        <v>44704</v>
      </c>
      <c r="L681" s="2">
        <v>44705</v>
      </c>
      <c r="N681">
        <v>24</v>
      </c>
      <c r="O681">
        <f>IF(Tickets[[#This Row],[Ticket Priority]]="Critical",24,
IF(Tickets[[#This Row],[Ticket Priority]]="High",48,
IF(Tickets[[#This Row],[Ticket Priority]]="Medium",120,168)))</f>
        <v>120</v>
      </c>
      <c r="P681" t="str">
        <f>IF(Tickets[[#This Row],[Resolution Duration Hours]] &lt;= Tickets[[#This Row],[SLA_Target_Hours]], "Yes", "No")</f>
        <v>Yes</v>
      </c>
    </row>
    <row r="682" spans="1:16" hidden="1">
      <c r="A682">
        <v>681</v>
      </c>
      <c r="B682" t="s">
        <v>691</v>
      </c>
      <c r="C682" t="s">
        <v>2664</v>
      </c>
      <c r="D682" t="s">
        <v>3984</v>
      </c>
      <c r="E682" s="1">
        <v>44351</v>
      </c>
      <c r="F682" t="s">
        <v>4002</v>
      </c>
      <c r="G682" t="s">
        <v>4012</v>
      </c>
      <c r="H682" t="s">
        <v>4018</v>
      </c>
      <c r="I682" t="s">
        <v>4024</v>
      </c>
      <c r="J682" t="s">
        <v>4027</v>
      </c>
      <c r="K682" s="2">
        <v>44549</v>
      </c>
      <c r="L682" s="2">
        <v>44554</v>
      </c>
      <c r="M682">
        <v>5</v>
      </c>
      <c r="N682">
        <v>120</v>
      </c>
      <c r="O682">
        <f>IF(Tickets[[#This Row],[Ticket Priority]]="Critical",24,
IF(Tickets[[#This Row],[Ticket Priority]]="High",48,
IF(Tickets[[#This Row],[Ticket Priority]]="Medium",120,168)))</f>
        <v>168</v>
      </c>
      <c r="P682" t="str">
        <f>IF(Tickets[[#This Row],[Resolution Duration Hours]] &lt;= Tickets[[#This Row],[SLA_Target_Hours]], "Yes", "No")</f>
        <v>Yes</v>
      </c>
    </row>
    <row r="683" spans="1:16">
      <c r="A683">
        <v>692</v>
      </c>
      <c r="B683" t="s">
        <v>702</v>
      </c>
      <c r="C683" t="s">
        <v>2674</v>
      </c>
      <c r="D683" t="s">
        <v>3984</v>
      </c>
      <c r="E683" s="1">
        <v>44700</v>
      </c>
      <c r="F683" t="s">
        <v>3999</v>
      </c>
      <c r="G683" t="s">
        <v>4015</v>
      </c>
      <c r="H683" t="s">
        <v>4017</v>
      </c>
      <c r="I683" t="s">
        <v>4024</v>
      </c>
      <c r="J683" t="s">
        <v>4026</v>
      </c>
      <c r="K683" s="2">
        <v>44827</v>
      </c>
      <c r="L683" s="2">
        <v>44836</v>
      </c>
      <c r="N683">
        <v>216</v>
      </c>
      <c r="O683">
        <f>IF(Tickets[[#This Row],[Ticket Priority]]="Critical",24,
IF(Tickets[[#This Row],[Ticket Priority]]="High",48,
IF(Tickets[[#This Row],[Ticket Priority]]="Medium",120,168)))</f>
        <v>168</v>
      </c>
      <c r="P683" t="str">
        <f>IF(Tickets[[#This Row],[Resolution Duration Hours]] &lt;= Tickets[[#This Row],[SLA_Target_Hours]], "Yes", "No")</f>
        <v>No</v>
      </c>
    </row>
    <row r="684" spans="1:16" hidden="1">
      <c r="A684">
        <v>683</v>
      </c>
      <c r="B684" t="s">
        <v>693</v>
      </c>
      <c r="C684" t="s">
        <v>2666</v>
      </c>
      <c r="D684" t="s">
        <v>3995</v>
      </c>
      <c r="E684" s="1">
        <v>44266</v>
      </c>
      <c r="F684" t="s">
        <v>3999</v>
      </c>
      <c r="G684" t="s">
        <v>4000</v>
      </c>
      <c r="H684" t="s">
        <v>4018</v>
      </c>
      <c r="I684" t="s">
        <v>4024</v>
      </c>
      <c r="J684" t="s">
        <v>4028</v>
      </c>
      <c r="K684" s="2">
        <v>44436</v>
      </c>
      <c r="L684" s="2">
        <v>44442</v>
      </c>
      <c r="M684">
        <v>4</v>
      </c>
      <c r="N684">
        <v>144</v>
      </c>
      <c r="O684">
        <f>IF(Tickets[[#This Row],[Ticket Priority]]="Critical",24,
IF(Tickets[[#This Row],[Ticket Priority]]="High",48,
IF(Tickets[[#This Row],[Ticket Priority]]="Medium",120,168)))</f>
        <v>168</v>
      </c>
      <c r="P684" t="str">
        <f>IF(Tickets[[#This Row],[Resolution Duration Hours]] &lt;= Tickets[[#This Row],[SLA_Target_Hours]], "Yes", "No")</f>
        <v>Yes</v>
      </c>
    </row>
    <row r="685" spans="1:16" hidden="1">
      <c r="A685">
        <v>684</v>
      </c>
      <c r="B685" t="s">
        <v>694</v>
      </c>
      <c r="C685" t="s">
        <v>2667</v>
      </c>
      <c r="D685" t="s">
        <v>3991</v>
      </c>
      <c r="E685" s="1">
        <v>44012</v>
      </c>
      <c r="F685" t="s">
        <v>4002</v>
      </c>
      <c r="G685" t="s">
        <v>4010</v>
      </c>
      <c r="H685" t="s">
        <v>4018</v>
      </c>
      <c r="I685" t="s">
        <v>4022</v>
      </c>
      <c r="J685" t="s">
        <v>4025</v>
      </c>
      <c r="K685" s="2">
        <v>44179</v>
      </c>
      <c r="L685" s="2">
        <v>44179</v>
      </c>
      <c r="M685">
        <v>5</v>
      </c>
      <c r="N685">
        <v>0</v>
      </c>
      <c r="O685">
        <f>IF(Tickets[[#This Row],[Ticket Priority]]="Critical",24,
IF(Tickets[[#This Row],[Ticket Priority]]="High",48,
IF(Tickets[[#This Row],[Ticket Priority]]="Medium",120,168)))</f>
        <v>24</v>
      </c>
      <c r="P685" t="str">
        <f>IF(Tickets[[#This Row],[Resolution Duration Hours]] &lt;= Tickets[[#This Row],[SLA_Target_Hours]], "Yes", "No")</f>
        <v>Yes</v>
      </c>
    </row>
    <row r="686" spans="1:16" hidden="1">
      <c r="A686">
        <v>685</v>
      </c>
      <c r="B686" t="s">
        <v>695</v>
      </c>
      <c r="C686" t="s">
        <v>2668</v>
      </c>
      <c r="D686" t="s">
        <v>3986</v>
      </c>
      <c r="E686" s="1">
        <v>44603</v>
      </c>
      <c r="F686" t="s">
        <v>4002</v>
      </c>
      <c r="G686" t="s">
        <v>4016</v>
      </c>
      <c r="H686" t="s">
        <v>4020</v>
      </c>
      <c r="I686" t="s">
        <v>4021</v>
      </c>
      <c r="J686" t="s">
        <v>4028</v>
      </c>
      <c r="K686" s="2">
        <v>44763</v>
      </c>
      <c r="L686" s="2">
        <v>44765</v>
      </c>
      <c r="N686">
        <v>48</v>
      </c>
      <c r="O686">
        <f>IF(Tickets[[#This Row],[Ticket Priority]]="Critical",24,
IF(Tickets[[#This Row],[Ticket Priority]]="High",48,
IF(Tickets[[#This Row],[Ticket Priority]]="Medium",120,168)))</f>
        <v>48</v>
      </c>
      <c r="P686" t="str">
        <f>IF(Tickets[[#This Row],[Resolution Duration Hours]] &lt;= Tickets[[#This Row],[SLA_Target_Hours]], "Yes", "No")</f>
        <v>Yes</v>
      </c>
    </row>
    <row r="687" spans="1:16">
      <c r="A687">
        <v>705</v>
      </c>
      <c r="B687" t="s">
        <v>715</v>
      </c>
      <c r="C687" t="s">
        <v>2687</v>
      </c>
      <c r="D687" t="s">
        <v>3994</v>
      </c>
      <c r="E687" s="1">
        <v>44757</v>
      </c>
      <c r="F687" t="s">
        <v>3999</v>
      </c>
      <c r="G687" t="s">
        <v>4014</v>
      </c>
      <c r="H687" t="s">
        <v>4018</v>
      </c>
      <c r="I687" t="s">
        <v>4024</v>
      </c>
      <c r="J687" t="s">
        <v>4026</v>
      </c>
      <c r="K687" s="2">
        <v>45086</v>
      </c>
      <c r="L687" s="2">
        <v>45095</v>
      </c>
      <c r="M687">
        <v>4</v>
      </c>
      <c r="N687">
        <v>216</v>
      </c>
      <c r="O687">
        <f>IF(Tickets[[#This Row],[Ticket Priority]]="Critical",24,
IF(Tickets[[#This Row],[Ticket Priority]]="High",48,
IF(Tickets[[#This Row],[Ticket Priority]]="Medium",120,168)))</f>
        <v>168</v>
      </c>
      <c r="P687" t="str">
        <f>IF(Tickets[[#This Row],[Resolution Duration Hours]] &lt;= Tickets[[#This Row],[SLA_Target_Hours]], "Yes", "No")</f>
        <v>No</v>
      </c>
    </row>
    <row r="688" spans="1:16" hidden="1">
      <c r="A688">
        <v>687</v>
      </c>
      <c r="B688" t="s">
        <v>697</v>
      </c>
      <c r="C688" t="s">
        <v>2670</v>
      </c>
      <c r="D688" t="s">
        <v>3981</v>
      </c>
      <c r="E688" s="1">
        <v>44607</v>
      </c>
      <c r="F688" t="s">
        <v>3998</v>
      </c>
      <c r="G688" t="s">
        <v>4013</v>
      </c>
      <c r="H688" t="s">
        <v>4017</v>
      </c>
      <c r="I688" t="s">
        <v>4023</v>
      </c>
      <c r="J688" t="s">
        <v>4026</v>
      </c>
      <c r="K688" s="2">
        <v>44700</v>
      </c>
      <c r="L688" s="2">
        <v>44704</v>
      </c>
      <c r="N688">
        <v>96</v>
      </c>
      <c r="O688">
        <f>IF(Tickets[[#This Row],[Ticket Priority]]="Critical",24,
IF(Tickets[[#This Row],[Ticket Priority]]="High",48,
IF(Tickets[[#This Row],[Ticket Priority]]="Medium",120,168)))</f>
        <v>120</v>
      </c>
      <c r="P688" t="str">
        <f>IF(Tickets[[#This Row],[Resolution Duration Hours]] &lt;= Tickets[[#This Row],[SLA_Target_Hours]], "Yes", "No")</f>
        <v>Yes</v>
      </c>
    </row>
    <row r="689" spans="1:16" hidden="1">
      <c r="A689">
        <v>688</v>
      </c>
      <c r="B689" t="s">
        <v>698</v>
      </c>
      <c r="C689" t="s">
        <v>2671</v>
      </c>
      <c r="D689" t="s">
        <v>3993</v>
      </c>
      <c r="E689" s="1">
        <v>44882</v>
      </c>
      <c r="F689" t="s">
        <v>3999</v>
      </c>
      <c r="G689" t="s">
        <v>4014</v>
      </c>
      <c r="H689" t="s">
        <v>4018</v>
      </c>
      <c r="I689" t="s">
        <v>4021</v>
      </c>
      <c r="J689" t="s">
        <v>4026</v>
      </c>
      <c r="K689" s="2">
        <v>44928</v>
      </c>
      <c r="L689" s="2">
        <v>44929</v>
      </c>
      <c r="M689">
        <v>4</v>
      </c>
      <c r="N689">
        <v>24</v>
      </c>
      <c r="O689">
        <f>IF(Tickets[[#This Row],[Ticket Priority]]="Critical",24,
IF(Tickets[[#This Row],[Ticket Priority]]="High",48,
IF(Tickets[[#This Row],[Ticket Priority]]="Medium",120,168)))</f>
        <v>48</v>
      </c>
      <c r="P689" t="str">
        <f>IF(Tickets[[#This Row],[Resolution Duration Hours]] &lt;= Tickets[[#This Row],[SLA_Target_Hours]], "Yes", "No")</f>
        <v>Yes</v>
      </c>
    </row>
    <row r="690" spans="1:16" hidden="1">
      <c r="A690">
        <v>689</v>
      </c>
      <c r="B690" t="s">
        <v>699</v>
      </c>
      <c r="C690" t="s">
        <v>2454</v>
      </c>
      <c r="D690" t="s">
        <v>3981</v>
      </c>
      <c r="E690" s="1">
        <v>44754</v>
      </c>
      <c r="F690" t="s">
        <v>4000</v>
      </c>
      <c r="G690" t="s">
        <v>4003</v>
      </c>
      <c r="H690" t="s">
        <v>4020</v>
      </c>
      <c r="I690" t="s">
        <v>4021</v>
      </c>
      <c r="J690" t="s">
        <v>4028</v>
      </c>
      <c r="K690" s="2">
        <v>44841</v>
      </c>
      <c r="L690" s="2">
        <v>44842</v>
      </c>
      <c r="N690">
        <v>24</v>
      </c>
      <c r="O690">
        <f>IF(Tickets[[#This Row],[Ticket Priority]]="Critical",24,
IF(Tickets[[#This Row],[Ticket Priority]]="High",48,
IF(Tickets[[#This Row],[Ticket Priority]]="Medium",120,168)))</f>
        <v>48</v>
      </c>
      <c r="P690" t="str">
        <f>IF(Tickets[[#This Row],[Resolution Duration Hours]] &lt;= Tickets[[#This Row],[SLA_Target_Hours]], "Yes", "No")</f>
        <v>Yes</v>
      </c>
    </row>
    <row r="691" spans="1:16" hidden="1">
      <c r="A691">
        <v>690</v>
      </c>
      <c r="B691" t="s">
        <v>700</v>
      </c>
      <c r="C691" t="s">
        <v>2672</v>
      </c>
      <c r="D691" t="s">
        <v>3993</v>
      </c>
      <c r="E691" s="1">
        <v>43865</v>
      </c>
      <c r="F691" t="s">
        <v>4000</v>
      </c>
      <c r="G691" t="s">
        <v>4016</v>
      </c>
      <c r="H691" t="s">
        <v>4018</v>
      </c>
      <c r="I691" t="s">
        <v>4024</v>
      </c>
      <c r="J691" t="s">
        <v>4026</v>
      </c>
      <c r="K691" s="2">
        <v>44230</v>
      </c>
      <c r="L691" s="2">
        <v>44236</v>
      </c>
      <c r="M691">
        <v>5</v>
      </c>
      <c r="N691">
        <v>144</v>
      </c>
      <c r="O691">
        <f>IF(Tickets[[#This Row],[Ticket Priority]]="Critical",24,
IF(Tickets[[#This Row],[Ticket Priority]]="High",48,
IF(Tickets[[#This Row],[Ticket Priority]]="Medium",120,168)))</f>
        <v>168</v>
      </c>
      <c r="P691" t="str">
        <f>IF(Tickets[[#This Row],[Resolution Duration Hours]] &lt;= Tickets[[#This Row],[SLA_Target_Hours]], "Yes", "No")</f>
        <v>Yes</v>
      </c>
    </row>
    <row r="692" spans="1:16" hidden="1">
      <c r="A692">
        <v>691</v>
      </c>
      <c r="B692" t="s">
        <v>701</v>
      </c>
      <c r="C692" t="s">
        <v>2673</v>
      </c>
      <c r="D692" t="s">
        <v>3989</v>
      </c>
      <c r="E692" s="1">
        <v>44326</v>
      </c>
      <c r="F692" t="s">
        <v>4002</v>
      </c>
      <c r="G692" t="s">
        <v>4009</v>
      </c>
      <c r="H692" t="s">
        <v>4017</v>
      </c>
      <c r="I692" t="s">
        <v>4021</v>
      </c>
      <c r="J692" t="s">
        <v>4027</v>
      </c>
      <c r="K692" s="2">
        <v>44470</v>
      </c>
      <c r="L692" s="2">
        <v>44472</v>
      </c>
      <c r="N692">
        <v>48</v>
      </c>
      <c r="O692">
        <f>IF(Tickets[[#This Row],[Ticket Priority]]="Critical",24,
IF(Tickets[[#This Row],[Ticket Priority]]="High",48,
IF(Tickets[[#This Row],[Ticket Priority]]="Medium",120,168)))</f>
        <v>48</v>
      </c>
      <c r="P692" t="str">
        <f>IF(Tickets[[#This Row],[Resolution Duration Hours]] &lt;= Tickets[[#This Row],[SLA_Target_Hours]], "Yes", "No")</f>
        <v>Yes</v>
      </c>
    </row>
    <row r="693" spans="1:16">
      <c r="A693">
        <v>741</v>
      </c>
      <c r="B693" t="s">
        <v>750</v>
      </c>
      <c r="C693" t="s">
        <v>2723</v>
      </c>
      <c r="D693" t="s">
        <v>3979</v>
      </c>
      <c r="E693" s="1">
        <v>44845</v>
      </c>
      <c r="F693" t="s">
        <v>4002</v>
      </c>
      <c r="G693" t="s">
        <v>4008</v>
      </c>
      <c r="H693" t="s">
        <v>4017</v>
      </c>
      <c r="I693" t="s">
        <v>4024</v>
      </c>
      <c r="J693" t="s">
        <v>4026</v>
      </c>
      <c r="K693" s="2">
        <v>44869</v>
      </c>
      <c r="L693" s="2">
        <v>44878</v>
      </c>
      <c r="N693">
        <v>216</v>
      </c>
      <c r="O693">
        <f>IF(Tickets[[#This Row],[Ticket Priority]]="Critical",24,
IF(Tickets[[#This Row],[Ticket Priority]]="High",48,
IF(Tickets[[#This Row],[Ticket Priority]]="Medium",120,168)))</f>
        <v>168</v>
      </c>
      <c r="P693" t="str">
        <f>IF(Tickets[[#This Row],[Resolution Duration Hours]] &lt;= Tickets[[#This Row],[SLA_Target_Hours]], "Yes", "No")</f>
        <v>No</v>
      </c>
    </row>
    <row r="694" spans="1:16" hidden="1">
      <c r="A694">
        <v>693</v>
      </c>
      <c r="B694" t="s">
        <v>703</v>
      </c>
      <c r="C694" t="s">
        <v>2675</v>
      </c>
      <c r="D694" t="s">
        <v>3996</v>
      </c>
      <c r="E694" s="1">
        <v>44097</v>
      </c>
      <c r="F694" t="s">
        <v>4001</v>
      </c>
      <c r="G694" t="s">
        <v>4007</v>
      </c>
      <c r="H694" t="s">
        <v>4018</v>
      </c>
      <c r="I694" t="s">
        <v>4023</v>
      </c>
      <c r="J694" t="s">
        <v>4028</v>
      </c>
      <c r="K694" s="2">
        <v>44448</v>
      </c>
      <c r="L694" s="2">
        <v>44451</v>
      </c>
      <c r="N694">
        <v>72</v>
      </c>
      <c r="O694">
        <f>IF(Tickets[[#This Row],[Ticket Priority]]="Critical",24,
IF(Tickets[[#This Row],[Ticket Priority]]="High",48,
IF(Tickets[[#This Row],[Ticket Priority]]="Medium",120,168)))</f>
        <v>120</v>
      </c>
      <c r="P694" t="str">
        <f>IF(Tickets[[#This Row],[Resolution Duration Hours]] &lt;= Tickets[[#This Row],[SLA_Target_Hours]], "Yes", "No")</f>
        <v>Yes</v>
      </c>
    </row>
    <row r="695" spans="1:16" hidden="1">
      <c r="A695">
        <v>694</v>
      </c>
      <c r="B695" t="s">
        <v>704</v>
      </c>
      <c r="C695" t="s">
        <v>2676</v>
      </c>
      <c r="D695" t="s">
        <v>3992</v>
      </c>
      <c r="E695" s="1">
        <v>44880</v>
      </c>
      <c r="F695" t="s">
        <v>3999</v>
      </c>
      <c r="G695" t="s">
        <v>4004</v>
      </c>
      <c r="H695" t="s">
        <v>4018</v>
      </c>
      <c r="I695" t="s">
        <v>4024</v>
      </c>
      <c r="J695" t="s">
        <v>4026</v>
      </c>
      <c r="K695" s="2">
        <v>45062</v>
      </c>
      <c r="L695" s="2">
        <v>45069</v>
      </c>
      <c r="M695">
        <v>2</v>
      </c>
      <c r="N695">
        <v>168</v>
      </c>
      <c r="O695">
        <f>IF(Tickets[[#This Row],[Ticket Priority]]="Critical",24,
IF(Tickets[[#This Row],[Ticket Priority]]="High",48,
IF(Tickets[[#This Row],[Ticket Priority]]="Medium",120,168)))</f>
        <v>168</v>
      </c>
      <c r="P695" t="str">
        <f>IF(Tickets[[#This Row],[Resolution Duration Hours]] &lt;= Tickets[[#This Row],[SLA_Target_Hours]], "Yes", "No")</f>
        <v>Yes</v>
      </c>
    </row>
    <row r="696" spans="1:16" hidden="1">
      <c r="A696">
        <v>695</v>
      </c>
      <c r="B696" t="s">
        <v>705</v>
      </c>
      <c r="C696" t="s">
        <v>2677</v>
      </c>
      <c r="D696" t="s">
        <v>3986</v>
      </c>
      <c r="E696" s="1">
        <v>44808</v>
      </c>
      <c r="F696" t="s">
        <v>4002</v>
      </c>
      <c r="G696" t="s">
        <v>4004</v>
      </c>
      <c r="H696" t="s">
        <v>4017</v>
      </c>
      <c r="I696" t="s">
        <v>4021</v>
      </c>
      <c r="J696" t="s">
        <v>4026</v>
      </c>
      <c r="K696" s="2">
        <v>45010</v>
      </c>
      <c r="L696" s="2">
        <v>45012</v>
      </c>
      <c r="N696">
        <v>48</v>
      </c>
      <c r="O696">
        <f>IF(Tickets[[#This Row],[Ticket Priority]]="Critical",24,
IF(Tickets[[#This Row],[Ticket Priority]]="High",48,
IF(Tickets[[#This Row],[Ticket Priority]]="Medium",120,168)))</f>
        <v>48</v>
      </c>
      <c r="P696" t="str">
        <f>IF(Tickets[[#This Row],[Resolution Duration Hours]] &lt;= Tickets[[#This Row],[SLA_Target_Hours]], "Yes", "No")</f>
        <v>Yes</v>
      </c>
    </row>
    <row r="697" spans="1:16" hidden="1">
      <c r="A697">
        <v>696</v>
      </c>
      <c r="B697" t="s">
        <v>706</v>
      </c>
      <c r="C697" t="s">
        <v>2678</v>
      </c>
      <c r="D697" t="s">
        <v>3992</v>
      </c>
      <c r="E697" s="1">
        <v>45005</v>
      </c>
      <c r="F697" t="s">
        <v>4001</v>
      </c>
      <c r="G697" t="s">
        <v>4014</v>
      </c>
      <c r="H697" t="s">
        <v>4018</v>
      </c>
      <c r="I697" t="s">
        <v>4021</v>
      </c>
      <c r="J697" t="s">
        <v>4026</v>
      </c>
      <c r="K697" s="2">
        <v>45178</v>
      </c>
      <c r="L697" s="2">
        <v>45180</v>
      </c>
      <c r="M697">
        <v>5</v>
      </c>
      <c r="N697">
        <v>48</v>
      </c>
      <c r="O697">
        <f>IF(Tickets[[#This Row],[Ticket Priority]]="Critical",24,
IF(Tickets[[#This Row],[Ticket Priority]]="High",48,
IF(Tickets[[#This Row],[Ticket Priority]]="Medium",120,168)))</f>
        <v>48</v>
      </c>
      <c r="P697" t="str">
        <f>IF(Tickets[[#This Row],[Resolution Duration Hours]] &lt;= Tickets[[#This Row],[SLA_Target_Hours]], "Yes", "No")</f>
        <v>Yes</v>
      </c>
    </row>
    <row r="698" spans="1:16" hidden="1">
      <c r="A698">
        <v>697</v>
      </c>
      <c r="B698" t="s">
        <v>707</v>
      </c>
      <c r="C698" t="s">
        <v>2679</v>
      </c>
      <c r="D698" t="s">
        <v>3990</v>
      </c>
      <c r="E698" s="1">
        <v>44832</v>
      </c>
      <c r="F698" t="s">
        <v>3999</v>
      </c>
      <c r="G698" t="s">
        <v>4000</v>
      </c>
      <c r="H698" t="s">
        <v>4020</v>
      </c>
      <c r="I698" t="s">
        <v>4023</v>
      </c>
      <c r="J698" t="s">
        <v>4026</v>
      </c>
      <c r="K698" s="2">
        <v>45016</v>
      </c>
      <c r="L698" s="2">
        <v>45016</v>
      </c>
      <c r="N698">
        <v>0</v>
      </c>
      <c r="O698">
        <f>IF(Tickets[[#This Row],[Ticket Priority]]="Critical",24,
IF(Tickets[[#This Row],[Ticket Priority]]="High",48,
IF(Tickets[[#This Row],[Ticket Priority]]="Medium",120,168)))</f>
        <v>120</v>
      </c>
      <c r="P698" t="str">
        <f>IF(Tickets[[#This Row],[Resolution Duration Hours]] &lt;= Tickets[[#This Row],[SLA_Target_Hours]], "Yes", "No")</f>
        <v>Yes</v>
      </c>
    </row>
    <row r="699" spans="1:16">
      <c r="A699">
        <v>742</v>
      </c>
      <c r="B699" t="s">
        <v>751</v>
      </c>
      <c r="C699" t="s">
        <v>2724</v>
      </c>
      <c r="D699" t="s">
        <v>3980</v>
      </c>
      <c r="E699" s="1">
        <v>43836</v>
      </c>
      <c r="F699" t="s">
        <v>3998</v>
      </c>
      <c r="G699" t="s">
        <v>4013</v>
      </c>
      <c r="H699" t="s">
        <v>4018</v>
      </c>
      <c r="I699" t="s">
        <v>4024</v>
      </c>
      <c r="J699" t="s">
        <v>4026</v>
      </c>
      <c r="K699" s="2">
        <v>44125</v>
      </c>
      <c r="L699" s="2">
        <v>44134</v>
      </c>
      <c r="M699">
        <v>4</v>
      </c>
      <c r="N699">
        <v>216</v>
      </c>
      <c r="O699">
        <f>IF(Tickets[[#This Row],[Ticket Priority]]="Critical",24,
IF(Tickets[[#This Row],[Ticket Priority]]="High",48,
IF(Tickets[[#This Row],[Ticket Priority]]="Medium",120,168)))</f>
        <v>168</v>
      </c>
      <c r="P699" t="str">
        <f>IF(Tickets[[#This Row],[Resolution Duration Hours]] &lt;= Tickets[[#This Row],[SLA_Target_Hours]], "Yes", "No")</f>
        <v>No</v>
      </c>
    </row>
    <row r="700" spans="1:16" hidden="1">
      <c r="A700">
        <v>699</v>
      </c>
      <c r="B700" t="s">
        <v>709</v>
      </c>
      <c r="C700" t="s">
        <v>2681</v>
      </c>
      <c r="D700" t="s">
        <v>3989</v>
      </c>
      <c r="E700" s="1">
        <v>44006</v>
      </c>
      <c r="F700" t="s">
        <v>4000</v>
      </c>
      <c r="G700" t="s">
        <v>4010</v>
      </c>
      <c r="H700" t="s">
        <v>4018</v>
      </c>
      <c r="I700" t="s">
        <v>4021</v>
      </c>
      <c r="J700" t="s">
        <v>4026</v>
      </c>
      <c r="K700" s="2">
        <v>44082</v>
      </c>
      <c r="L700" s="2">
        <v>44083</v>
      </c>
      <c r="M700">
        <v>5</v>
      </c>
      <c r="N700">
        <v>24</v>
      </c>
      <c r="O700">
        <f>IF(Tickets[[#This Row],[Ticket Priority]]="Critical",24,
IF(Tickets[[#This Row],[Ticket Priority]]="High",48,
IF(Tickets[[#This Row],[Ticket Priority]]="Medium",120,168)))</f>
        <v>48</v>
      </c>
      <c r="P700" t="str">
        <f>IF(Tickets[[#This Row],[Resolution Duration Hours]] &lt;= Tickets[[#This Row],[SLA_Target_Hours]], "Yes", "No")</f>
        <v>Yes</v>
      </c>
    </row>
    <row r="701" spans="1:16" hidden="1">
      <c r="A701">
        <v>700</v>
      </c>
      <c r="B701" t="s">
        <v>710</v>
      </c>
      <c r="C701" t="s">
        <v>2682</v>
      </c>
      <c r="D701" t="s">
        <v>3991</v>
      </c>
      <c r="E701" s="1">
        <v>44461</v>
      </c>
      <c r="F701" t="s">
        <v>4002</v>
      </c>
      <c r="G701" t="s">
        <v>4016</v>
      </c>
      <c r="H701" t="s">
        <v>4017</v>
      </c>
      <c r="I701" t="s">
        <v>4021</v>
      </c>
      <c r="J701" t="s">
        <v>4026</v>
      </c>
      <c r="K701" s="2">
        <v>44709</v>
      </c>
      <c r="L701" s="2">
        <v>44710</v>
      </c>
      <c r="N701">
        <v>24</v>
      </c>
      <c r="O701">
        <f>IF(Tickets[[#This Row],[Ticket Priority]]="Critical",24,
IF(Tickets[[#This Row],[Ticket Priority]]="High",48,
IF(Tickets[[#This Row],[Ticket Priority]]="Medium",120,168)))</f>
        <v>48</v>
      </c>
      <c r="P701" t="str">
        <f>IF(Tickets[[#This Row],[Resolution Duration Hours]] &lt;= Tickets[[#This Row],[SLA_Target_Hours]], "Yes", "No")</f>
        <v>Yes</v>
      </c>
    </row>
    <row r="702" spans="1:16">
      <c r="A702">
        <v>751</v>
      </c>
      <c r="B702" t="s">
        <v>760</v>
      </c>
      <c r="C702" t="s">
        <v>2733</v>
      </c>
      <c r="D702" t="s">
        <v>3984</v>
      </c>
      <c r="E702" s="1">
        <v>44590</v>
      </c>
      <c r="F702" t="s">
        <v>4002</v>
      </c>
      <c r="G702" t="s">
        <v>4006</v>
      </c>
      <c r="H702" t="s">
        <v>4018</v>
      </c>
      <c r="I702" t="s">
        <v>4024</v>
      </c>
      <c r="J702" t="s">
        <v>4026</v>
      </c>
      <c r="K702" s="2">
        <v>44931</v>
      </c>
      <c r="L702" s="2">
        <v>44940</v>
      </c>
      <c r="M702">
        <v>3</v>
      </c>
      <c r="N702">
        <v>216</v>
      </c>
      <c r="O702">
        <f>IF(Tickets[[#This Row],[Ticket Priority]]="Critical",24,
IF(Tickets[[#This Row],[Ticket Priority]]="High",48,
IF(Tickets[[#This Row],[Ticket Priority]]="Medium",120,168)))</f>
        <v>168</v>
      </c>
      <c r="P702" t="str">
        <f>IF(Tickets[[#This Row],[Resolution Duration Hours]] &lt;= Tickets[[#This Row],[SLA_Target_Hours]], "Yes", "No")</f>
        <v>No</v>
      </c>
    </row>
    <row r="703" spans="1:16" hidden="1">
      <c r="A703">
        <v>702</v>
      </c>
      <c r="B703" t="s">
        <v>712</v>
      </c>
      <c r="C703" t="s">
        <v>2684</v>
      </c>
      <c r="D703" t="s">
        <v>3982</v>
      </c>
      <c r="E703" s="1">
        <v>44909</v>
      </c>
      <c r="F703" t="s">
        <v>3999</v>
      </c>
      <c r="G703" t="s">
        <v>4013</v>
      </c>
      <c r="H703" t="s">
        <v>4017</v>
      </c>
      <c r="I703" t="s">
        <v>4021</v>
      </c>
      <c r="J703" t="s">
        <v>4026</v>
      </c>
      <c r="K703" s="2">
        <v>45122</v>
      </c>
      <c r="L703" s="2">
        <v>45123</v>
      </c>
      <c r="N703">
        <v>24</v>
      </c>
      <c r="O703">
        <f>IF(Tickets[[#This Row],[Ticket Priority]]="Critical",24,
IF(Tickets[[#This Row],[Ticket Priority]]="High",48,
IF(Tickets[[#This Row],[Ticket Priority]]="Medium",120,168)))</f>
        <v>48</v>
      </c>
      <c r="P703" t="str">
        <f>IF(Tickets[[#This Row],[Resolution Duration Hours]] &lt;= Tickets[[#This Row],[SLA_Target_Hours]], "Yes", "No")</f>
        <v>Yes</v>
      </c>
    </row>
    <row r="704" spans="1:16">
      <c r="A704">
        <v>816</v>
      </c>
      <c r="B704" t="s">
        <v>824</v>
      </c>
      <c r="C704" t="s">
        <v>2798</v>
      </c>
      <c r="D704" t="s">
        <v>3982</v>
      </c>
      <c r="E704" s="1">
        <v>45017</v>
      </c>
      <c r="F704" t="s">
        <v>3998</v>
      </c>
      <c r="G704" t="s">
        <v>4003</v>
      </c>
      <c r="H704" t="s">
        <v>4020</v>
      </c>
      <c r="I704" t="s">
        <v>4024</v>
      </c>
      <c r="J704" t="s">
        <v>4026</v>
      </c>
      <c r="K704" s="2">
        <v>45229</v>
      </c>
      <c r="L704" s="2">
        <v>45238</v>
      </c>
      <c r="N704">
        <v>216</v>
      </c>
      <c r="O704">
        <f>IF(Tickets[[#This Row],[Ticket Priority]]="Critical",24,
IF(Tickets[[#This Row],[Ticket Priority]]="High",48,
IF(Tickets[[#This Row],[Ticket Priority]]="Medium",120,168)))</f>
        <v>168</v>
      </c>
      <c r="P704" t="str">
        <f>IF(Tickets[[#This Row],[Resolution Duration Hours]] &lt;= Tickets[[#This Row],[SLA_Target_Hours]], "Yes", "No")</f>
        <v>No</v>
      </c>
    </row>
    <row r="705" spans="1:16" hidden="1">
      <c r="A705">
        <v>704</v>
      </c>
      <c r="B705" t="s">
        <v>714</v>
      </c>
      <c r="C705" t="s">
        <v>2686</v>
      </c>
      <c r="D705" t="s">
        <v>3990</v>
      </c>
      <c r="E705" s="1">
        <v>44336</v>
      </c>
      <c r="F705" t="s">
        <v>3998</v>
      </c>
      <c r="G705" t="s">
        <v>4014</v>
      </c>
      <c r="H705" t="s">
        <v>4018</v>
      </c>
      <c r="I705" t="s">
        <v>4023</v>
      </c>
      <c r="J705" t="s">
        <v>4027</v>
      </c>
      <c r="K705" s="2">
        <v>44640</v>
      </c>
      <c r="L705" s="2">
        <v>44643</v>
      </c>
      <c r="M705">
        <v>4</v>
      </c>
      <c r="N705">
        <v>72</v>
      </c>
      <c r="O705">
        <f>IF(Tickets[[#This Row],[Ticket Priority]]="Critical",24,
IF(Tickets[[#This Row],[Ticket Priority]]="High",48,
IF(Tickets[[#This Row],[Ticket Priority]]="Medium",120,168)))</f>
        <v>120</v>
      </c>
      <c r="P705" t="str">
        <f>IF(Tickets[[#This Row],[Resolution Duration Hours]] &lt;= Tickets[[#This Row],[SLA_Target_Hours]], "Yes", "No")</f>
        <v>Yes</v>
      </c>
    </row>
    <row r="706" spans="1:16">
      <c r="A706">
        <v>890</v>
      </c>
      <c r="B706" t="s">
        <v>898</v>
      </c>
      <c r="C706" t="s">
        <v>2872</v>
      </c>
      <c r="D706" t="s">
        <v>3994</v>
      </c>
      <c r="E706" s="1">
        <v>44516</v>
      </c>
      <c r="F706" t="s">
        <v>3998</v>
      </c>
      <c r="G706" t="s">
        <v>4009</v>
      </c>
      <c r="H706" t="s">
        <v>4018</v>
      </c>
      <c r="I706" t="s">
        <v>4024</v>
      </c>
      <c r="J706" t="s">
        <v>4025</v>
      </c>
      <c r="K706" s="2">
        <v>44603</v>
      </c>
      <c r="L706" s="2">
        <v>44612</v>
      </c>
      <c r="N706">
        <v>216</v>
      </c>
      <c r="O706">
        <f>IF(Tickets[[#This Row],[Ticket Priority]]="Critical",24,
IF(Tickets[[#This Row],[Ticket Priority]]="High",48,
IF(Tickets[[#This Row],[Ticket Priority]]="Medium",120,168)))</f>
        <v>168</v>
      </c>
      <c r="P706" t="str">
        <f>IF(Tickets[[#This Row],[Resolution Duration Hours]] &lt;= Tickets[[#This Row],[SLA_Target_Hours]], "Yes", "No")</f>
        <v>No</v>
      </c>
    </row>
    <row r="707" spans="1:16" hidden="1">
      <c r="A707">
        <v>706</v>
      </c>
      <c r="B707" t="s">
        <v>716</v>
      </c>
      <c r="C707" t="s">
        <v>2688</v>
      </c>
      <c r="D707" t="s">
        <v>3996</v>
      </c>
      <c r="E707" s="1">
        <v>45003</v>
      </c>
      <c r="F707" t="s">
        <v>4002</v>
      </c>
      <c r="G707" t="s">
        <v>4003</v>
      </c>
      <c r="H707" t="s">
        <v>4018</v>
      </c>
      <c r="I707" t="s">
        <v>4021</v>
      </c>
      <c r="J707" t="s">
        <v>4027</v>
      </c>
      <c r="K707" s="2">
        <v>45048</v>
      </c>
      <c r="L707" s="2">
        <v>45050</v>
      </c>
      <c r="M707">
        <v>4</v>
      </c>
      <c r="N707">
        <v>48</v>
      </c>
      <c r="O707">
        <f>IF(Tickets[[#This Row],[Ticket Priority]]="Critical",24,
IF(Tickets[[#This Row],[Ticket Priority]]="High",48,
IF(Tickets[[#This Row],[Ticket Priority]]="Medium",120,168)))</f>
        <v>48</v>
      </c>
      <c r="P707" t="str">
        <f>IF(Tickets[[#This Row],[Resolution Duration Hours]] &lt;= Tickets[[#This Row],[SLA_Target_Hours]], "Yes", "No")</f>
        <v>Yes</v>
      </c>
    </row>
    <row r="708" spans="1:16">
      <c r="A708">
        <v>923</v>
      </c>
      <c r="B708" t="s">
        <v>931</v>
      </c>
      <c r="C708" t="s">
        <v>2905</v>
      </c>
      <c r="D708" t="s">
        <v>3986</v>
      </c>
      <c r="E708" s="1">
        <v>44236</v>
      </c>
      <c r="F708" t="s">
        <v>4001</v>
      </c>
      <c r="G708" t="s">
        <v>4013</v>
      </c>
      <c r="H708" t="s">
        <v>4017</v>
      </c>
      <c r="I708" t="s">
        <v>4024</v>
      </c>
      <c r="J708" t="s">
        <v>4027</v>
      </c>
      <c r="K708" s="2">
        <v>44256</v>
      </c>
      <c r="L708" s="2">
        <v>44265</v>
      </c>
      <c r="N708">
        <v>216</v>
      </c>
      <c r="O708">
        <f>IF(Tickets[[#This Row],[Ticket Priority]]="Critical",24,
IF(Tickets[[#This Row],[Ticket Priority]]="High",48,
IF(Tickets[[#This Row],[Ticket Priority]]="Medium",120,168)))</f>
        <v>168</v>
      </c>
      <c r="P708" t="str">
        <f>IF(Tickets[[#This Row],[Resolution Duration Hours]] &lt;= Tickets[[#This Row],[SLA_Target_Hours]], "Yes", "No")</f>
        <v>No</v>
      </c>
    </row>
    <row r="709" spans="1:16" hidden="1">
      <c r="A709">
        <v>708</v>
      </c>
      <c r="B709" t="s">
        <v>718</v>
      </c>
      <c r="C709" t="s">
        <v>2690</v>
      </c>
      <c r="D709" t="s">
        <v>3984</v>
      </c>
      <c r="E709" s="1">
        <v>44365</v>
      </c>
      <c r="F709" t="s">
        <v>4000</v>
      </c>
      <c r="G709" t="s">
        <v>4013</v>
      </c>
      <c r="H709" t="s">
        <v>4020</v>
      </c>
      <c r="I709" t="s">
        <v>4023</v>
      </c>
      <c r="J709" t="s">
        <v>4028</v>
      </c>
      <c r="K709" s="2">
        <v>44563</v>
      </c>
      <c r="L709" s="2">
        <v>44566</v>
      </c>
      <c r="N709">
        <v>72</v>
      </c>
      <c r="O709">
        <f>IF(Tickets[[#This Row],[Ticket Priority]]="Critical",24,
IF(Tickets[[#This Row],[Ticket Priority]]="High",48,
IF(Tickets[[#This Row],[Ticket Priority]]="Medium",120,168)))</f>
        <v>120</v>
      </c>
      <c r="P709" t="str">
        <f>IF(Tickets[[#This Row],[Resolution Duration Hours]] &lt;= Tickets[[#This Row],[SLA_Target_Hours]], "Yes", "No")</f>
        <v>Yes</v>
      </c>
    </row>
    <row r="710" spans="1:16" hidden="1">
      <c r="A710">
        <v>709</v>
      </c>
      <c r="B710" t="s">
        <v>719</v>
      </c>
      <c r="C710" t="s">
        <v>2691</v>
      </c>
      <c r="D710" t="s">
        <v>3995</v>
      </c>
      <c r="E710" s="1">
        <v>43913</v>
      </c>
      <c r="F710" t="s">
        <v>4000</v>
      </c>
      <c r="G710" t="s">
        <v>4004</v>
      </c>
      <c r="H710" t="s">
        <v>4018</v>
      </c>
      <c r="I710" t="s">
        <v>4023</v>
      </c>
      <c r="J710" t="s">
        <v>4026</v>
      </c>
      <c r="K710" s="2">
        <v>43960</v>
      </c>
      <c r="L710" s="2">
        <v>43964</v>
      </c>
      <c r="M710">
        <v>5</v>
      </c>
      <c r="N710">
        <v>96</v>
      </c>
      <c r="O710">
        <f>IF(Tickets[[#This Row],[Ticket Priority]]="Critical",24,
IF(Tickets[[#This Row],[Ticket Priority]]="High",48,
IF(Tickets[[#This Row],[Ticket Priority]]="Medium",120,168)))</f>
        <v>120</v>
      </c>
      <c r="P710" t="str">
        <f>IF(Tickets[[#This Row],[Resolution Duration Hours]] &lt;= Tickets[[#This Row],[SLA_Target_Hours]], "Yes", "No")</f>
        <v>Yes</v>
      </c>
    </row>
    <row r="711" spans="1:16" hidden="1">
      <c r="A711">
        <v>710</v>
      </c>
      <c r="B711" t="s">
        <v>720</v>
      </c>
      <c r="C711" t="s">
        <v>2692</v>
      </c>
      <c r="D711" t="s">
        <v>3997</v>
      </c>
      <c r="E711" s="1">
        <v>44501</v>
      </c>
      <c r="F711" t="s">
        <v>3999</v>
      </c>
      <c r="G711" t="s">
        <v>4016</v>
      </c>
      <c r="H711" t="s">
        <v>4018</v>
      </c>
      <c r="I711" t="s">
        <v>4023</v>
      </c>
      <c r="J711" t="s">
        <v>4026</v>
      </c>
      <c r="K711" s="2">
        <v>44543</v>
      </c>
      <c r="L711" s="2">
        <v>44548</v>
      </c>
      <c r="M711">
        <v>5</v>
      </c>
      <c r="N711">
        <v>120</v>
      </c>
      <c r="O711">
        <f>IF(Tickets[[#This Row],[Ticket Priority]]="Critical",24,
IF(Tickets[[#This Row],[Ticket Priority]]="High",48,
IF(Tickets[[#This Row],[Ticket Priority]]="Medium",120,168)))</f>
        <v>120</v>
      </c>
      <c r="P711" t="str">
        <f>IF(Tickets[[#This Row],[Resolution Duration Hours]] &lt;= Tickets[[#This Row],[SLA_Target_Hours]], "Yes", "No")</f>
        <v>Yes</v>
      </c>
    </row>
    <row r="712" spans="1:16" hidden="1">
      <c r="A712">
        <v>711</v>
      </c>
      <c r="B712" t="s">
        <v>452</v>
      </c>
      <c r="C712" t="s">
        <v>2693</v>
      </c>
      <c r="D712" t="s">
        <v>3995</v>
      </c>
      <c r="E712" s="1">
        <v>44159</v>
      </c>
      <c r="F712" t="s">
        <v>4000</v>
      </c>
      <c r="G712" t="s">
        <v>4013</v>
      </c>
      <c r="H712" t="s">
        <v>4018</v>
      </c>
      <c r="I712" t="s">
        <v>4023</v>
      </c>
      <c r="J712" t="s">
        <v>4026</v>
      </c>
      <c r="K712" s="2">
        <v>44310</v>
      </c>
      <c r="L712" s="2">
        <v>44315</v>
      </c>
      <c r="M712">
        <v>3</v>
      </c>
      <c r="N712">
        <v>120</v>
      </c>
      <c r="O712">
        <f>IF(Tickets[[#This Row],[Ticket Priority]]="Critical",24,
IF(Tickets[[#This Row],[Ticket Priority]]="High",48,
IF(Tickets[[#This Row],[Ticket Priority]]="Medium",120,168)))</f>
        <v>120</v>
      </c>
      <c r="P712" t="str">
        <f>IF(Tickets[[#This Row],[Resolution Duration Hours]] &lt;= Tickets[[#This Row],[SLA_Target_Hours]], "Yes", "No")</f>
        <v>Yes</v>
      </c>
    </row>
    <row r="713" spans="1:16">
      <c r="A713">
        <v>940</v>
      </c>
      <c r="B713" t="s">
        <v>947</v>
      </c>
      <c r="C713" t="s">
        <v>2922</v>
      </c>
      <c r="D713" t="s">
        <v>3990</v>
      </c>
      <c r="E713" s="1">
        <v>43924</v>
      </c>
      <c r="F713" t="s">
        <v>4000</v>
      </c>
      <c r="G713" t="s">
        <v>4009</v>
      </c>
      <c r="H713" t="s">
        <v>4018</v>
      </c>
      <c r="I713" t="s">
        <v>4024</v>
      </c>
      <c r="J713" t="s">
        <v>4026</v>
      </c>
      <c r="K713" s="2">
        <v>43998</v>
      </c>
      <c r="L713" s="2">
        <v>44007</v>
      </c>
      <c r="M713">
        <v>4</v>
      </c>
      <c r="N713">
        <v>216</v>
      </c>
      <c r="O713">
        <f>IF(Tickets[[#This Row],[Ticket Priority]]="Critical",24,
IF(Tickets[[#This Row],[Ticket Priority]]="High",48,
IF(Tickets[[#This Row],[Ticket Priority]]="Medium",120,168)))</f>
        <v>168</v>
      </c>
      <c r="P713" t="str">
        <f>IF(Tickets[[#This Row],[Resolution Duration Hours]] &lt;= Tickets[[#This Row],[SLA_Target_Hours]], "Yes", "No")</f>
        <v>No</v>
      </c>
    </row>
    <row r="714" spans="1:16" hidden="1">
      <c r="A714">
        <v>713</v>
      </c>
      <c r="B714" t="s">
        <v>722</v>
      </c>
      <c r="C714" t="s">
        <v>2695</v>
      </c>
      <c r="D714" t="s">
        <v>3982</v>
      </c>
      <c r="E714" s="1">
        <v>44587</v>
      </c>
      <c r="F714" t="s">
        <v>4000</v>
      </c>
      <c r="G714" t="s">
        <v>4009</v>
      </c>
      <c r="H714" t="s">
        <v>4018</v>
      </c>
      <c r="I714" t="s">
        <v>4023</v>
      </c>
      <c r="J714" t="s">
        <v>4025</v>
      </c>
      <c r="K714" s="2">
        <v>44788</v>
      </c>
      <c r="L714" s="2">
        <v>44790</v>
      </c>
      <c r="M714">
        <v>4</v>
      </c>
      <c r="N714">
        <v>48</v>
      </c>
      <c r="O714">
        <f>IF(Tickets[[#This Row],[Ticket Priority]]="Critical",24,
IF(Tickets[[#This Row],[Ticket Priority]]="High",48,
IF(Tickets[[#This Row],[Ticket Priority]]="Medium",120,168)))</f>
        <v>120</v>
      </c>
      <c r="P714" t="str">
        <f>IF(Tickets[[#This Row],[Resolution Duration Hours]] &lt;= Tickets[[#This Row],[SLA_Target_Hours]], "Yes", "No")</f>
        <v>Yes</v>
      </c>
    </row>
    <row r="715" spans="1:16" hidden="1">
      <c r="A715">
        <v>714</v>
      </c>
      <c r="B715" t="s">
        <v>723</v>
      </c>
      <c r="C715" t="s">
        <v>2696</v>
      </c>
      <c r="D715" t="s">
        <v>3983</v>
      </c>
      <c r="E715" s="1">
        <v>45056</v>
      </c>
      <c r="F715" t="s">
        <v>4001</v>
      </c>
      <c r="G715" t="s">
        <v>4010</v>
      </c>
      <c r="H715" t="s">
        <v>4018</v>
      </c>
      <c r="I715" t="s">
        <v>4021</v>
      </c>
      <c r="J715" t="s">
        <v>4026</v>
      </c>
      <c r="K715" s="2">
        <v>45151</v>
      </c>
      <c r="L715" s="2">
        <v>45152</v>
      </c>
      <c r="M715">
        <v>4</v>
      </c>
      <c r="N715">
        <v>24</v>
      </c>
      <c r="O715">
        <f>IF(Tickets[[#This Row],[Ticket Priority]]="Critical",24,
IF(Tickets[[#This Row],[Ticket Priority]]="High",48,
IF(Tickets[[#This Row],[Ticket Priority]]="Medium",120,168)))</f>
        <v>48</v>
      </c>
      <c r="P715" t="str">
        <f>IF(Tickets[[#This Row],[Resolution Duration Hours]] &lt;= Tickets[[#This Row],[SLA_Target_Hours]], "Yes", "No")</f>
        <v>Yes</v>
      </c>
    </row>
    <row r="716" spans="1:16" hidden="1">
      <c r="A716">
        <v>715</v>
      </c>
      <c r="B716" t="s">
        <v>724</v>
      </c>
      <c r="C716" t="s">
        <v>2697</v>
      </c>
      <c r="D716" t="s">
        <v>3987</v>
      </c>
      <c r="E716" s="1">
        <v>44428</v>
      </c>
      <c r="F716" t="s">
        <v>3999</v>
      </c>
      <c r="G716" t="s">
        <v>4009</v>
      </c>
      <c r="H716" t="s">
        <v>4018</v>
      </c>
      <c r="I716" t="s">
        <v>4023</v>
      </c>
      <c r="J716" t="s">
        <v>4025</v>
      </c>
      <c r="K716" s="2">
        <v>44515</v>
      </c>
      <c r="L716" s="2">
        <v>44519</v>
      </c>
      <c r="M716">
        <v>4</v>
      </c>
      <c r="N716">
        <v>96</v>
      </c>
      <c r="O716">
        <f>IF(Tickets[[#This Row],[Ticket Priority]]="Critical",24,
IF(Tickets[[#This Row],[Ticket Priority]]="High",48,
IF(Tickets[[#This Row],[Ticket Priority]]="Medium",120,168)))</f>
        <v>120</v>
      </c>
      <c r="P716" t="str">
        <f>IF(Tickets[[#This Row],[Resolution Duration Hours]] &lt;= Tickets[[#This Row],[SLA_Target_Hours]], "Yes", "No")</f>
        <v>Yes</v>
      </c>
    </row>
    <row r="717" spans="1:16">
      <c r="A717">
        <v>1027</v>
      </c>
      <c r="B717" t="s">
        <v>1034</v>
      </c>
      <c r="C717" t="s">
        <v>3009</v>
      </c>
      <c r="D717" t="s">
        <v>3997</v>
      </c>
      <c r="E717" s="1">
        <v>43929</v>
      </c>
      <c r="F717" t="s">
        <v>4001</v>
      </c>
      <c r="G717" t="s">
        <v>4014</v>
      </c>
      <c r="H717" t="s">
        <v>4017</v>
      </c>
      <c r="I717" t="s">
        <v>4024</v>
      </c>
      <c r="J717" t="s">
        <v>4028</v>
      </c>
      <c r="K717" s="2">
        <v>44268</v>
      </c>
      <c r="L717" s="2">
        <v>44277</v>
      </c>
      <c r="N717">
        <v>216</v>
      </c>
      <c r="O717">
        <f>IF(Tickets[[#This Row],[Ticket Priority]]="Critical",24,
IF(Tickets[[#This Row],[Ticket Priority]]="High",48,
IF(Tickets[[#This Row],[Ticket Priority]]="Medium",120,168)))</f>
        <v>168</v>
      </c>
      <c r="P717" t="str">
        <f>IF(Tickets[[#This Row],[Resolution Duration Hours]] &lt;= Tickets[[#This Row],[SLA_Target_Hours]], "Yes", "No")</f>
        <v>No</v>
      </c>
    </row>
    <row r="718" spans="1:16" hidden="1">
      <c r="A718">
        <v>717</v>
      </c>
      <c r="B718" t="s">
        <v>726</v>
      </c>
      <c r="C718" t="s">
        <v>2699</v>
      </c>
      <c r="D718" t="s">
        <v>3989</v>
      </c>
      <c r="E718" s="1">
        <v>44403</v>
      </c>
      <c r="F718" t="s">
        <v>4002</v>
      </c>
      <c r="G718" t="s">
        <v>4003</v>
      </c>
      <c r="H718" t="s">
        <v>4018</v>
      </c>
      <c r="I718" t="s">
        <v>4023</v>
      </c>
      <c r="J718" t="s">
        <v>4025</v>
      </c>
      <c r="K718" s="2">
        <v>44416</v>
      </c>
      <c r="L718" s="2">
        <v>44420</v>
      </c>
      <c r="M718">
        <v>4</v>
      </c>
      <c r="N718">
        <v>96</v>
      </c>
      <c r="O718">
        <f>IF(Tickets[[#This Row],[Ticket Priority]]="Critical",24,
IF(Tickets[[#This Row],[Ticket Priority]]="High",48,
IF(Tickets[[#This Row],[Ticket Priority]]="Medium",120,168)))</f>
        <v>120</v>
      </c>
      <c r="P718" t="str">
        <f>IF(Tickets[[#This Row],[Resolution Duration Hours]] &lt;= Tickets[[#This Row],[SLA_Target_Hours]], "Yes", "No")</f>
        <v>Yes</v>
      </c>
    </row>
    <row r="719" spans="1:16" hidden="1">
      <c r="A719">
        <v>718</v>
      </c>
      <c r="B719" t="s">
        <v>727</v>
      </c>
      <c r="C719" t="s">
        <v>2700</v>
      </c>
      <c r="D719" t="s">
        <v>3984</v>
      </c>
      <c r="E719" s="1">
        <v>44553</v>
      </c>
      <c r="F719" t="s">
        <v>4000</v>
      </c>
      <c r="G719" t="s">
        <v>4010</v>
      </c>
      <c r="H719" t="s">
        <v>4018</v>
      </c>
      <c r="I719" t="s">
        <v>4022</v>
      </c>
      <c r="J719" t="s">
        <v>4027</v>
      </c>
      <c r="K719" s="2">
        <v>44628</v>
      </c>
      <c r="L719" s="2">
        <v>44629</v>
      </c>
      <c r="N719">
        <v>24</v>
      </c>
      <c r="O719">
        <f>IF(Tickets[[#This Row],[Ticket Priority]]="Critical",24,
IF(Tickets[[#This Row],[Ticket Priority]]="High",48,
IF(Tickets[[#This Row],[Ticket Priority]]="Medium",120,168)))</f>
        <v>24</v>
      </c>
      <c r="P719" t="str">
        <f>IF(Tickets[[#This Row],[Resolution Duration Hours]] &lt;= Tickets[[#This Row],[SLA_Target_Hours]], "Yes", "No")</f>
        <v>Yes</v>
      </c>
    </row>
    <row r="720" spans="1:16" hidden="1">
      <c r="A720">
        <v>719</v>
      </c>
      <c r="B720" t="s">
        <v>728</v>
      </c>
      <c r="C720" t="s">
        <v>2701</v>
      </c>
      <c r="D720" t="s">
        <v>3980</v>
      </c>
      <c r="E720" s="1">
        <v>43952</v>
      </c>
      <c r="F720" t="s">
        <v>4000</v>
      </c>
      <c r="G720" t="s">
        <v>4000</v>
      </c>
      <c r="H720" t="s">
        <v>4017</v>
      </c>
      <c r="I720" t="s">
        <v>4023</v>
      </c>
      <c r="J720" t="s">
        <v>4026</v>
      </c>
      <c r="K720" s="2">
        <v>44076</v>
      </c>
      <c r="L720" s="2">
        <v>44081</v>
      </c>
      <c r="N720">
        <v>120</v>
      </c>
      <c r="O720">
        <f>IF(Tickets[[#This Row],[Ticket Priority]]="Critical",24,
IF(Tickets[[#This Row],[Ticket Priority]]="High",48,
IF(Tickets[[#This Row],[Ticket Priority]]="Medium",120,168)))</f>
        <v>120</v>
      </c>
      <c r="P720" t="str">
        <f>IF(Tickets[[#This Row],[Resolution Duration Hours]] &lt;= Tickets[[#This Row],[SLA_Target_Hours]], "Yes", "No")</f>
        <v>Yes</v>
      </c>
    </row>
    <row r="721" spans="1:16" hidden="1">
      <c r="A721">
        <v>720</v>
      </c>
      <c r="B721" t="s">
        <v>729</v>
      </c>
      <c r="C721" t="s">
        <v>2702</v>
      </c>
      <c r="D721" t="s">
        <v>3992</v>
      </c>
      <c r="E721" s="1">
        <v>44559</v>
      </c>
      <c r="F721" t="s">
        <v>3998</v>
      </c>
      <c r="G721" t="s">
        <v>4006</v>
      </c>
      <c r="H721" t="s">
        <v>4018</v>
      </c>
      <c r="I721" t="s">
        <v>4023</v>
      </c>
      <c r="J721" t="s">
        <v>4028</v>
      </c>
      <c r="K721" s="2">
        <v>44855</v>
      </c>
      <c r="L721" s="2">
        <v>44857</v>
      </c>
      <c r="M721">
        <v>4</v>
      </c>
      <c r="N721">
        <v>48</v>
      </c>
      <c r="O721">
        <f>IF(Tickets[[#This Row],[Ticket Priority]]="Critical",24,
IF(Tickets[[#This Row],[Ticket Priority]]="High",48,
IF(Tickets[[#This Row],[Ticket Priority]]="Medium",120,168)))</f>
        <v>120</v>
      </c>
      <c r="P721" t="str">
        <f>IF(Tickets[[#This Row],[Resolution Duration Hours]] &lt;= Tickets[[#This Row],[SLA_Target_Hours]], "Yes", "No")</f>
        <v>Yes</v>
      </c>
    </row>
    <row r="722" spans="1:16" hidden="1">
      <c r="A722">
        <v>721</v>
      </c>
      <c r="B722" t="s">
        <v>730</v>
      </c>
      <c r="C722" t="s">
        <v>2703</v>
      </c>
      <c r="D722" t="s">
        <v>3992</v>
      </c>
      <c r="E722" s="1">
        <v>43885</v>
      </c>
      <c r="F722" t="s">
        <v>4000</v>
      </c>
      <c r="G722" t="s">
        <v>4006</v>
      </c>
      <c r="H722" t="s">
        <v>4018</v>
      </c>
      <c r="I722" t="s">
        <v>4023</v>
      </c>
      <c r="J722" t="s">
        <v>4027</v>
      </c>
      <c r="K722" s="2">
        <v>44003</v>
      </c>
      <c r="L722" s="2">
        <v>44008</v>
      </c>
      <c r="M722">
        <v>4</v>
      </c>
      <c r="N722">
        <v>120</v>
      </c>
      <c r="O722">
        <f>IF(Tickets[[#This Row],[Ticket Priority]]="Critical",24,
IF(Tickets[[#This Row],[Ticket Priority]]="High",48,
IF(Tickets[[#This Row],[Ticket Priority]]="Medium",120,168)))</f>
        <v>120</v>
      </c>
      <c r="P722" t="str">
        <f>IF(Tickets[[#This Row],[Resolution Duration Hours]] &lt;= Tickets[[#This Row],[SLA_Target_Hours]], "Yes", "No")</f>
        <v>Yes</v>
      </c>
    </row>
    <row r="723" spans="1:16">
      <c r="A723">
        <v>1034</v>
      </c>
      <c r="B723" t="s">
        <v>1041</v>
      </c>
      <c r="C723" t="s">
        <v>3015</v>
      </c>
      <c r="D723" t="s">
        <v>3986</v>
      </c>
      <c r="E723" s="1">
        <v>44341</v>
      </c>
      <c r="F723" t="s">
        <v>4002</v>
      </c>
      <c r="G723" t="s">
        <v>4000</v>
      </c>
      <c r="H723" t="s">
        <v>4017</v>
      </c>
      <c r="I723" t="s">
        <v>4024</v>
      </c>
      <c r="J723" t="s">
        <v>4026</v>
      </c>
      <c r="K723" s="2">
        <v>44598</v>
      </c>
      <c r="L723" s="2">
        <v>44607</v>
      </c>
      <c r="N723">
        <v>216</v>
      </c>
      <c r="O723">
        <f>IF(Tickets[[#This Row],[Ticket Priority]]="Critical",24,
IF(Tickets[[#This Row],[Ticket Priority]]="High",48,
IF(Tickets[[#This Row],[Ticket Priority]]="Medium",120,168)))</f>
        <v>168</v>
      </c>
      <c r="P723" t="str">
        <f>IF(Tickets[[#This Row],[Resolution Duration Hours]] &lt;= Tickets[[#This Row],[SLA_Target_Hours]], "Yes", "No")</f>
        <v>No</v>
      </c>
    </row>
    <row r="724" spans="1:16" hidden="1">
      <c r="A724">
        <v>723</v>
      </c>
      <c r="B724" t="s">
        <v>732</v>
      </c>
      <c r="C724" t="s">
        <v>2705</v>
      </c>
      <c r="D724" t="s">
        <v>3981</v>
      </c>
      <c r="E724" s="1">
        <v>43950</v>
      </c>
      <c r="F724" t="s">
        <v>4000</v>
      </c>
      <c r="G724" t="s">
        <v>4014</v>
      </c>
      <c r="H724" t="s">
        <v>4018</v>
      </c>
      <c r="I724" t="s">
        <v>4021</v>
      </c>
      <c r="J724" t="s">
        <v>4025</v>
      </c>
      <c r="K724" s="2">
        <v>44174</v>
      </c>
      <c r="L724" s="2">
        <v>44175</v>
      </c>
      <c r="N724">
        <v>24</v>
      </c>
      <c r="O724">
        <f>IF(Tickets[[#This Row],[Ticket Priority]]="Critical",24,
IF(Tickets[[#This Row],[Ticket Priority]]="High",48,
IF(Tickets[[#This Row],[Ticket Priority]]="Medium",120,168)))</f>
        <v>48</v>
      </c>
      <c r="P724" t="str">
        <f>IF(Tickets[[#This Row],[Resolution Duration Hours]] &lt;= Tickets[[#This Row],[SLA_Target_Hours]], "Yes", "No")</f>
        <v>Yes</v>
      </c>
    </row>
    <row r="725" spans="1:16" hidden="1">
      <c r="A725">
        <v>724</v>
      </c>
      <c r="B725" t="s">
        <v>733</v>
      </c>
      <c r="C725" t="s">
        <v>2706</v>
      </c>
      <c r="D725" t="s">
        <v>3996</v>
      </c>
      <c r="E725" s="1">
        <v>44004</v>
      </c>
      <c r="F725" t="s">
        <v>3998</v>
      </c>
      <c r="G725" t="s">
        <v>4005</v>
      </c>
      <c r="H725" t="s">
        <v>4020</v>
      </c>
      <c r="I725" t="s">
        <v>4024</v>
      </c>
      <c r="J725" t="s">
        <v>4025</v>
      </c>
      <c r="K725" s="2">
        <v>44217</v>
      </c>
      <c r="L725" s="2">
        <v>44224</v>
      </c>
      <c r="N725">
        <v>168</v>
      </c>
      <c r="O725">
        <f>IF(Tickets[[#This Row],[Ticket Priority]]="Critical",24,
IF(Tickets[[#This Row],[Ticket Priority]]="High",48,
IF(Tickets[[#This Row],[Ticket Priority]]="Medium",120,168)))</f>
        <v>168</v>
      </c>
      <c r="P725" t="str">
        <f>IF(Tickets[[#This Row],[Resolution Duration Hours]] &lt;= Tickets[[#This Row],[SLA_Target_Hours]], "Yes", "No")</f>
        <v>Yes</v>
      </c>
    </row>
    <row r="726" spans="1:16" hidden="1">
      <c r="A726">
        <v>725</v>
      </c>
      <c r="B726" t="s">
        <v>734</v>
      </c>
      <c r="C726" t="s">
        <v>2707</v>
      </c>
      <c r="D726" t="s">
        <v>3986</v>
      </c>
      <c r="E726" s="1">
        <v>45046</v>
      </c>
      <c r="F726" t="s">
        <v>4000</v>
      </c>
      <c r="G726" t="s">
        <v>4011</v>
      </c>
      <c r="H726" t="s">
        <v>4018</v>
      </c>
      <c r="I726" t="s">
        <v>4024</v>
      </c>
      <c r="J726" t="s">
        <v>4026</v>
      </c>
      <c r="K726" s="2">
        <v>45399</v>
      </c>
      <c r="L726" s="2">
        <v>45405</v>
      </c>
      <c r="M726">
        <v>4</v>
      </c>
      <c r="N726">
        <v>144</v>
      </c>
      <c r="O726">
        <f>IF(Tickets[[#This Row],[Ticket Priority]]="Critical",24,
IF(Tickets[[#This Row],[Ticket Priority]]="High",48,
IF(Tickets[[#This Row],[Ticket Priority]]="Medium",120,168)))</f>
        <v>168</v>
      </c>
      <c r="P726" t="str">
        <f>IF(Tickets[[#This Row],[Resolution Duration Hours]] &lt;= Tickets[[#This Row],[SLA_Target_Hours]], "Yes", "No")</f>
        <v>Yes</v>
      </c>
    </row>
    <row r="727" spans="1:16" hidden="1">
      <c r="A727">
        <v>726</v>
      </c>
      <c r="B727" t="s">
        <v>735</v>
      </c>
      <c r="C727" t="s">
        <v>2708</v>
      </c>
      <c r="D727" t="s">
        <v>3989</v>
      </c>
      <c r="E727" s="1">
        <v>44756</v>
      </c>
      <c r="F727" t="s">
        <v>3998</v>
      </c>
      <c r="G727" t="s">
        <v>4010</v>
      </c>
      <c r="H727" t="s">
        <v>4018</v>
      </c>
      <c r="I727" t="s">
        <v>4022</v>
      </c>
      <c r="J727" t="s">
        <v>4025</v>
      </c>
      <c r="K727" s="2">
        <v>45041</v>
      </c>
      <c r="L727" s="2">
        <v>45041</v>
      </c>
      <c r="M727">
        <v>3</v>
      </c>
      <c r="N727">
        <v>0</v>
      </c>
      <c r="O727">
        <f>IF(Tickets[[#This Row],[Ticket Priority]]="Critical",24,
IF(Tickets[[#This Row],[Ticket Priority]]="High",48,
IF(Tickets[[#This Row],[Ticket Priority]]="Medium",120,168)))</f>
        <v>24</v>
      </c>
      <c r="P727" t="str">
        <f>IF(Tickets[[#This Row],[Resolution Duration Hours]] &lt;= Tickets[[#This Row],[SLA_Target_Hours]], "Yes", "No")</f>
        <v>Yes</v>
      </c>
    </row>
    <row r="728" spans="1:16">
      <c r="A728">
        <v>1042</v>
      </c>
      <c r="B728" t="s">
        <v>1049</v>
      </c>
      <c r="C728" t="s">
        <v>3023</v>
      </c>
      <c r="D728" t="s">
        <v>3979</v>
      </c>
      <c r="E728" s="1">
        <v>44851</v>
      </c>
      <c r="F728" t="s">
        <v>3998</v>
      </c>
      <c r="G728" t="s">
        <v>4015</v>
      </c>
      <c r="H728" t="s">
        <v>4017</v>
      </c>
      <c r="I728" t="s">
        <v>4024</v>
      </c>
      <c r="J728" t="s">
        <v>4028</v>
      </c>
      <c r="K728" s="2">
        <v>44999</v>
      </c>
      <c r="L728" s="2">
        <v>45008</v>
      </c>
      <c r="N728">
        <v>216</v>
      </c>
      <c r="O728">
        <f>IF(Tickets[[#This Row],[Ticket Priority]]="Critical",24,
IF(Tickets[[#This Row],[Ticket Priority]]="High",48,
IF(Tickets[[#This Row],[Ticket Priority]]="Medium",120,168)))</f>
        <v>168</v>
      </c>
      <c r="P728" t="str">
        <f>IF(Tickets[[#This Row],[Resolution Duration Hours]] &lt;= Tickets[[#This Row],[SLA_Target_Hours]], "Yes", "No")</f>
        <v>No</v>
      </c>
    </row>
    <row r="729" spans="1:16" hidden="1">
      <c r="A729">
        <v>728</v>
      </c>
      <c r="B729" t="s">
        <v>737</v>
      </c>
      <c r="C729" t="s">
        <v>2710</v>
      </c>
      <c r="D729" t="s">
        <v>3990</v>
      </c>
      <c r="E729" s="1">
        <v>44091</v>
      </c>
      <c r="F729" t="s">
        <v>4000</v>
      </c>
      <c r="G729" t="s">
        <v>4008</v>
      </c>
      <c r="H729" t="s">
        <v>4017</v>
      </c>
      <c r="I729" t="s">
        <v>4024</v>
      </c>
      <c r="J729" t="s">
        <v>4026</v>
      </c>
      <c r="K729" s="2">
        <v>44168</v>
      </c>
      <c r="L729" s="2">
        <v>44172</v>
      </c>
      <c r="N729">
        <v>96</v>
      </c>
      <c r="O729">
        <f>IF(Tickets[[#This Row],[Ticket Priority]]="Critical",24,
IF(Tickets[[#This Row],[Ticket Priority]]="High",48,
IF(Tickets[[#This Row],[Ticket Priority]]="Medium",120,168)))</f>
        <v>168</v>
      </c>
      <c r="P729" t="str">
        <f>IF(Tickets[[#This Row],[Resolution Duration Hours]] &lt;= Tickets[[#This Row],[SLA_Target_Hours]], "Yes", "No")</f>
        <v>Yes</v>
      </c>
    </row>
    <row r="730" spans="1:16" hidden="1">
      <c r="A730">
        <v>729</v>
      </c>
      <c r="B730" t="s">
        <v>738</v>
      </c>
      <c r="C730" t="s">
        <v>2711</v>
      </c>
      <c r="D730" t="s">
        <v>3984</v>
      </c>
      <c r="E730" s="1">
        <v>44238</v>
      </c>
      <c r="F730" t="s">
        <v>3998</v>
      </c>
      <c r="G730" t="s">
        <v>4003</v>
      </c>
      <c r="H730" t="s">
        <v>4018</v>
      </c>
      <c r="I730" t="s">
        <v>4024</v>
      </c>
      <c r="J730" t="s">
        <v>4028</v>
      </c>
      <c r="K730" s="2">
        <v>44295</v>
      </c>
      <c r="L730" s="2">
        <v>44299</v>
      </c>
      <c r="M730">
        <v>2</v>
      </c>
      <c r="N730">
        <v>96</v>
      </c>
      <c r="O730">
        <f>IF(Tickets[[#This Row],[Ticket Priority]]="Critical",24,
IF(Tickets[[#This Row],[Ticket Priority]]="High",48,
IF(Tickets[[#This Row],[Ticket Priority]]="Medium",120,168)))</f>
        <v>168</v>
      </c>
      <c r="P730" t="str">
        <f>IF(Tickets[[#This Row],[Resolution Duration Hours]] &lt;= Tickets[[#This Row],[SLA_Target_Hours]], "Yes", "No")</f>
        <v>Yes</v>
      </c>
    </row>
    <row r="731" spans="1:16" hidden="1">
      <c r="A731">
        <v>730</v>
      </c>
      <c r="B731" t="s">
        <v>739</v>
      </c>
      <c r="C731" t="s">
        <v>2712</v>
      </c>
      <c r="D731" t="s">
        <v>3979</v>
      </c>
      <c r="E731" s="1">
        <v>44891</v>
      </c>
      <c r="F731" t="s">
        <v>4001</v>
      </c>
      <c r="G731" t="s">
        <v>4014</v>
      </c>
      <c r="H731" t="s">
        <v>4018</v>
      </c>
      <c r="I731" t="s">
        <v>4021</v>
      </c>
      <c r="J731" t="s">
        <v>4025</v>
      </c>
      <c r="K731" s="2">
        <v>44996</v>
      </c>
      <c r="L731" s="2">
        <v>44997</v>
      </c>
      <c r="M731">
        <v>3</v>
      </c>
      <c r="N731">
        <v>24</v>
      </c>
      <c r="O731">
        <f>IF(Tickets[[#This Row],[Ticket Priority]]="Critical",24,
IF(Tickets[[#This Row],[Ticket Priority]]="High",48,
IF(Tickets[[#This Row],[Ticket Priority]]="Medium",120,168)))</f>
        <v>48</v>
      </c>
      <c r="P731" t="str">
        <f>IF(Tickets[[#This Row],[Resolution Duration Hours]] &lt;= Tickets[[#This Row],[SLA_Target_Hours]], "Yes", "No")</f>
        <v>Yes</v>
      </c>
    </row>
    <row r="732" spans="1:16">
      <c r="A732">
        <v>1071</v>
      </c>
      <c r="B732" t="s">
        <v>1076</v>
      </c>
      <c r="C732" t="s">
        <v>3052</v>
      </c>
      <c r="D732" t="s">
        <v>3985</v>
      </c>
      <c r="E732" s="1">
        <v>44083</v>
      </c>
      <c r="F732" t="s">
        <v>4002</v>
      </c>
      <c r="G732" t="s">
        <v>4011</v>
      </c>
      <c r="H732" t="s">
        <v>4017</v>
      </c>
      <c r="I732" t="s">
        <v>4024</v>
      </c>
      <c r="J732" t="s">
        <v>4027</v>
      </c>
      <c r="K732" s="2">
        <v>44393</v>
      </c>
      <c r="L732" s="2">
        <v>44402</v>
      </c>
      <c r="N732">
        <v>216</v>
      </c>
      <c r="O732">
        <f>IF(Tickets[[#This Row],[Ticket Priority]]="Critical",24,
IF(Tickets[[#This Row],[Ticket Priority]]="High",48,
IF(Tickets[[#This Row],[Ticket Priority]]="Medium",120,168)))</f>
        <v>168</v>
      </c>
      <c r="P732" t="str">
        <f>IF(Tickets[[#This Row],[Resolution Duration Hours]] &lt;= Tickets[[#This Row],[SLA_Target_Hours]], "Yes", "No")</f>
        <v>No</v>
      </c>
    </row>
    <row r="733" spans="1:16" hidden="1">
      <c r="A733">
        <v>732</v>
      </c>
      <c r="B733" t="s">
        <v>741</v>
      </c>
      <c r="C733" t="s">
        <v>2714</v>
      </c>
      <c r="D733" t="s">
        <v>3986</v>
      </c>
      <c r="E733" s="1">
        <v>44206</v>
      </c>
      <c r="F733" t="s">
        <v>3998</v>
      </c>
      <c r="G733" t="s">
        <v>4000</v>
      </c>
      <c r="H733" t="s">
        <v>4018</v>
      </c>
      <c r="I733" t="s">
        <v>4023</v>
      </c>
      <c r="J733" t="s">
        <v>4026</v>
      </c>
      <c r="K733" s="2">
        <v>44464</v>
      </c>
      <c r="L733" s="2">
        <v>44469</v>
      </c>
      <c r="M733">
        <v>3</v>
      </c>
      <c r="N733">
        <v>120</v>
      </c>
      <c r="O733">
        <f>IF(Tickets[[#This Row],[Ticket Priority]]="Critical",24,
IF(Tickets[[#This Row],[Ticket Priority]]="High",48,
IF(Tickets[[#This Row],[Ticket Priority]]="Medium",120,168)))</f>
        <v>120</v>
      </c>
      <c r="P733" t="str">
        <f>IF(Tickets[[#This Row],[Resolution Duration Hours]] &lt;= Tickets[[#This Row],[SLA_Target_Hours]], "Yes", "No")</f>
        <v>Yes</v>
      </c>
    </row>
    <row r="734" spans="1:16">
      <c r="A734">
        <v>1108</v>
      </c>
      <c r="B734" t="s">
        <v>1113</v>
      </c>
      <c r="C734" t="s">
        <v>2645</v>
      </c>
      <c r="D734" t="s">
        <v>3988</v>
      </c>
      <c r="E734" s="1">
        <v>43915</v>
      </c>
      <c r="F734" t="s">
        <v>4001</v>
      </c>
      <c r="G734" t="s">
        <v>4007</v>
      </c>
      <c r="H734" t="s">
        <v>4018</v>
      </c>
      <c r="I734" t="s">
        <v>4024</v>
      </c>
      <c r="J734" t="s">
        <v>4025</v>
      </c>
      <c r="K734" s="2">
        <v>43986</v>
      </c>
      <c r="L734" s="2">
        <v>43995</v>
      </c>
      <c r="M734">
        <v>3</v>
      </c>
      <c r="N734">
        <v>216</v>
      </c>
      <c r="O734">
        <f>IF(Tickets[[#This Row],[Ticket Priority]]="Critical",24,
IF(Tickets[[#This Row],[Ticket Priority]]="High",48,
IF(Tickets[[#This Row],[Ticket Priority]]="Medium",120,168)))</f>
        <v>168</v>
      </c>
      <c r="P734" t="str">
        <f>IF(Tickets[[#This Row],[Resolution Duration Hours]] &lt;= Tickets[[#This Row],[SLA_Target_Hours]], "Yes", "No")</f>
        <v>No</v>
      </c>
    </row>
    <row r="735" spans="1:16" hidden="1">
      <c r="A735">
        <v>734</v>
      </c>
      <c r="B735" t="s">
        <v>743</v>
      </c>
      <c r="C735" t="s">
        <v>2716</v>
      </c>
      <c r="D735" t="s">
        <v>3985</v>
      </c>
      <c r="E735" s="1">
        <v>44171</v>
      </c>
      <c r="F735" t="s">
        <v>4000</v>
      </c>
      <c r="G735" t="s">
        <v>4010</v>
      </c>
      <c r="H735" t="s">
        <v>4018</v>
      </c>
      <c r="I735" t="s">
        <v>4023</v>
      </c>
      <c r="J735" t="s">
        <v>4025</v>
      </c>
      <c r="K735" s="2">
        <v>44176</v>
      </c>
      <c r="L735" s="2">
        <v>44181</v>
      </c>
      <c r="M735">
        <v>4</v>
      </c>
      <c r="N735">
        <v>120</v>
      </c>
      <c r="O735">
        <f>IF(Tickets[[#This Row],[Ticket Priority]]="Critical",24,
IF(Tickets[[#This Row],[Ticket Priority]]="High",48,
IF(Tickets[[#This Row],[Ticket Priority]]="Medium",120,168)))</f>
        <v>120</v>
      </c>
      <c r="P735" t="str">
        <f>IF(Tickets[[#This Row],[Resolution Duration Hours]] &lt;= Tickets[[#This Row],[SLA_Target_Hours]], "Yes", "No")</f>
        <v>Yes</v>
      </c>
    </row>
    <row r="736" spans="1:16" hidden="1">
      <c r="A736">
        <v>735</v>
      </c>
      <c r="B736" t="s">
        <v>744</v>
      </c>
      <c r="C736" t="s">
        <v>2717</v>
      </c>
      <c r="D736" t="s">
        <v>3994</v>
      </c>
      <c r="E736" s="1">
        <v>44762</v>
      </c>
      <c r="F736" t="s">
        <v>3998</v>
      </c>
      <c r="G736" t="s">
        <v>4012</v>
      </c>
      <c r="H736" t="s">
        <v>4019</v>
      </c>
      <c r="I736" t="s">
        <v>4021</v>
      </c>
      <c r="J736" t="s">
        <v>4025</v>
      </c>
      <c r="K736" s="2">
        <v>45100</v>
      </c>
      <c r="L736" s="2">
        <v>45100</v>
      </c>
      <c r="M736">
        <v>5</v>
      </c>
      <c r="N736">
        <v>0</v>
      </c>
      <c r="O736">
        <f>IF(Tickets[[#This Row],[Ticket Priority]]="Critical",24,
IF(Tickets[[#This Row],[Ticket Priority]]="High",48,
IF(Tickets[[#This Row],[Ticket Priority]]="Medium",120,168)))</f>
        <v>48</v>
      </c>
      <c r="P736" t="str">
        <f>IF(Tickets[[#This Row],[Resolution Duration Hours]] &lt;= Tickets[[#This Row],[SLA_Target_Hours]], "Yes", "No")</f>
        <v>Yes</v>
      </c>
    </row>
    <row r="737" spans="1:16" hidden="1">
      <c r="A737">
        <v>736</v>
      </c>
      <c r="B737" t="s">
        <v>745</v>
      </c>
      <c r="C737" t="s">
        <v>2718</v>
      </c>
      <c r="D737" t="s">
        <v>3991</v>
      </c>
      <c r="E737" s="1">
        <v>44710</v>
      </c>
      <c r="F737" t="s">
        <v>4002</v>
      </c>
      <c r="G737" t="s">
        <v>4015</v>
      </c>
      <c r="H737" t="s">
        <v>4020</v>
      </c>
      <c r="I737" t="s">
        <v>4023</v>
      </c>
      <c r="J737" t="s">
        <v>4028</v>
      </c>
      <c r="K737" s="2">
        <v>44865</v>
      </c>
      <c r="L737" s="2">
        <v>44866</v>
      </c>
      <c r="N737">
        <v>24</v>
      </c>
      <c r="O737">
        <f>IF(Tickets[[#This Row],[Ticket Priority]]="Critical",24,
IF(Tickets[[#This Row],[Ticket Priority]]="High",48,
IF(Tickets[[#This Row],[Ticket Priority]]="Medium",120,168)))</f>
        <v>120</v>
      </c>
      <c r="P737" t="str">
        <f>IF(Tickets[[#This Row],[Resolution Duration Hours]] &lt;= Tickets[[#This Row],[SLA_Target_Hours]], "Yes", "No")</f>
        <v>Yes</v>
      </c>
    </row>
    <row r="738" spans="1:16" hidden="1">
      <c r="A738">
        <v>737</v>
      </c>
      <c r="B738" t="s">
        <v>746</v>
      </c>
      <c r="C738" t="s">
        <v>2719</v>
      </c>
      <c r="D738" t="s">
        <v>3996</v>
      </c>
      <c r="E738" s="1">
        <v>44823</v>
      </c>
      <c r="F738" t="s">
        <v>4000</v>
      </c>
      <c r="G738" t="s">
        <v>4008</v>
      </c>
      <c r="H738" t="s">
        <v>4018</v>
      </c>
      <c r="I738" t="s">
        <v>4024</v>
      </c>
      <c r="J738" t="s">
        <v>4026</v>
      </c>
      <c r="K738" s="2">
        <v>45051</v>
      </c>
      <c r="L738" s="2">
        <v>45053</v>
      </c>
      <c r="M738">
        <v>5</v>
      </c>
      <c r="N738">
        <v>48</v>
      </c>
      <c r="O738">
        <f>IF(Tickets[[#This Row],[Ticket Priority]]="Critical",24,
IF(Tickets[[#This Row],[Ticket Priority]]="High",48,
IF(Tickets[[#This Row],[Ticket Priority]]="Medium",120,168)))</f>
        <v>168</v>
      </c>
      <c r="P738" t="str">
        <f>IF(Tickets[[#This Row],[Resolution Duration Hours]] &lt;= Tickets[[#This Row],[SLA_Target_Hours]], "Yes", "No")</f>
        <v>Yes</v>
      </c>
    </row>
    <row r="739" spans="1:16">
      <c r="A739">
        <v>1111</v>
      </c>
      <c r="B739" t="s">
        <v>1116</v>
      </c>
      <c r="C739" t="s">
        <v>3091</v>
      </c>
      <c r="D739" t="s">
        <v>3985</v>
      </c>
      <c r="E739" s="1">
        <v>44092</v>
      </c>
      <c r="F739" t="s">
        <v>4000</v>
      </c>
      <c r="G739" t="s">
        <v>4012</v>
      </c>
      <c r="H739" t="s">
        <v>4018</v>
      </c>
      <c r="I739" t="s">
        <v>4024</v>
      </c>
      <c r="J739" t="s">
        <v>4025</v>
      </c>
      <c r="K739" s="2">
        <v>44392</v>
      </c>
      <c r="L739" s="2">
        <v>44401</v>
      </c>
      <c r="M739">
        <v>5</v>
      </c>
      <c r="N739">
        <v>216</v>
      </c>
      <c r="O739">
        <f>IF(Tickets[[#This Row],[Ticket Priority]]="Critical",24,
IF(Tickets[[#This Row],[Ticket Priority]]="High",48,
IF(Tickets[[#This Row],[Ticket Priority]]="Medium",120,168)))</f>
        <v>168</v>
      </c>
      <c r="P739" t="str">
        <f>IF(Tickets[[#This Row],[Resolution Duration Hours]] &lt;= Tickets[[#This Row],[SLA_Target_Hours]], "Yes", "No")</f>
        <v>No</v>
      </c>
    </row>
    <row r="740" spans="1:16">
      <c r="A740">
        <v>1127</v>
      </c>
      <c r="B740" t="s">
        <v>1132</v>
      </c>
      <c r="C740" t="s">
        <v>3107</v>
      </c>
      <c r="D740" t="s">
        <v>3996</v>
      </c>
      <c r="E740" s="1">
        <v>43940</v>
      </c>
      <c r="F740" t="s">
        <v>4000</v>
      </c>
      <c r="G740" t="s">
        <v>4007</v>
      </c>
      <c r="H740" t="s">
        <v>4017</v>
      </c>
      <c r="I740" t="s">
        <v>4024</v>
      </c>
      <c r="J740" t="s">
        <v>4025</v>
      </c>
      <c r="K740" s="2">
        <v>44130</v>
      </c>
      <c r="L740" s="2">
        <v>44139</v>
      </c>
      <c r="N740">
        <v>216</v>
      </c>
      <c r="O740">
        <f>IF(Tickets[[#This Row],[Ticket Priority]]="Critical",24,
IF(Tickets[[#This Row],[Ticket Priority]]="High",48,
IF(Tickets[[#This Row],[Ticket Priority]]="Medium",120,168)))</f>
        <v>168</v>
      </c>
      <c r="P740" t="str">
        <f>IF(Tickets[[#This Row],[Resolution Duration Hours]] &lt;= Tickets[[#This Row],[SLA_Target_Hours]], "Yes", "No")</f>
        <v>No</v>
      </c>
    </row>
    <row r="741" spans="1:16">
      <c r="A741">
        <v>1142</v>
      </c>
      <c r="B741" t="s">
        <v>1147</v>
      </c>
      <c r="C741" t="s">
        <v>3122</v>
      </c>
      <c r="D741" t="s">
        <v>3993</v>
      </c>
      <c r="E741" s="1">
        <v>44628</v>
      </c>
      <c r="F741" t="s">
        <v>4001</v>
      </c>
      <c r="G741" t="s">
        <v>4014</v>
      </c>
      <c r="H741" t="s">
        <v>4020</v>
      </c>
      <c r="I741" t="s">
        <v>4024</v>
      </c>
      <c r="J741" t="s">
        <v>4026</v>
      </c>
      <c r="K741" s="2">
        <v>44738</v>
      </c>
      <c r="L741" s="2">
        <v>44747</v>
      </c>
      <c r="N741">
        <v>216</v>
      </c>
      <c r="O741">
        <f>IF(Tickets[[#This Row],[Ticket Priority]]="Critical",24,
IF(Tickets[[#This Row],[Ticket Priority]]="High",48,
IF(Tickets[[#This Row],[Ticket Priority]]="Medium",120,168)))</f>
        <v>168</v>
      </c>
      <c r="P741" t="str">
        <f>IF(Tickets[[#This Row],[Resolution Duration Hours]] &lt;= Tickets[[#This Row],[SLA_Target_Hours]], "Yes", "No")</f>
        <v>No</v>
      </c>
    </row>
    <row r="742" spans="1:16">
      <c r="A742">
        <v>1171</v>
      </c>
      <c r="B742" t="s">
        <v>1176</v>
      </c>
      <c r="C742" t="s">
        <v>3151</v>
      </c>
      <c r="D742" t="s">
        <v>3988</v>
      </c>
      <c r="E742" s="1">
        <v>44704</v>
      </c>
      <c r="F742" t="s">
        <v>3999</v>
      </c>
      <c r="G742" t="s">
        <v>4007</v>
      </c>
      <c r="H742" t="s">
        <v>4018</v>
      </c>
      <c r="I742" t="s">
        <v>4024</v>
      </c>
      <c r="J742" t="s">
        <v>4025</v>
      </c>
      <c r="K742" s="2">
        <v>44881</v>
      </c>
      <c r="L742" s="2">
        <v>44890</v>
      </c>
      <c r="M742">
        <v>4</v>
      </c>
      <c r="N742">
        <v>216</v>
      </c>
      <c r="O742">
        <f>IF(Tickets[[#This Row],[Ticket Priority]]="Critical",24,
IF(Tickets[[#This Row],[Ticket Priority]]="High",48,
IF(Tickets[[#This Row],[Ticket Priority]]="Medium",120,168)))</f>
        <v>168</v>
      </c>
      <c r="P742" t="str">
        <f>IF(Tickets[[#This Row],[Resolution Duration Hours]] &lt;= Tickets[[#This Row],[SLA_Target_Hours]], "Yes", "No")</f>
        <v>No</v>
      </c>
    </row>
    <row r="743" spans="1:16">
      <c r="A743">
        <v>1202</v>
      </c>
      <c r="B743" t="s">
        <v>1207</v>
      </c>
      <c r="C743" t="s">
        <v>3182</v>
      </c>
      <c r="D743" t="s">
        <v>3994</v>
      </c>
      <c r="E743" s="1">
        <v>44408</v>
      </c>
      <c r="F743" t="s">
        <v>3999</v>
      </c>
      <c r="G743" t="s">
        <v>4006</v>
      </c>
      <c r="H743" t="s">
        <v>4018</v>
      </c>
      <c r="I743" t="s">
        <v>4024</v>
      </c>
      <c r="J743" t="s">
        <v>4026</v>
      </c>
      <c r="K743" s="2">
        <v>44757</v>
      </c>
      <c r="L743" s="2">
        <v>44766</v>
      </c>
      <c r="M743">
        <v>5</v>
      </c>
      <c r="N743">
        <v>216</v>
      </c>
      <c r="O743">
        <f>IF(Tickets[[#This Row],[Ticket Priority]]="Critical",24,
IF(Tickets[[#This Row],[Ticket Priority]]="High",48,
IF(Tickets[[#This Row],[Ticket Priority]]="Medium",120,168)))</f>
        <v>168</v>
      </c>
      <c r="P743" t="str">
        <f>IF(Tickets[[#This Row],[Resolution Duration Hours]] &lt;= Tickets[[#This Row],[SLA_Target_Hours]], "Yes", "No")</f>
        <v>No</v>
      </c>
    </row>
    <row r="744" spans="1:16" hidden="1">
      <c r="A744">
        <v>743</v>
      </c>
      <c r="B744" t="s">
        <v>752</v>
      </c>
      <c r="C744" t="s">
        <v>2725</v>
      </c>
      <c r="D744" t="s">
        <v>3996</v>
      </c>
      <c r="E744" s="1">
        <v>44670</v>
      </c>
      <c r="F744" t="s">
        <v>4002</v>
      </c>
      <c r="G744" t="s">
        <v>4015</v>
      </c>
      <c r="H744" t="s">
        <v>4020</v>
      </c>
      <c r="I744" t="s">
        <v>4021</v>
      </c>
      <c r="J744" t="s">
        <v>4028</v>
      </c>
      <c r="K744" s="2">
        <v>44936</v>
      </c>
      <c r="L744" s="2">
        <v>44938</v>
      </c>
      <c r="N744">
        <v>48</v>
      </c>
      <c r="O744">
        <f>IF(Tickets[[#This Row],[Ticket Priority]]="Critical",24,
IF(Tickets[[#This Row],[Ticket Priority]]="High",48,
IF(Tickets[[#This Row],[Ticket Priority]]="Medium",120,168)))</f>
        <v>48</v>
      </c>
      <c r="P744" t="str">
        <f>IF(Tickets[[#This Row],[Resolution Duration Hours]] &lt;= Tickets[[#This Row],[SLA_Target_Hours]], "Yes", "No")</f>
        <v>Yes</v>
      </c>
    </row>
    <row r="745" spans="1:16" hidden="1">
      <c r="A745">
        <v>744</v>
      </c>
      <c r="B745" t="s">
        <v>753</v>
      </c>
      <c r="C745" t="s">
        <v>2726</v>
      </c>
      <c r="D745" t="s">
        <v>3995</v>
      </c>
      <c r="E745" s="1">
        <v>44348</v>
      </c>
      <c r="F745" t="s">
        <v>3998</v>
      </c>
      <c r="G745" t="s">
        <v>4000</v>
      </c>
      <c r="H745" t="s">
        <v>4018</v>
      </c>
      <c r="I745" t="s">
        <v>4022</v>
      </c>
      <c r="J745" t="s">
        <v>4026</v>
      </c>
      <c r="K745" s="2">
        <v>44558</v>
      </c>
      <c r="L745" s="2">
        <v>44558</v>
      </c>
      <c r="M745">
        <v>3</v>
      </c>
      <c r="N745">
        <v>0</v>
      </c>
      <c r="O745">
        <f>IF(Tickets[[#This Row],[Ticket Priority]]="Critical",24,
IF(Tickets[[#This Row],[Ticket Priority]]="High",48,
IF(Tickets[[#This Row],[Ticket Priority]]="Medium",120,168)))</f>
        <v>24</v>
      </c>
      <c r="P745" t="str">
        <f>IF(Tickets[[#This Row],[Resolution Duration Hours]] &lt;= Tickets[[#This Row],[SLA_Target_Hours]], "Yes", "No")</f>
        <v>Yes</v>
      </c>
    </row>
    <row r="746" spans="1:16" hidden="1">
      <c r="A746">
        <v>745</v>
      </c>
      <c r="B746" t="s">
        <v>754</v>
      </c>
      <c r="C746" t="s">
        <v>2727</v>
      </c>
      <c r="D746" t="s">
        <v>3997</v>
      </c>
      <c r="E746" s="1">
        <v>43955</v>
      </c>
      <c r="F746" t="s">
        <v>4000</v>
      </c>
      <c r="G746" t="s">
        <v>4016</v>
      </c>
      <c r="H746" t="s">
        <v>4018</v>
      </c>
      <c r="I746" t="s">
        <v>4023</v>
      </c>
      <c r="J746" t="s">
        <v>4027</v>
      </c>
      <c r="K746" s="2">
        <v>44157</v>
      </c>
      <c r="L746" s="2">
        <v>44160</v>
      </c>
      <c r="M746">
        <v>3</v>
      </c>
      <c r="N746">
        <v>72</v>
      </c>
      <c r="O746">
        <f>IF(Tickets[[#This Row],[Ticket Priority]]="Critical",24,
IF(Tickets[[#This Row],[Ticket Priority]]="High",48,
IF(Tickets[[#This Row],[Ticket Priority]]="Medium",120,168)))</f>
        <v>120</v>
      </c>
      <c r="P746" t="str">
        <f>IF(Tickets[[#This Row],[Resolution Duration Hours]] &lt;= Tickets[[#This Row],[SLA_Target_Hours]], "Yes", "No")</f>
        <v>Yes</v>
      </c>
    </row>
    <row r="747" spans="1:16" hidden="1">
      <c r="A747">
        <v>746</v>
      </c>
      <c r="B747" t="s">
        <v>755</v>
      </c>
      <c r="C747" t="s">
        <v>2728</v>
      </c>
      <c r="D747" t="s">
        <v>3997</v>
      </c>
      <c r="E747" s="1">
        <v>44857</v>
      </c>
      <c r="F747" t="s">
        <v>4000</v>
      </c>
      <c r="G747" t="s">
        <v>4011</v>
      </c>
      <c r="H747" t="s">
        <v>4018</v>
      </c>
      <c r="I747" t="s">
        <v>4023</v>
      </c>
      <c r="J747" t="s">
        <v>4028</v>
      </c>
      <c r="K747" s="2">
        <v>44922</v>
      </c>
      <c r="L747" s="2">
        <v>44925</v>
      </c>
      <c r="M747">
        <v>3</v>
      </c>
      <c r="N747">
        <v>72</v>
      </c>
      <c r="O747">
        <f>IF(Tickets[[#This Row],[Ticket Priority]]="Critical",24,
IF(Tickets[[#This Row],[Ticket Priority]]="High",48,
IF(Tickets[[#This Row],[Ticket Priority]]="Medium",120,168)))</f>
        <v>120</v>
      </c>
      <c r="P747" t="str">
        <f>IF(Tickets[[#This Row],[Resolution Duration Hours]] &lt;= Tickets[[#This Row],[SLA_Target_Hours]], "Yes", "No")</f>
        <v>Yes</v>
      </c>
    </row>
    <row r="748" spans="1:16" hidden="1">
      <c r="A748">
        <v>747</v>
      </c>
      <c r="B748" t="s">
        <v>756</v>
      </c>
      <c r="C748" t="s">
        <v>2729</v>
      </c>
      <c r="D748" t="s">
        <v>3982</v>
      </c>
      <c r="E748" s="1">
        <v>43886</v>
      </c>
      <c r="F748" t="s">
        <v>4001</v>
      </c>
      <c r="G748" t="s">
        <v>4004</v>
      </c>
      <c r="H748" t="s">
        <v>4018</v>
      </c>
      <c r="I748" t="s">
        <v>4024</v>
      </c>
      <c r="J748" t="s">
        <v>4028</v>
      </c>
      <c r="K748" s="2">
        <v>44172</v>
      </c>
      <c r="L748" s="2">
        <v>44175</v>
      </c>
      <c r="M748">
        <v>4</v>
      </c>
      <c r="N748">
        <v>72</v>
      </c>
      <c r="O748">
        <f>IF(Tickets[[#This Row],[Ticket Priority]]="Critical",24,
IF(Tickets[[#This Row],[Ticket Priority]]="High",48,
IF(Tickets[[#This Row],[Ticket Priority]]="Medium",120,168)))</f>
        <v>168</v>
      </c>
      <c r="P748" t="str">
        <f>IF(Tickets[[#This Row],[Resolution Duration Hours]] &lt;= Tickets[[#This Row],[SLA_Target_Hours]], "Yes", "No")</f>
        <v>Yes</v>
      </c>
    </row>
    <row r="749" spans="1:16">
      <c r="A749">
        <v>1273</v>
      </c>
      <c r="B749" t="s">
        <v>1275</v>
      </c>
      <c r="C749" t="s">
        <v>3253</v>
      </c>
      <c r="D749" t="s">
        <v>3995</v>
      </c>
      <c r="E749" s="1">
        <v>44271</v>
      </c>
      <c r="F749" t="s">
        <v>4001</v>
      </c>
      <c r="G749" t="s">
        <v>4015</v>
      </c>
      <c r="H749" t="s">
        <v>4018</v>
      </c>
      <c r="I749" t="s">
        <v>4024</v>
      </c>
      <c r="J749" t="s">
        <v>4028</v>
      </c>
      <c r="K749" s="2">
        <v>44570</v>
      </c>
      <c r="L749" s="2">
        <v>44579</v>
      </c>
      <c r="M749">
        <v>5</v>
      </c>
      <c r="N749">
        <v>216</v>
      </c>
      <c r="O749">
        <f>IF(Tickets[[#This Row],[Ticket Priority]]="Critical",24,
IF(Tickets[[#This Row],[Ticket Priority]]="High",48,
IF(Tickets[[#This Row],[Ticket Priority]]="Medium",120,168)))</f>
        <v>168</v>
      </c>
      <c r="P749" t="str">
        <f>IF(Tickets[[#This Row],[Resolution Duration Hours]] &lt;= Tickets[[#This Row],[SLA_Target_Hours]], "Yes", "No")</f>
        <v>No</v>
      </c>
    </row>
    <row r="750" spans="1:16">
      <c r="A750">
        <v>1312</v>
      </c>
      <c r="B750" t="s">
        <v>1313</v>
      </c>
      <c r="C750" t="s">
        <v>3292</v>
      </c>
      <c r="D750" t="s">
        <v>3986</v>
      </c>
      <c r="E750" s="1">
        <v>44168</v>
      </c>
      <c r="F750" t="s">
        <v>3998</v>
      </c>
      <c r="G750" t="s">
        <v>4016</v>
      </c>
      <c r="H750" t="s">
        <v>4020</v>
      </c>
      <c r="I750" t="s">
        <v>4024</v>
      </c>
      <c r="J750" t="s">
        <v>4025</v>
      </c>
      <c r="K750" s="2">
        <v>44365</v>
      </c>
      <c r="L750" s="2">
        <v>44374</v>
      </c>
      <c r="N750">
        <v>216</v>
      </c>
      <c r="O750">
        <f>IF(Tickets[[#This Row],[Ticket Priority]]="Critical",24,
IF(Tickets[[#This Row],[Ticket Priority]]="High",48,
IF(Tickets[[#This Row],[Ticket Priority]]="Medium",120,168)))</f>
        <v>168</v>
      </c>
      <c r="P750" t="str">
        <f>IF(Tickets[[#This Row],[Resolution Duration Hours]] &lt;= Tickets[[#This Row],[SLA_Target_Hours]], "Yes", "No")</f>
        <v>No</v>
      </c>
    </row>
    <row r="751" spans="1:16" hidden="1">
      <c r="A751">
        <v>750</v>
      </c>
      <c r="B751" t="s">
        <v>759</v>
      </c>
      <c r="C751" t="s">
        <v>2732</v>
      </c>
      <c r="D751" t="s">
        <v>3980</v>
      </c>
      <c r="E751" s="1">
        <v>44543</v>
      </c>
      <c r="F751" t="s">
        <v>3998</v>
      </c>
      <c r="G751" t="s">
        <v>4013</v>
      </c>
      <c r="H751" t="s">
        <v>4018</v>
      </c>
      <c r="I751" t="s">
        <v>4024</v>
      </c>
      <c r="J751" t="s">
        <v>4025</v>
      </c>
      <c r="K751" s="2">
        <v>44774</v>
      </c>
      <c r="L751" s="2">
        <v>44776</v>
      </c>
      <c r="M751">
        <v>3</v>
      </c>
      <c r="N751">
        <v>48</v>
      </c>
      <c r="O751">
        <f>IF(Tickets[[#This Row],[Ticket Priority]]="Critical",24,
IF(Tickets[[#This Row],[Ticket Priority]]="High",48,
IF(Tickets[[#This Row],[Ticket Priority]]="Medium",120,168)))</f>
        <v>168</v>
      </c>
      <c r="P751" t="str">
        <f>IF(Tickets[[#This Row],[Resolution Duration Hours]] &lt;= Tickets[[#This Row],[SLA_Target_Hours]], "Yes", "No")</f>
        <v>Yes</v>
      </c>
    </row>
    <row r="752" spans="1:16">
      <c r="A752">
        <v>1315</v>
      </c>
      <c r="B752" t="s">
        <v>1316</v>
      </c>
      <c r="C752" t="s">
        <v>3295</v>
      </c>
      <c r="D752" t="s">
        <v>3986</v>
      </c>
      <c r="E752" s="1">
        <v>44885</v>
      </c>
      <c r="F752" t="s">
        <v>4002</v>
      </c>
      <c r="G752" t="s">
        <v>4007</v>
      </c>
      <c r="H752" t="s">
        <v>4018</v>
      </c>
      <c r="I752" t="s">
        <v>4024</v>
      </c>
      <c r="J752" t="s">
        <v>4026</v>
      </c>
      <c r="K752" s="2">
        <v>44887</v>
      </c>
      <c r="L752" s="2">
        <v>44896</v>
      </c>
      <c r="N752">
        <v>216</v>
      </c>
      <c r="O752">
        <f>IF(Tickets[[#This Row],[Ticket Priority]]="Critical",24,
IF(Tickets[[#This Row],[Ticket Priority]]="High",48,
IF(Tickets[[#This Row],[Ticket Priority]]="Medium",120,168)))</f>
        <v>168</v>
      </c>
      <c r="P752" t="str">
        <f>IF(Tickets[[#This Row],[Resolution Duration Hours]] &lt;= Tickets[[#This Row],[SLA_Target_Hours]], "Yes", "No")</f>
        <v>No</v>
      </c>
    </row>
    <row r="753" spans="1:16" hidden="1">
      <c r="A753">
        <v>752</v>
      </c>
      <c r="B753" t="s">
        <v>761</v>
      </c>
      <c r="C753" t="s">
        <v>2734</v>
      </c>
      <c r="D753" t="s">
        <v>3991</v>
      </c>
      <c r="E753" s="1">
        <v>44098</v>
      </c>
      <c r="F753" t="s">
        <v>3998</v>
      </c>
      <c r="G753" t="s">
        <v>4013</v>
      </c>
      <c r="H753" t="s">
        <v>4020</v>
      </c>
      <c r="I753" t="s">
        <v>4024</v>
      </c>
      <c r="J753" t="s">
        <v>4025</v>
      </c>
      <c r="K753" s="2">
        <v>44122</v>
      </c>
      <c r="L753" s="2">
        <v>44128</v>
      </c>
      <c r="N753">
        <v>144</v>
      </c>
      <c r="O753">
        <f>IF(Tickets[[#This Row],[Ticket Priority]]="Critical",24,
IF(Tickets[[#This Row],[Ticket Priority]]="High",48,
IF(Tickets[[#This Row],[Ticket Priority]]="Medium",120,168)))</f>
        <v>168</v>
      </c>
      <c r="P753" t="str">
        <f>IF(Tickets[[#This Row],[Resolution Duration Hours]] &lt;= Tickets[[#This Row],[SLA_Target_Hours]], "Yes", "No")</f>
        <v>Yes</v>
      </c>
    </row>
    <row r="754" spans="1:16" hidden="1">
      <c r="A754">
        <v>753</v>
      </c>
      <c r="B754" t="s">
        <v>762</v>
      </c>
      <c r="C754" t="s">
        <v>2735</v>
      </c>
      <c r="D754" t="s">
        <v>3986</v>
      </c>
      <c r="E754" s="1">
        <v>43930</v>
      </c>
      <c r="F754" t="s">
        <v>3998</v>
      </c>
      <c r="G754" t="s">
        <v>4004</v>
      </c>
      <c r="H754" t="s">
        <v>4018</v>
      </c>
      <c r="I754" t="s">
        <v>4023</v>
      </c>
      <c r="J754" t="s">
        <v>4025</v>
      </c>
      <c r="K754" s="2">
        <v>44217</v>
      </c>
      <c r="L754" s="2">
        <v>44221</v>
      </c>
      <c r="M754">
        <v>3</v>
      </c>
      <c r="N754">
        <v>96</v>
      </c>
      <c r="O754">
        <f>IF(Tickets[[#This Row],[Ticket Priority]]="Critical",24,
IF(Tickets[[#This Row],[Ticket Priority]]="High",48,
IF(Tickets[[#This Row],[Ticket Priority]]="Medium",120,168)))</f>
        <v>120</v>
      </c>
      <c r="P754" t="str">
        <f>IF(Tickets[[#This Row],[Resolution Duration Hours]] &lt;= Tickets[[#This Row],[SLA_Target_Hours]], "Yes", "No")</f>
        <v>Yes</v>
      </c>
    </row>
    <row r="755" spans="1:16" hidden="1">
      <c r="A755">
        <v>754</v>
      </c>
      <c r="B755" t="s">
        <v>763</v>
      </c>
      <c r="C755" t="s">
        <v>2736</v>
      </c>
      <c r="D755" t="s">
        <v>3992</v>
      </c>
      <c r="E755" s="1">
        <v>44977</v>
      </c>
      <c r="F755" t="s">
        <v>4002</v>
      </c>
      <c r="G755" t="s">
        <v>4016</v>
      </c>
      <c r="H755" t="s">
        <v>4017</v>
      </c>
      <c r="I755" t="s">
        <v>4021</v>
      </c>
      <c r="J755" t="s">
        <v>4025</v>
      </c>
      <c r="K755" s="2">
        <v>45234</v>
      </c>
      <c r="L755" s="2">
        <v>45236</v>
      </c>
      <c r="N755">
        <v>48</v>
      </c>
      <c r="O755">
        <f>IF(Tickets[[#This Row],[Ticket Priority]]="Critical",24,
IF(Tickets[[#This Row],[Ticket Priority]]="High",48,
IF(Tickets[[#This Row],[Ticket Priority]]="Medium",120,168)))</f>
        <v>48</v>
      </c>
      <c r="P755" t="str">
        <f>IF(Tickets[[#This Row],[Resolution Duration Hours]] &lt;= Tickets[[#This Row],[SLA_Target_Hours]], "Yes", "No")</f>
        <v>Yes</v>
      </c>
    </row>
    <row r="756" spans="1:16" hidden="1">
      <c r="A756">
        <v>755</v>
      </c>
      <c r="B756" t="s">
        <v>764</v>
      </c>
      <c r="C756" t="s">
        <v>2737</v>
      </c>
      <c r="D756" t="s">
        <v>3980</v>
      </c>
      <c r="E756" s="1">
        <v>45018</v>
      </c>
      <c r="F756" t="s">
        <v>3999</v>
      </c>
      <c r="G756" t="s">
        <v>4000</v>
      </c>
      <c r="H756" t="s">
        <v>4018</v>
      </c>
      <c r="I756" t="s">
        <v>4023</v>
      </c>
      <c r="J756" t="s">
        <v>4027</v>
      </c>
      <c r="K756" s="2">
        <v>45245</v>
      </c>
      <c r="L756" s="2">
        <v>45246</v>
      </c>
      <c r="M756">
        <v>4</v>
      </c>
      <c r="N756">
        <v>24</v>
      </c>
      <c r="O756">
        <f>IF(Tickets[[#This Row],[Ticket Priority]]="Critical",24,
IF(Tickets[[#This Row],[Ticket Priority]]="High",48,
IF(Tickets[[#This Row],[Ticket Priority]]="Medium",120,168)))</f>
        <v>120</v>
      </c>
      <c r="P756" t="str">
        <f>IF(Tickets[[#This Row],[Resolution Duration Hours]] &lt;= Tickets[[#This Row],[SLA_Target_Hours]], "Yes", "No")</f>
        <v>Yes</v>
      </c>
    </row>
    <row r="757" spans="1:16" hidden="1">
      <c r="A757">
        <v>756</v>
      </c>
      <c r="B757" t="s">
        <v>765</v>
      </c>
      <c r="C757" t="s">
        <v>2738</v>
      </c>
      <c r="D757" t="s">
        <v>3987</v>
      </c>
      <c r="E757" s="1">
        <v>44405</v>
      </c>
      <c r="F757" t="s">
        <v>4002</v>
      </c>
      <c r="G757" t="s">
        <v>4014</v>
      </c>
      <c r="H757" t="s">
        <v>4017</v>
      </c>
      <c r="I757" t="s">
        <v>4023</v>
      </c>
      <c r="J757" t="s">
        <v>4026</v>
      </c>
      <c r="K757" s="2">
        <v>44675</v>
      </c>
      <c r="L757" s="2">
        <v>44679</v>
      </c>
      <c r="N757">
        <v>96</v>
      </c>
      <c r="O757">
        <f>IF(Tickets[[#This Row],[Ticket Priority]]="Critical",24,
IF(Tickets[[#This Row],[Ticket Priority]]="High",48,
IF(Tickets[[#This Row],[Ticket Priority]]="Medium",120,168)))</f>
        <v>120</v>
      </c>
      <c r="P757" t="str">
        <f>IF(Tickets[[#This Row],[Resolution Duration Hours]] &lt;= Tickets[[#This Row],[SLA_Target_Hours]], "Yes", "No")</f>
        <v>Yes</v>
      </c>
    </row>
    <row r="758" spans="1:16" hidden="1">
      <c r="A758">
        <v>757</v>
      </c>
      <c r="B758" t="s">
        <v>766</v>
      </c>
      <c r="C758" t="s">
        <v>2739</v>
      </c>
      <c r="D758" t="s">
        <v>3990</v>
      </c>
      <c r="E758" s="1">
        <v>44782</v>
      </c>
      <c r="F758" t="s">
        <v>4002</v>
      </c>
      <c r="G758" t="s">
        <v>4010</v>
      </c>
      <c r="H758" t="s">
        <v>4017</v>
      </c>
      <c r="I758" t="s">
        <v>4024</v>
      </c>
      <c r="J758" t="s">
        <v>4027</v>
      </c>
      <c r="K758" s="2">
        <v>44827</v>
      </c>
      <c r="L758" s="2">
        <v>44829</v>
      </c>
      <c r="N758">
        <v>48</v>
      </c>
      <c r="O758">
        <f>IF(Tickets[[#This Row],[Ticket Priority]]="Critical",24,
IF(Tickets[[#This Row],[Ticket Priority]]="High",48,
IF(Tickets[[#This Row],[Ticket Priority]]="Medium",120,168)))</f>
        <v>168</v>
      </c>
      <c r="P758" t="str">
        <f>IF(Tickets[[#This Row],[Resolution Duration Hours]] &lt;= Tickets[[#This Row],[SLA_Target_Hours]], "Yes", "No")</f>
        <v>Yes</v>
      </c>
    </row>
    <row r="759" spans="1:16" hidden="1">
      <c r="A759">
        <v>758</v>
      </c>
      <c r="B759" t="s">
        <v>767</v>
      </c>
      <c r="C759" t="s">
        <v>2740</v>
      </c>
      <c r="D759" t="s">
        <v>3994</v>
      </c>
      <c r="E759" s="1">
        <v>44928</v>
      </c>
      <c r="F759" t="s">
        <v>4001</v>
      </c>
      <c r="G759" t="s">
        <v>4010</v>
      </c>
      <c r="H759" t="s">
        <v>4018</v>
      </c>
      <c r="I759" t="s">
        <v>4023</v>
      </c>
      <c r="J759" t="s">
        <v>4025</v>
      </c>
      <c r="K759" s="2">
        <v>45080</v>
      </c>
      <c r="L759" s="2">
        <v>45084</v>
      </c>
      <c r="M759">
        <v>4</v>
      </c>
      <c r="N759">
        <v>96</v>
      </c>
      <c r="O759">
        <f>IF(Tickets[[#This Row],[Ticket Priority]]="Critical",24,
IF(Tickets[[#This Row],[Ticket Priority]]="High",48,
IF(Tickets[[#This Row],[Ticket Priority]]="Medium",120,168)))</f>
        <v>120</v>
      </c>
      <c r="P759" t="str">
        <f>IF(Tickets[[#This Row],[Resolution Duration Hours]] &lt;= Tickets[[#This Row],[SLA_Target_Hours]], "Yes", "No")</f>
        <v>Yes</v>
      </c>
    </row>
    <row r="760" spans="1:16">
      <c r="A760">
        <v>1337</v>
      </c>
      <c r="B760" t="s">
        <v>1338</v>
      </c>
      <c r="C760" t="s">
        <v>3317</v>
      </c>
      <c r="D760" t="s">
        <v>3997</v>
      </c>
      <c r="E760" s="1">
        <v>44371</v>
      </c>
      <c r="F760" t="s">
        <v>4001</v>
      </c>
      <c r="G760" t="s">
        <v>4007</v>
      </c>
      <c r="H760" t="s">
        <v>4017</v>
      </c>
      <c r="I760" t="s">
        <v>4024</v>
      </c>
      <c r="J760" t="s">
        <v>4026</v>
      </c>
      <c r="K760" s="2">
        <v>44692</v>
      </c>
      <c r="L760" s="2">
        <v>44701</v>
      </c>
      <c r="N760">
        <v>216</v>
      </c>
      <c r="O760">
        <f>IF(Tickets[[#This Row],[Ticket Priority]]="Critical",24,
IF(Tickets[[#This Row],[Ticket Priority]]="High",48,
IF(Tickets[[#This Row],[Ticket Priority]]="Medium",120,168)))</f>
        <v>168</v>
      </c>
      <c r="P760" t="str">
        <f>IF(Tickets[[#This Row],[Resolution Duration Hours]] &lt;= Tickets[[#This Row],[SLA_Target_Hours]], "Yes", "No")</f>
        <v>No</v>
      </c>
    </row>
    <row r="761" spans="1:16" hidden="1">
      <c r="A761">
        <v>760</v>
      </c>
      <c r="B761" t="s">
        <v>769</v>
      </c>
      <c r="C761" t="s">
        <v>2742</v>
      </c>
      <c r="D761" t="s">
        <v>3995</v>
      </c>
      <c r="E761" s="1">
        <v>44945</v>
      </c>
      <c r="F761" t="s">
        <v>4001</v>
      </c>
      <c r="G761" t="s">
        <v>4005</v>
      </c>
      <c r="H761" t="s">
        <v>4018</v>
      </c>
      <c r="I761" t="s">
        <v>4023</v>
      </c>
      <c r="J761" t="s">
        <v>4027</v>
      </c>
      <c r="K761" s="2">
        <v>44978</v>
      </c>
      <c r="L761" s="2">
        <v>44982</v>
      </c>
      <c r="M761">
        <v>5</v>
      </c>
      <c r="N761">
        <v>96</v>
      </c>
      <c r="O761">
        <f>IF(Tickets[[#This Row],[Ticket Priority]]="Critical",24,
IF(Tickets[[#This Row],[Ticket Priority]]="High",48,
IF(Tickets[[#This Row],[Ticket Priority]]="Medium",120,168)))</f>
        <v>120</v>
      </c>
      <c r="P761" t="str">
        <f>IF(Tickets[[#This Row],[Resolution Duration Hours]] &lt;= Tickets[[#This Row],[SLA_Target_Hours]], "Yes", "No")</f>
        <v>Yes</v>
      </c>
    </row>
    <row r="762" spans="1:16" hidden="1">
      <c r="A762">
        <v>761</v>
      </c>
      <c r="B762" t="s">
        <v>770</v>
      </c>
      <c r="C762" t="s">
        <v>2743</v>
      </c>
      <c r="D762" t="s">
        <v>3985</v>
      </c>
      <c r="E762" s="1">
        <v>43979</v>
      </c>
      <c r="F762" t="s">
        <v>3998</v>
      </c>
      <c r="G762" t="s">
        <v>4014</v>
      </c>
      <c r="H762" t="s">
        <v>4020</v>
      </c>
      <c r="I762" t="s">
        <v>4023</v>
      </c>
      <c r="J762" t="s">
        <v>4026</v>
      </c>
      <c r="K762" s="2">
        <v>44134</v>
      </c>
      <c r="L762" s="2">
        <v>44138</v>
      </c>
      <c r="N762">
        <v>96</v>
      </c>
      <c r="O762">
        <f>IF(Tickets[[#This Row],[Ticket Priority]]="Critical",24,
IF(Tickets[[#This Row],[Ticket Priority]]="High",48,
IF(Tickets[[#This Row],[Ticket Priority]]="Medium",120,168)))</f>
        <v>120</v>
      </c>
      <c r="P762" t="str">
        <f>IF(Tickets[[#This Row],[Resolution Duration Hours]] &lt;= Tickets[[#This Row],[SLA_Target_Hours]], "Yes", "No")</f>
        <v>Yes</v>
      </c>
    </row>
    <row r="763" spans="1:16" hidden="1">
      <c r="A763">
        <v>762</v>
      </c>
      <c r="B763" t="s">
        <v>771</v>
      </c>
      <c r="C763" t="s">
        <v>2744</v>
      </c>
      <c r="D763" t="s">
        <v>3993</v>
      </c>
      <c r="E763" s="1">
        <v>44260</v>
      </c>
      <c r="F763" t="s">
        <v>3998</v>
      </c>
      <c r="G763" t="s">
        <v>4012</v>
      </c>
      <c r="H763" t="s">
        <v>4017</v>
      </c>
      <c r="I763" t="s">
        <v>4024</v>
      </c>
      <c r="J763" t="s">
        <v>4025</v>
      </c>
      <c r="K763" s="2">
        <v>44536</v>
      </c>
      <c r="L763" s="2">
        <v>44541</v>
      </c>
      <c r="N763">
        <v>120</v>
      </c>
      <c r="O763">
        <f>IF(Tickets[[#This Row],[Ticket Priority]]="Critical",24,
IF(Tickets[[#This Row],[Ticket Priority]]="High",48,
IF(Tickets[[#This Row],[Ticket Priority]]="Medium",120,168)))</f>
        <v>168</v>
      </c>
      <c r="P763" t="str">
        <f>IF(Tickets[[#This Row],[Resolution Duration Hours]] &lt;= Tickets[[#This Row],[SLA_Target_Hours]], "Yes", "No")</f>
        <v>Yes</v>
      </c>
    </row>
    <row r="764" spans="1:16" hidden="1">
      <c r="A764">
        <v>763</v>
      </c>
      <c r="B764" t="s">
        <v>772</v>
      </c>
      <c r="C764" t="s">
        <v>2745</v>
      </c>
      <c r="D764" t="s">
        <v>3982</v>
      </c>
      <c r="E764" s="1">
        <v>43897</v>
      </c>
      <c r="F764" t="s">
        <v>4002</v>
      </c>
      <c r="G764" t="s">
        <v>4009</v>
      </c>
      <c r="H764" t="s">
        <v>4018</v>
      </c>
      <c r="I764" t="s">
        <v>4024</v>
      </c>
      <c r="J764" t="s">
        <v>4027</v>
      </c>
      <c r="K764" s="2">
        <v>43897</v>
      </c>
      <c r="L764" s="2">
        <v>43904</v>
      </c>
      <c r="M764">
        <v>4</v>
      </c>
      <c r="N764">
        <v>168</v>
      </c>
      <c r="O764">
        <f>IF(Tickets[[#This Row],[Ticket Priority]]="Critical",24,
IF(Tickets[[#This Row],[Ticket Priority]]="High",48,
IF(Tickets[[#This Row],[Ticket Priority]]="Medium",120,168)))</f>
        <v>168</v>
      </c>
      <c r="P764" t="str">
        <f>IF(Tickets[[#This Row],[Resolution Duration Hours]] &lt;= Tickets[[#This Row],[SLA_Target_Hours]], "Yes", "No")</f>
        <v>Yes</v>
      </c>
    </row>
    <row r="765" spans="1:16" hidden="1">
      <c r="A765">
        <v>764</v>
      </c>
      <c r="B765" t="s">
        <v>773</v>
      </c>
      <c r="C765" t="s">
        <v>2746</v>
      </c>
      <c r="D765" t="s">
        <v>3986</v>
      </c>
      <c r="E765" s="1">
        <v>44981</v>
      </c>
      <c r="F765" t="s">
        <v>4002</v>
      </c>
      <c r="G765" t="s">
        <v>4015</v>
      </c>
      <c r="H765" t="s">
        <v>4017</v>
      </c>
      <c r="I765" t="s">
        <v>4023</v>
      </c>
      <c r="J765" t="s">
        <v>4028</v>
      </c>
      <c r="K765" s="2">
        <v>45004</v>
      </c>
      <c r="L765" s="2">
        <v>45008</v>
      </c>
      <c r="N765">
        <v>96</v>
      </c>
      <c r="O765">
        <f>IF(Tickets[[#This Row],[Ticket Priority]]="Critical",24,
IF(Tickets[[#This Row],[Ticket Priority]]="High",48,
IF(Tickets[[#This Row],[Ticket Priority]]="Medium",120,168)))</f>
        <v>120</v>
      </c>
      <c r="P765" t="str">
        <f>IF(Tickets[[#This Row],[Resolution Duration Hours]] &lt;= Tickets[[#This Row],[SLA_Target_Hours]], "Yes", "No")</f>
        <v>Yes</v>
      </c>
    </row>
    <row r="766" spans="1:16" hidden="1">
      <c r="A766">
        <v>765</v>
      </c>
      <c r="B766" t="s">
        <v>774</v>
      </c>
      <c r="C766" t="s">
        <v>2747</v>
      </c>
      <c r="D766" t="s">
        <v>3991</v>
      </c>
      <c r="E766" s="1">
        <v>44951</v>
      </c>
      <c r="F766" t="s">
        <v>3999</v>
      </c>
      <c r="G766" t="s">
        <v>4008</v>
      </c>
      <c r="H766" t="s">
        <v>4020</v>
      </c>
      <c r="I766" t="s">
        <v>4021</v>
      </c>
      <c r="J766" t="s">
        <v>4027</v>
      </c>
      <c r="K766" s="2">
        <v>45094</v>
      </c>
      <c r="L766" s="2">
        <v>45096</v>
      </c>
      <c r="N766">
        <v>48</v>
      </c>
      <c r="O766">
        <f>IF(Tickets[[#This Row],[Ticket Priority]]="Critical",24,
IF(Tickets[[#This Row],[Ticket Priority]]="High",48,
IF(Tickets[[#This Row],[Ticket Priority]]="Medium",120,168)))</f>
        <v>48</v>
      </c>
      <c r="P766" t="str">
        <f>IF(Tickets[[#This Row],[Resolution Duration Hours]] &lt;= Tickets[[#This Row],[SLA_Target_Hours]], "Yes", "No")</f>
        <v>Yes</v>
      </c>
    </row>
    <row r="767" spans="1:16" hidden="1">
      <c r="A767">
        <v>766</v>
      </c>
      <c r="B767" t="s">
        <v>775</v>
      </c>
      <c r="C767" t="s">
        <v>2748</v>
      </c>
      <c r="D767" t="s">
        <v>3984</v>
      </c>
      <c r="E767" s="1">
        <v>43983</v>
      </c>
      <c r="F767" t="s">
        <v>4002</v>
      </c>
      <c r="G767" t="s">
        <v>4013</v>
      </c>
      <c r="H767" t="s">
        <v>4018</v>
      </c>
      <c r="I767" t="s">
        <v>4024</v>
      </c>
      <c r="J767" t="s">
        <v>4026</v>
      </c>
      <c r="K767" s="2">
        <v>44122</v>
      </c>
      <c r="L767" s="2">
        <v>44127</v>
      </c>
      <c r="N767">
        <v>120</v>
      </c>
      <c r="O767">
        <f>IF(Tickets[[#This Row],[Ticket Priority]]="Critical",24,
IF(Tickets[[#This Row],[Ticket Priority]]="High",48,
IF(Tickets[[#This Row],[Ticket Priority]]="Medium",120,168)))</f>
        <v>168</v>
      </c>
      <c r="P767" t="str">
        <f>IF(Tickets[[#This Row],[Resolution Duration Hours]] &lt;= Tickets[[#This Row],[SLA_Target_Hours]], "Yes", "No")</f>
        <v>Yes</v>
      </c>
    </row>
    <row r="768" spans="1:16" hidden="1">
      <c r="A768">
        <v>767</v>
      </c>
      <c r="B768" t="s">
        <v>776</v>
      </c>
      <c r="C768" t="s">
        <v>2749</v>
      </c>
      <c r="D768" t="s">
        <v>3992</v>
      </c>
      <c r="E768" s="1">
        <v>44508</v>
      </c>
      <c r="F768" t="s">
        <v>3998</v>
      </c>
      <c r="G768" t="s">
        <v>4003</v>
      </c>
      <c r="H768" t="s">
        <v>4018</v>
      </c>
      <c r="I768" t="s">
        <v>4024</v>
      </c>
      <c r="J768" t="s">
        <v>4025</v>
      </c>
      <c r="K768" s="2">
        <v>44510</v>
      </c>
      <c r="L768" s="2">
        <v>44515</v>
      </c>
      <c r="M768">
        <v>3</v>
      </c>
      <c r="N768">
        <v>120</v>
      </c>
      <c r="O768">
        <f>IF(Tickets[[#This Row],[Ticket Priority]]="Critical",24,
IF(Tickets[[#This Row],[Ticket Priority]]="High",48,
IF(Tickets[[#This Row],[Ticket Priority]]="Medium",120,168)))</f>
        <v>168</v>
      </c>
      <c r="P768" t="str">
        <f>IF(Tickets[[#This Row],[Resolution Duration Hours]] &lt;= Tickets[[#This Row],[SLA_Target_Hours]], "Yes", "No")</f>
        <v>Yes</v>
      </c>
    </row>
    <row r="769" spans="1:16">
      <c r="A769">
        <v>1361</v>
      </c>
      <c r="B769" t="s">
        <v>1362</v>
      </c>
      <c r="C769" t="s">
        <v>3341</v>
      </c>
      <c r="D769" t="s">
        <v>3984</v>
      </c>
      <c r="E769" s="1">
        <v>43950</v>
      </c>
      <c r="F769" t="s">
        <v>4002</v>
      </c>
      <c r="G769" t="s">
        <v>4015</v>
      </c>
      <c r="H769" t="s">
        <v>4020</v>
      </c>
      <c r="I769" t="s">
        <v>4024</v>
      </c>
      <c r="J769" t="s">
        <v>4028</v>
      </c>
      <c r="K769" s="2">
        <v>44116</v>
      </c>
      <c r="L769" s="2">
        <v>44125</v>
      </c>
      <c r="N769">
        <v>216</v>
      </c>
      <c r="O769">
        <f>IF(Tickets[[#This Row],[Ticket Priority]]="Critical",24,
IF(Tickets[[#This Row],[Ticket Priority]]="High",48,
IF(Tickets[[#This Row],[Ticket Priority]]="Medium",120,168)))</f>
        <v>168</v>
      </c>
      <c r="P769" t="str">
        <f>IF(Tickets[[#This Row],[Resolution Duration Hours]] &lt;= Tickets[[#This Row],[SLA_Target_Hours]], "Yes", "No")</f>
        <v>No</v>
      </c>
    </row>
    <row r="770" spans="1:16" hidden="1">
      <c r="A770">
        <v>769</v>
      </c>
      <c r="B770" t="s">
        <v>778</v>
      </c>
      <c r="C770" t="s">
        <v>2751</v>
      </c>
      <c r="D770" t="s">
        <v>3987</v>
      </c>
      <c r="E770" s="1">
        <v>44043</v>
      </c>
      <c r="F770" t="s">
        <v>3999</v>
      </c>
      <c r="G770" t="s">
        <v>4005</v>
      </c>
      <c r="H770" t="s">
        <v>4017</v>
      </c>
      <c r="I770" t="s">
        <v>4024</v>
      </c>
      <c r="J770" t="s">
        <v>4026</v>
      </c>
      <c r="K770" s="2">
        <v>44106</v>
      </c>
      <c r="L770" s="2">
        <v>44111</v>
      </c>
      <c r="N770">
        <v>120</v>
      </c>
      <c r="O770">
        <f>IF(Tickets[[#This Row],[Ticket Priority]]="Critical",24,
IF(Tickets[[#This Row],[Ticket Priority]]="High",48,
IF(Tickets[[#This Row],[Ticket Priority]]="Medium",120,168)))</f>
        <v>168</v>
      </c>
      <c r="P770" t="str">
        <f>IF(Tickets[[#This Row],[Resolution Duration Hours]] &lt;= Tickets[[#This Row],[SLA_Target_Hours]], "Yes", "No")</f>
        <v>Yes</v>
      </c>
    </row>
    <row r="771" spans="1:16" hidden="1">
      <c r="A771">
        <v>770</v>
      </c>
      <c r="B771" t="s">
        <v>779</v>
      </c>
      <c r="C771" t="s">
        <v>2752</v>
      </c>
      <c r="D771" t="s">
        <v>3988</v>
      </c>
      <c r="E771" s="1">
        <v>45057</v>
      </c>
      <c r="F771" t="s">
        <v>4000</v>
      </c>
      <c r="G771" t="s">
        <v>4006</v>
      </c>
      <c r="H771" t="s">
        <v>4019</v>
      </c>
      <c r="I771" t="s">
        <v>4024</v>
      </c>
      <c r="J771" t="s">
        <v>4026</v>
      </c>
      <c r="K771" s="2">
        <v>45371</v>
      </c>
      <c r="L771" s="2">
        <v>45375</v>
      </c>
      <c r="M771">
        <v>5</v>
      </c>
      <c r="N771">
        <v>96</v>
      </c>
      <c r="O771">
        <f>IF(Tickets[[#This Row],[Ticket Priority]]="Critical",24,
IF(Tickets[[#This Row],[Ticket Priority]]="High",48,
IF(Tickets[[#This Row],[Ticket Priority]]="Medium",120,168)))</f>
        <v>168</v>
      </c>
      <c r="P771" t="str">
        <f>IF(Tickets[[#This Row],[Resolution Duration Hours]] &lt;= Tickets[[#This Row],[SLA_Target_Hours]], "Yes", "No")</f>
        <v>Yes</v>
      </c>
    </row>
    <row r="772" spans="1:16" hidden="1">
      <c r="A772">
        <v>771</v>
      </c>
      <c r="B772" t="s">
        <v>780</v>
      </c>
      <c r="C772" t="s">
        <v>2753</v>
      </c>
      <c r="D772" t="s">
        <v>3989</v>
      </c>
      <c r="E772" s="1">
        <v>44167</v>
      </c>
      <c r="F772" t="s">
        <v>3998</v>
      </c>
      <c r="G772" t="s">
        <v>4005</v>
      </c>
      <c r="H772" t="s">
        <v>4018</v>
      </c>
      <c r="I772" t="s">
        <v>4024</v>
      </c>
      <c r="J772" t="s">
        <v>4028</v>
      </c>
      <c r="K772" s="2">
        <v>44170</v>
      </c>
      <c r="L772" s="2">
        <v>44176</v>
      </c>
      <c r="M772">
        <v>5</v>
      </c>
      <c r="N772">
        <v>144</v>
      </c>
      <c r="O772">
        <f>IF(Tickets[[#This Row],[Ticket Priority]]="Critical",24,
IF(Tickets[[#This Row],[Ticket Priority]]="High",48,
IF(Tickets[[#This Row],[Ticket Priority]]="Medium",120,168)))</f>
        <v>168</v>
      </c>
      <c r="P772" t="str">
        <f>IF(Tickets[[#This Row],[Resolution Duration Hours]] &lt;= Tickets[[#This Row],[SLA_Target_Hours]], "Yes", "No")</f>
        <v>Yes</v>
      </c>
    </row>
    <row r="773" spans="1:16" hidden="1">
      <c r="A773">
        <v>772</v>
      </c>
      <c r="B773" t="s">
        <v>781</v>
      </c>
      <c r="C773" t="s">
        <v>2754</v>
      </c>
      <c r="D773" t="s">
        <v>3980</v>
      </c>
      <c r="E773" s="1">
        <v>44339</v>
      </c>
      <c r="F773" t="s">
        <v>3999</v>
      </c>
      <c r="G773" t="s">
        <v>4006</v>
      </c>
      <c r="H773" t="s">
        <v>4017</v>
      </c>
      <c r="I773" t="s">
        <v>4023</v>
      </c>
      <c r="J773" t="s">
        <v>4026</v>
      </c>
      <c r="K773" s="2">
        <v>44683</v>
      </c>
      <c r="L773" s="2">
        <v>44685</v>
      </c>
      <c r="N773">
        <v>48</v>
      </c>
      <c r="O773">
        <f>IF(Tickets[[#This Row],[Ticket Priority]]="Critical",24,
IF(Tickets[[#This Row],[Ticket Priority]]="High",48,
IF(Tickets[[#This Row],[Ticket Priority]]="Medium",120,168)))</f>
        <v>120</v>
      </c>
      <c r="P773" t="str">
        <f>IF(Tickets[[#This Row],[Resolution Duration Hours]] &lt;= Tickets[[#This Row],[SLA_Target_Hours]], "Yes", "No")</f>
        <v>Yes</v>
      </c>
    </row>
    <row r="774" spans="1:16" hidden="1">
      <c r="A774">
        <v>773</v>
      </c>
      <c r="B774" t="s">
        <v>782</v>
      </c>
      <c r="C774" t="s">
        <v>2755</v>
      </c>
      <c r="D774" t="s">
        <v>3980</v>
      </c>
      <c r="E774" s="1">
        <v>43899</v>
      </c>
      <c r="F774" t="s">
        <v>3998</v>
      </c>
      <c r="G774" t="s">
        <v>4009</v>
      </c>
      <c r="H774" t="s">
        <v>4017</v>
      </c>
      <c r="I774" t="s">
        <v>4024</v>
      </c>
      <c r="J774" t="s">
        <v>4027</v>
      </c>
      <c r="K774" s="2">
        <v>44015</v>
      </c>
      <c r="L774" s="2">
        <v>44022</v>
      </c>
      <c r="N774">
        <v>168</v>
      </c>
      <c r="O774">
        <f>IF(Tickets[[#This Row],[Ticket Priority]]="Critical",24,
IF(Tickets[[#This Row],[Ticket Priority]]="High",48,
IF(Tickets[[#This Row],[Ticket Priority]]="Medium",120,168)))</f>
        <v>168</v>
      </c>
      <c r="P774" t="str">
        <f>IF(Tickets[[#This Row],[Resolution Duration Hours]] &lt;= Tickets[[#This Row],[SLA_Target_Hours]], "Yes", "No")</f>
        <v>Yes</v>
      </c>
    </row>
    <row r="775" spans="1:16" hidden="1">
      <c r="A775">
        <v>774</v>
      </c>
      <c r="B775" t="s">
        <v>783</v>
      </c>
      <c r="C775" t="s">
        <v>2756</v>
      </c>
      <c r="D775" t="s">
        <v>3990</v>
      </c>
      <c r="E775" s="1">
        <v>43983</v>
      </c>
      <c r="F775" t="s">
        <v>3999</v>
      </c>
      <c r="G775" t="s">
        <v>4000</v>
      </c>
      <c r="H775" t="s">
        <v>4019</v>
      </c>
      <c r="I775" t="s">
        <v>4023</v>
      </c>
      <c r="J775" t="s">
        <v>4026</v>
      </c>
      <c r="K775" s="2">
        <v>44331</v>
      </c>
      <c r="L775" s="2">
        <v>44333</v>
      </c>
      <c r="M775">
        <v>5</v>
      </c>
      <c r="N775">
        <v>48</v>
      </c>
      <c r="O775">
        <f>IF(Tickets[[#This Row],[Ticket Priority]]="Critical",24,
IF(Tickets[[#This Row],[Ticket Priority]]="High",48,
IF(Tickets[[#This Row],[Ticket Priority]]="Medium",120,168)))</f>
        <v>120</v>
      </c>
      <c r="P775" t="str">
        <f>IF(Tickets[[#This Row],[Resolution Duration Hours]] &lt;= Tickets[[#This Row],[SLA_Target_Hours]], "Yes", "No")</f>
        <v>Yes</v>
      </c>
    </row>
    <row r="776" spans="1:16" hidden="1">
      <c r="A776">
        <v>775</v>
      </c>
      <c r="B776" t="s">
        <v>784</v>
      </c>
      <c r="C776" t="s">
        <v>2757</v>
      </c>
      <c r="D776" t="s">
        <v>3995</v>
      </c>
      <c r="E776" s="1">
        <v>44037</v>
      </c>
      <c r="F776" t="s">
        <v>4001</v>
      </c>
      <c r="G776" t="s">
        <v>4012</v>
      </c>
      <c r="H776" t="s">
        <v>4017</v>
      </c>
      <c r="I776" t="s">
        <v>4023</v>
      </c>
      <c r="J776" t="s">
        <v>4025</v>
      </c>
      <c r="K776" s="2">
        <v>44177</v>
      </c>
      <c r="L776" s="2">
        <v>44179</v>
      </c>
      <c r="N776">
        <v>48</v>
      </c>
      <c r="O776">
        <f>IF(Tickets[[#This Row],[Ticket Priority]]="Critical",24,
IF(Tickets[[#This Row],[Ticket Priority]]="High",48,
IF(Tickets[[#This Row],[Ticket Priority]]="Medium",120,168)))</f>
        <v>120</v>
      </c>
      <c r="P776" t="str">
        <f>IF(Tickets[[#This Row],[Resolution Duration Hours]] &lt;= Tickets[[#This Row],[SLA_Target_Hours]], "Yes", "No")</f>
        <v>Yes</v>
      </c>
    </row>
    <row r="777" spans="1:16" hidden="1">
      <c r="A777">
        <v>776</v>
      </c>
      <c r="B777" t="s">
        <v>785</v>
      </c>
      <c r="C777" t="s">
        <v>2758</v>
      </c>
      <c r="D777" t="s">
        <v>3995</v>
      </c>
      <c r="E777" s="1">
        <v>44544</v>
      </c>
      <c r="F777" t="s">
        <v>4001</v>
      </c>
      <c r="G777" t="s">
        <v>4015</v>
      </c>
      <c r="H777" t="s">
        <v>4017</v>
      </c>
      <c r="I777" t="s">
        <v>4022</v>
      </c>
      <c r="J777" t="s">
        <v>4028</v>
      </c>
      <c r="K777" s="2">
        <v>44816</v>
      </c>
      <c r="L777" s="2">
        <v>44817</v>
      </c>
      <c r="N777">
        <v>24</v>
      </c>
      <c r="O777">
        <f>IF(Tickets[[#This Row],[Ticket Priority]]="Critical",24,
IF(Tickets[[#This Row],[Ticket Priority]]="High",48,
IF(Tickets[[#This Row],[Ticket Priority]]="Medium",120,168)))</f>
        <v>24</v>
      </c>
      <c r="P777" t="str">
        <f>IF(Tickets[[#This Row],[Resolution Duration Hours]] &lt;= Tickets[[#This Row],[SLA_Target_Hours]], "Yes", "No")</f>
        <v>Yes</v>
      </c>
    </row>
    <row r="778" spans="1:16" hidden="1">
      <c r="A778">
        <v>777</v>
      </c>
      <c r="B778" t="s">
        <v>786</v>
      </c>
      <c r="C778" t="s">
        <v>2759</v>
      </c>
      <c r="D778" t="s">
        <v>3993</v>
      </c>
      <c r="E778" s="1">
        <v>44460</v>
      </c>
      <c r="F778" t="s">
        <v>4001</v>
      </c>
      <c r="G778" t="s">
        <v>4010</v>
      </c>
      <c r="H778" t="s">
        <v>4018</v>
      </c>
      <c r="I778" t="s">
        <v>4021</v>
      </c>
      <c r="J778" t="s">
        <v>4028</v>
      </c>
      <c r="K778" s="2">
        <v>44813</v>
      </c>
      <c r="L778" s="2">
        <v>44815</v>
      </c>
      <c r="M778">
        <v>4</v>
      </c>
      <c r="N778">
        <v>48</v>
      </c>
      <c r="O778">
        <f>IF(Tickets[[#This Row],[Ticket Priority]]="Critical",24,
IF(Tickets[[#This Row],[Ticket Priority]]="High",48,
IF(Tickets[[#This Row],[Ticket Priority]]="Medium",120,168)))</f>
        <v>48</v>
      </c>
      <c r="P778" t="str">
        <f>IF(Tickets[[#This Row],[Resolution Duration Hours]] &lt;= Tickets[[#This Row],[SLA_Target_Hours]], "Yes", "No")</f>
        <v>Yes</v>
      </c>
    </row>
    <row r="779" spans="1:16" hidden="1">
      <c r="A779">
        <v>778</v>
      </c>
      <c r="B779" t="s">
        <v>787</v>
      </c>
      <c r="C779" t="s">
        <v>2760</v>
      </c>
      <c r="D779" t="s">
        <v>3987</v>
      </c>
      <c r="E779" s="1">
        <v>44348</v>
      </c>
      <c r="F779" t="s">
        <v>4001</v>
      </c>
      <c r="G779" t="s">
        <v>4016</v>
      </c>
      <c r="H779" t="s">
        <v>4018</v>
      </c>
      <c r="I779" t="s">
        <v>4024</v>
      </c>
      <c r="J779" t="s">
        <v>4027</v>
      </c>
      <c r="K779" s="2">
        <v>44651</v>
      </c>
      <c r="L779" s="2">
        <v>44657</v>
      </c>
      <c r="M779">
        <v>4</v>
      </c>
      <c r="N779">
        <v>144</v>
      </c>
      <c r="O779">
        <f>IF(Tickets[[#This Row],[Ticket Priority]]="Critical",24,
IF(Tickets[[#This Row],[Ticket Priority]]="High",48,
IF(Tickets[[#This Row],[Ticket Priority]]="Medium",120,168)))</f>
        <v>168</v>
      </c>
      <c r="P779" t="str">
        <f>IF(Tickets[[#This Row],[Resolution Duration Hours]] &lt;= Tickets[[#This Row],[SLA_Target_Hours]], "Yes", "No")</f>
        <v>Yes</v>
      </c>
    </row>
    <row r="780" spans="1:16" hidden="1">
      <c r="A780">
        <v>779</v>
      </c>
      <c r="B780" t="s">
        <v>788</v>
      </c>
      <c r="C780" t="s">
        <v>2761</v>
      </c>
      <c r="D780" t="s">
        <v>3993</v>
      </c>
      <c r="E780" s="1">
        <v>44973</v>
      </c>
      <c r="F780" t="s">
        <v>4001</v>
      </c>
      <c r="G780" t="s">
        <v>4006</v>
      </c>
      <c r="H780" t="s">
        <v>4018</v>
      </c>
      <c r="I780" t="s">
        <v>4023</v>
      </c>
      <c r="J780" t="s">
        <v>4026</v>
      </c>
      <c r="K780" s="2">
        <v>45010</v>
      </c>
      <c r="L780" s="2">
        <v>45014</v>
      </c>
      <c r="M780">
        <v>4</v>
      </c>
      <c r="N780">
        <v>96</v>
      </c>
      <c r="O780">
        <f>IF(Tickets[[#This Row],[Ticket Priority]]="Critical",24,
IF(Tickets[[#This Row],[Ticket Priority]]="High",48,
IF(Tickets[[#This Row],[Ticket Priority]]="Medium",120,168)))</f>
        <v>120</v>
      </c>
      <c r="P780" t="str">
        <f>IF(Tickets[[#This Row],[Resolution Duration Hours]] &lt;= Tickets[[#This Row],[SLA_Target_Hours]], "Yes", "No")</f>
        <v>Yes</v>
      </c>
    </row>
    <row r="781" spans="1:16" hidden="1">
      <c r="A781">
        <v>780</v>
      </c>
      <c r="B781" t="s">
        <v>789</v>
      </c>
      <c r="C781" t="s">
        <v>2762</v>
      </c>
      <c r="D781" t="s">
        <v>3983</v>
      </c>
      <c r="E781" s="1">
        <v>44553</v>
      </c>
      <c r="F781" t="s">
        <v>4001</v>
      </c>
      <c r="G781" t="s">
        <v>4003</v>
      </c>
      <c r="H781" t="s">
        <v>4018</v>
      </c>
      <c r="I781" t="s">
        <v>4021</v>
      </c>
      <c r="J781" t="s">
        <v>4028</v>
      </c>
      <c r="K781" s="2">
        <v>44908</v>
      </c>
      <c r="L781" s="2">
        <v>44910</v>
      </c>
      <c r="M781">
        <v>5</v>
      </c>
      <c r="N781">
        <v>48</v>
      </c>
      <c r="O781">
        <f>IF(Tickets[[#This Row],[Ticket Priority]]="Critical",24,
IF(Tickets[[#This Row],[Ticket Priority]]="High",48,
IF(Tickets[[#This Row],[Ticket Priority]]="Medium",120,168)))</f>
        <v>48</v>
      </c>
      <c r="P781" t="str">
        <f>IF(Tickets[[#This Row],[Resolution Duration Hours]] &lt;= Tickets[[#This Row],[SLA_Target_Hours]], "Yes", "No")</f>
        <v>Yes</v>
      </c>
    </row>
    <row r="782" spans="1:16" hidden="1">
      <c r="A782">
        <v>781</v>
      </c>
      <c r="B782" t="s">
        <v>790</v>
      </c>
      <c r="C782" t="s">
        <v>2763</v>
      </c>
      <c r="D782" t="s">
        <v>3991</v>
      </c>
      <c r="E782" s="1">
        <v>44351</v>
      </c>
      <c r="F782" t="s">
        <v>3998</v>
      </c>
      <c r="G782" t="s">
        <v>4010</v>
      </c>
      <c r="H782" t="s">
        <v>4018</v>
      </c>
      <c r="I782" t="s">
        <v>4023</v>
      </c>
      <c r="J782" t="s">
        <v>4028</v>
      </c>
      <c r="K782" s="2">
        <v>44377</v>
      </c>
      <c r="L782" s="2">
        <v>44380</v>
      </c>
      <c r="M782">
        <v>3</v>
      </c>
      <c r="N782">
        <v>72</v>
      </c>
      <c r="O782">
        <f>IF(Tickets[[#This Row],[Ticket Priority]]="Critical",24,
IF(Tickets[[#This Row],[Ticket Priority]]="High",48,
IF(Tickets[[#This Row],[Ticket Priority]]="Medium",120,168)))</f>
        <v>120</v>
      </c>
      <c r="P782" t="str">
        <f>IF(Tickets[[#This Row],[Resolution Duration Hours]] &lt;= Tickets[[#This Row],[SLA_Target_Hours]], "Yes", "No")</f>
        <v>Yes</v>
      </c>
    </row>
    <row r="783" spans="1:16" hidden="1">
      <c r="A783">
        <v>782</v>
      </c>
      <c r="B783" t="s">
        <v>791</v>
      </c>
      <c r="C783" t="s">
        <v>2764</v>
      </c>
      <c r="D783" t="s">
        <v>3984</v>
      </c>
      <c r="E783" s="1">
        <v>44378</v>
      </c>
      <c r="F783" t="s">
        <v>3999</v>
      </c>
      <c r="G783" t="s">
        <v>4009</v>
      </c>
      <c r="H783" t="s">
        <v>4020</v>
      </c>
      <c r="I783" t="s">
        <v>4023</v>
      </c>
      <c r="J783" t="s">
        <v>4028</v>
      </c>
      <c r="K783" s="2">
        <v>44597</v>
      </c>
      <c r="L783" s="2">
        <v>44600</v>
      </c>
      <c r="N783">
        <v>72</v>
      </c>
      <c r="O783">
        <f>IF(Tickets[[#This Row],[Ticket Priority]]="Critical",24,
IF(Tickets[[#This Row],[Ticket Priority]]="High",48,
IF(Tickets[[#This Row],[Ticket Priority]]="Medium",120,168)))</f>
        <v>120</v>
      </c>
      <c r="P783" t="str">
        <f>IF(Tickets[[#This Row],[Resolution Duration Hours]] &lt;= Tickets[[#This Row],[SLA_Target_Hours]], "Yes", "No")</f>
        <v>Yes</v>
      </c>
    </row>
    <row r="784" spans="1:16">
      <c r="A784">
        <v>1362</v>
      </c>
      <c r="B784" t="s">
        <v>1363</v>
      </c>
      <c r="C784" t="s">
        <v>3342</v>
      </c>
      <c r="D784" t="s">
        <v>3996</v>
      </c>
      <c r="E784" s="1">
        <v>44301</v>
      </c>
      <c r="F784" t="s">
        <v>3999</v>
      </c>
      <c r="G784" t="s">
        <v>4010</v>
      </c>
      <c r="H784" t="s">
        <v>4020</v>
      </c>
      <c r="I784" t="s">
        <v>4024</v>
      </c>
      <c r="J784" t="s">
        <v>4026</v>
      </c>
      <c r="K784" s="2">
        <v>44515</v>
      </c>
      <c r="L784" s="2">
        <v>44524</v>
      </c>
      <c r="N784">
        <v>216</v>
      </c>
      <c r="O784">
        <f>IF(Tickets[[#This Row],[Ticket Priority]]="Critical",24,
IF(Tickets[[#This Row],[Ticket Priority]]="High",48,
IF(Tickets[[#This Row],[Ticket Priority]]="Medium",120,168)))</f>
        <v>168</v>
      </c>
      <c r="P784" t="str">
        <f>IF(Tickets[[#This Row],[Resolution Duration Hours]] &lt;= Tickets[[#This Row],[SLA_Target_Hours]], "Yes", "No")</f>
        <v>No</v>
      </c>
    </row>
    <row r="785" spans="1:16">
      <c r="A785">
        <v>1388</v>
      </c>
      <c r="B785" t="s">
        <v>1389</v>
      </c>
      <c r="C785" t="s">
        <v>3368</v>
      </c>
      <c r="D785" t="s">
        <v>3994</v>
      </c>
      <c r="E785" s="1">
        <v>44286</v>
      </c>
      <c r="F785" t="s">
        <v>4002</v>
      </c>
      <c r="G785" t="s">
        <v>4006</v>
      </c>
      <c r="H785" t="s">
        <v>4018</v>
      </c>
      <c r="I785" t="s">
        <v>4024</v>
      </c>
      <c r="J785" t="s">
        <v>4025</v>
      </c>
      <c r="K785" s="2">
        <v>44484</v>
      </c>
      <c r="L785" s="2">
        <v>44493</v>
      </c>
      <c r="M785">
        <v>4</v>
      </c>
      <c r="N785">
        <v>216</v>
      </c>
      <c r="O785">
        <f>IF(Tickets[[#This Row],[Ticket Priority]]="Critical",24,
IF(Tickets[[#This Row],[Ticket Priority]]="High",48,
IF(Tickets[[#This Row],[Ticket Priority]]="Medium",120,168)))</f>
        <v>168</v>
      </c>
      <c r="P785" t="str">
        <f>IF(Tickets[[#This Row],[Resolution Duration Hours]] &lt;= Tickets[[#This Row],[SLA_Target_Hours]], "Yes", "No")</f>
        <v>No</v>
      </c>
    </row>
    <row r="786" spans="1:16">
      <c r="A786">
        <v>1417</v>
      </c>
      <c r="B786" t="s">
        <v>1417</v>
      </c>
      <c r="C786" t="s">
        <v>3397</v>
      </c>
      <c r="D786" t="s">
        <v>3985</v>
      </c>
      <c r="E786" s="1">
        <v>44370</v>
      </c>
      <c r="F786" t="s">
        <v>3999</v>
      </c>
      <c r="G786" t="s">
        <v>4016</v>
      </c>
      <c r="H786" t="s">
        <v>4017</v>
      </c>
      <c r="I786" t="s">
        <v>4023</v>
      </c>
      <c r="J786" t="s">
        <v>4026</v>
      </c>
      <c r="K786" s="2">
        <v>44409</v>
      </c>
      <c r="L786" s="2">
        <v>44418</v>
      </c>
      <c r="N786">
        <v>216</v>
      </c>
      <c r="O786">
        <f>IF(Tickets[[#This Row],[Ticket Priority]]="Critical",24,
IF(Tickets[[#This Row],[Ticket Priority]]="High",48,
IF(Tickets[[#This Row],[Ticket Priority]]="Medium",120,168)))</f>
        <v>120</v>
      </c>
      <c r="P786" t="str">
        <f>IF(Tickets[[#This Row],[Resolution Duration Hours]] &lt;= Tickets[[#This Row],[SLA_Target_Hours]], "Yes", "No")</f>
        <v>No</v>
      </c>
    </row>
    <row r="787" spans="1:16">
      <c r="A787">
        <v>1427</v>
      </c>
      <c r="B787" t="s">
        <v>1427</v>
      </c>
      <c r="C787" t="s">
        <v>3407</v>
      </c>
      <c r="D787" t="s">
        <v>3996</v>
      </c>
      <c r="E787" s="1">
        <v>43883</v>
      </c>
      <c r="F787" t="s">
        <v>4002</v>
      </c>
      <c r="G787" t="s">
        <v>4011</v>
      </c>
      <c r="H787" t="s">
        <v>4020</v>
      </c>
      <c r="I787" t="s">
        <v>4024</v>
      </c>
      <c r="J787" t="s">
        <v>4026</v>
      </c>
      <c r="K787" s="2">
        <v>43897</v>
      </c>
      <c r="L787" s="2">
        <v>43906</v>
      </c>
      <c r="N787">
        <v>216</v>
      </c>
      <c r="O787">
        <f>IF(Tickets[[#This Row],[Ticket Priority]]="Critical",24,
IF(Tickets[[#This Row],[Ticket Priority]]="High",48,
IF(Tickets[[#This Row],[Ticket Priority]]="Medium",120,168)))</f>
        <v>168</v>
      </c>
      <c r="P787" t="str">
        <f>IF(Tickets[[#This Row],[Resolution Duration Hours]] &lt;= Tickets[[#This Row],[SLA_Target_Hours]], "Yes", "No")</f>
        <v>No</v>
      </c>
    </row>
    <row r="788" spans="1:16">
      <c r="A788">
        <v>1489</v>
      </c>
      <c r="B788" t="s">
        <v>1488</v>
      </c>
      <c r="C788" t="s">
        <v>3469</v>
      </c>
      <c r="D788" t="s">
        <v>3995</v>
      </c>
      <c r="E788" s="1">
        <v>44609</v>
      </c>
      <c r="F788" t="s">
        <v>3999</v>
      </c>
      <c r="G788" t="s">
        <v>4000</v>
      </c>
      <c r="H788" t="s">
        <v>4017</v>
      </c>
      <c r="I788" t="s">
        <v>4024</v>
      </c>
      <c r="J788" t="s">
        <v>4025</v>
      </c>
      <c r="K788" s="2">
        <v>44946</v>
      </c>
      <c r="L788" s="2">
        <v>44955</v>
      </c>
      <c r="N788">
        <v>216</v>
      </c>
      <c r="O788">
        <f>IF(Tickets[[#This Row],[Ticket Priority]]="Critical",24,
IF(Tickets[[#This Row],[Ticket Priority]]="High",48,
IF(Tickets[[#This Row],[Ticket Priority]]="Medium",120,168)))</f>
        <v>168</v>
      </c>
      <c r="P788" t="str">
        <f>IF(Tickets[[#This Row],[Resolution Duration Hours]] &lt;= Tickets[[#This Row],[SLA_Target_Hours]], "Yes", "No")</f>
        <v>No</v>
      </c>
    </row>
    <row r="789" spans="1:16" hidden="1">
      <c r="A789">
        <v>788</v>
      </c>
      <c r="B789" t="s">
        <v>797</v>
      </c>
      <c r="C789" t="s">
        <v>2770</v>
      </c>
      <c r="D789" t="s">
        <v>3986</v>
      </c>
      <c r="E789" s="1">
        <v>44542</v>
      </c>
      <c r="F789" t="s">
        <v>4002</v>
      </c>
      <c r="G789" t="s">
        <v>4015</v>
      </c>
      <c r="H789" t="s">
        <v>4018</v>
      </c>
      <c r="I789" t="s">
        <v>4021</v>
      </c>
      <c r="J789" t="s">
        <v>4027</v>
      </c>
      <c r="K789" s="2">
        <v>44756</v>
      </c>
      <c r="L789" s="2">
        <v>44757</v>
      </c>
      <c r="M789">
        <v>4</v>
      </c>
      <c r="N789">
        <v>24</v>
      </c>
      <c r="O789">
        <f>IF(Tickets[[#This Row],[Ticket Priority]]="Critical",24,
IF(Tickets[[#This Row],[Ticket Priority]]="High",48,
IF(Tickets[[#This Row],[Ticket Priority]]="Medium",120,168)))</f>
        <v>48</v>
      </c>
      <c r="P789" t="str">
        <f>IF(Tickets[[#This Row],[Resolution Duration Hours]] &lt;= Tickets[[#This Row],[SLA_Target_Hours]], "Yes", "No")</f>
        <v>Yes</v>
      </c>
    </row>
    <row r="790" spans="1:16" hidden="1">
      <c r="A790">
        <v>789</v>
      </c>
      <c r="B790" t="s">
        <v>798</v>
      </c>
      <c r="C790" t="s">
        <v>2771</v>
      </c>
      <c r="D790" t="s">
        <v>3989</v>
      </c>
      <c r="E790" s="1">
        <v>44278</v>
      </c>
      <c r="F790" t="s">
        <v>4001</v>
      </c>
      <c r="G790" t="s">
        <v>4007</v>
      </c>
      <c r="H790" t="s">
        <v>4018</v>
      </c>
      <c r="I790" t="s">
        <v>4024</v>
      </c>
      <c r="J790" t="s">
        <v>4026</v>
      </c>
      <c r="K790" s="2">
        <v>44400</v>
      </c>
      <c r="L790" s="2">
        <v>44405</v>
      </c>
      <c r="M790">
        <v>3</v>
      </c>
      <c r="N790">
        <v>120</v>
      </c>
      <c r="O790">
        <f>IF(Tickets[[#This Row],[Ticket Priority]]="Critical",24,
IF(Tickets[[#This Row],[Ticket Priority]]="High",48,
IF(Tickets[[#This Row],[Ticket Priority]]="Medium",120,168)))</f>
        <v>168</v>
      </c>
      <c r="P790" t="str">
        <f>IF(Tickets[[#This Row],[Resolution Duration Hours]] &lt;= Tickets[[#This Row],[SLA_Target_Hours]], "Yes", "No")</f>
        <v>Yes</v>
      </c>
    </row>
    <row r="791" spans="1:16" hidden="1">
      <c r="A791">
        <v>790</v>
      </c>
      <c r="B791" t="s">
        <v>799</v>
      </c>
      <c r="C791" t="s">
        <v>2772</v>
      </c>
      <c r="D791" t="s">
        <v>3981</v>
      </c>
      <c r="E791" s="1">
        <v>44936</v>
      </c>
      <c r="F791" t="s">
        <v>4001</v>
      </c>
      <c r="G791" t="s">
        <v>4005</v>
      </c>
      <c r="H791" t="s">
        <v>4020</v>
      </c>
      <c r="I791" t="s">
        <v>4021</v>
      </c>
      <c r="J791" t="s">
        <v>4026</v>
      </c>
      <c r="K791" s="2">
        <v>44951</v>
      </c>
      <c r="L791" s="2">
        <v>44952</v>
      </c>
      <c r="N791">
        <v>24</v>
      </c>
      <c r="O791">
        <f>IF(Tickets[[#This Row],[Ticket Priority]]="Critical",24,
IF(Tickets[[#This Row],[Ticket Priority]]="High",48,
IF(Tickets[[#This Row],[Ticket Priority]]="Medium",120,168)))</f>
        <v>48</v>
      </c>
      <c r="P791" t="str">
        <f>IF(Tickets[[#This Row],[Resolution Duration Hours]] &lt;= Tickets[[#This Row],[SLA_Target_Hours]], "Yes", "No")</f>
        <v>Yes</v>
      </c>
    </row>
    <row r="792" spans="1:16" hidden="1">
      <c r="A792">
        <v>791</v>
      </c>
      <c r="B792" t="s">
        <v>132</v>
      </c>
      <c r="C792" t="s">
        <v>2773</v>
      </c>
      <c r="D792" t="s">
        <v>3989</v>
      </c>
      <c r="E792" s="1">
        <v>44723</v>
      </c>
      <c r="F792" t="s">
        <v>4001</v>
      </c>
      <c r="G792" t="s">
        <v>4014</v>
      </c>
      <c r="H792" t="s">
        <v>4018</v>
      </c>
      <c r="I792" t="s">
        <v>4024</v>
      </c>
      <c r="J792" t="s">
        <v>4026</v>
      </c>
      <c r="K792" s="2">
        <v>44868</v>
      </c>
      <c r="L792" s="2">
        <v>44871</v>
      </c>
      <c r="M792">
        <v>4</v>
      </c>
      <c r="N792">
        <v>72</v>
      </c>
      <c r="O792">
        <f>IF(Tickets[[#This Row],[Ticket Priority]]="Critical",24,
IF(Tickets[[#This Row],[Ticket Priority]]="High",48,
IF(Tickets[[#This Row],[Ticket Priority]]="Medium",120,168)))</f>
        <v>168</v>
      </c>
      <c r="P792" t="str">
        <f>IF(Tickets[[#This Row],[Resolution Duration Hours]] &lt;= Tickets[[#This Row],[SLA_Target_Hours]], "Yes", "No")</f>
        <v>Yes</v>
      </c>
    </row>
    <row r="793" spans="1:16" hidden="1">
      <c r="A793">
        <v>792</v>
      </c>
      <c r="B793" t="s">
        <v>800</v>
      </c>
      <c r="C793" t="s">
        <v>2774</v>
      </c>
      <c r="D793" t="s">
        <v>3979</v>
      </c>
      <c r="E793" s="1">
        <v>44410</v>
      </c>
      <c r="F793" t="s">
        <v>4000</v>
      </c>
      <c r="G793" t="s">
        <v>4005</v>
      </c>
      <c r="H793" t="s">
        <v>4018</v>
      </c>
      <c r="I793" t="s">
        <v>4021</v>
      </c>
      <c r="J793" t="s">
        <v>4026</v>
      </c>
      <c r="K793" s="2">
        <v>44420</v>
      </c>
      <c r="L793" s="2">
        <v>44421</v>
      </c>
      <c r="M793">
        <v>4</v>
      </c>
      <c r="N793">
        <v>24</v>
      </c>
      <c r="O793">
        <f>IF(Tickets[[#This Row],[Ticket Priority]]="Critical",24,
IF(Tickets[[#This Row],[Ticket Priority]]="High",48,
IF(Tickets[[#This Row],[Ticket Priority]]="Medium",120,168)))</f>
        <v>48</v>
      </c>
      <c r="P793" t="str">
        <f>IF(Tickets[[#This Row],[Resolution Duration Hours]] &lt;= Tickets[[#This Row],[SLA_Target_Hours]], "Yes", "No")</f>
        <v>Yes</v>
      </c>
    </row>
    <row r="794" spans="1:16" hidden="1">
      <c r="A794">
        <v>793</v>
      </c>
      <c r="B794" t="s">
        <v>801</v>
      </c>
      <c r="C794" t="s">
        <v>2775</v>
      </c>
      <c r="D794" t="s">
        <v>3981</v>
      </c>
      <c r="E794" s="1">
        <v>45024</v>
      </c>
      <c r="F794" t="s">
        <v>4001</v>
      </c>
      <c r="G794" t="s">
        <v>4014</v>
      </c>
      <c r="H794" t="s">
        <v>4018</v>
      </c>
      <c r="I794" t="s">
        <v>4023</v>
      </c>
      <c r="J794" t="s">
        <v>4025</v>
      </c>
      <c r="K794" s="2">
        <v>45362</v>
      </c>
      <c r="L794" s="2">
        <v>45363</v>
      </c>
      <c r="N794">
        <v>24</v>
      </c>
      <c r="O794">
        <f>IF(Tickets[[#This Row],[Ticket Priority]]="Critical",24,
IF(Tickets[[#This Row],[Ticket Priority]]="High",48,
IF(Tickets[[#This Row],[Ticket Priority]]="Medium",120,168)))</f>
        <v>120</v>
      </c>
      <c r="P794" t="str">
        <f>IF(Tickets[[#This Row],[Resolution Duration Hours]] &lt;= Tickets[[#This Row],[SLA_Target_Hours]], "Yes", "No")</f>
        <v>Yes</v>
      </c>
    </row>
    <row r="795" spans="1:16" hidden="1">
      <c r="A795">
        <v>794</v>
      </c>
      <c r="B795" t="s">
        <v>802</v>
      </c>
      <c r="C795" t="s">
        <v>2776</v>
      </c>
      <c r="D795" t="s">
        <v>3985</v>
      </c>
      <c r="E795" s="1">
        <v>44345</v>
      </c>
      <c r="F795" t="s">
        <v>4001</v>
      </c>
      <c r="G795" t="s">
        <v>4008</v>
      </c>
      <c r="H795" t="s">
        <v>4019</v>
      </c>
      <c r="I795" t="s">
        <v>4023</v>
      </c>
      <c r="J795" t="s">
        <v>4026</v>
      </c>
      <c r="K795" s="2">
        <v>44442</v>
      </c>
      <c r="L795" s="2">
        <v>44446</v>
      </c>
      <c r="M795">
        <v>5</v>
      </c>
      <c r="N795">
        <v>96</v>
      </c>
      <c r="O795">
        <f>IF(Tickets[[#This Row],[Ticket Priority]]="Critical",24,
IF(Tickets[[#This Row],[Ticket Priority]]="High",48,
IF(Tickets[[#This Row],[Ticket Priority]]="Medium",120,168)))</f>
        <v>120</v>
      </c>
      <c r="P795" t="str">
        <f>IF(Tickets[[#This Row],[Resolution Duration Hours]] &lt;= Tickets[[#This Row],[SLA_Target_Hours]], "Yes", "No")</f>
        <v>Yes</v>
      </c>
    </row>
    <row r="796" spans="1:16" hidden="1">
      <c r="A796">
        <v>795</v>
      </c>
      <c r="B796" t="s">
        <v>803</v>
      </c>
      <c r="C796" t="s">
        <v>2777</v>
      </c>
      <c r="D796" t="s">
        <v>3989</v>
      </c>
      <c r="E796" s="1">
        <v>44357</v>
      </c>
      <c r="F796" t="s">
        <v>3998</v>
      </c>
      <c r="G796" t="s">
        <v>4009</v>
      </c>
      <c r="H796" t="s">
        <v>4018</v>
      </c>
      <c r="I796" t="s">
        <v>4021</v>
      </c>
      <c r="J796" t="s">
        <v>4026</v>
      </c>
      <c r="K796" s="2">
        <v>44631</v>
      </c>
      <c r="L796" s="2">
        <v>44631</v>
      </c>
      <c r="N796">
        <v>0</v>
      </c>
      <c r="O796">
        <f>IF(Tickets[[#This Row],[Ticket Priority]]="Critical",24,
IF(Tickets[[#This Row],[Ticket Priority]]="High",48,
IF(Tickets[[#This Row],[Ticket Priority]]="Medium",120,168)))</f>
        <v>48</v>
      </c>
      <c r="P796" t="str">
        <f>IF(Tickets[[#This Row],[Resolution Duration Hours]] &lt;= Tickets[[#This Row],[SLA_Target_Hours]], "Yes", "No")</f>
        <v>Yes</v>
      </c>
    </row>
    <row r="797" spans="1:16">
      <c r="A797">
        <v>1546</v>
      </c>
      <c r="B797" t="s">
        <v>1542</v>
      </c>
      <c r="C797" t="s">
        <v>3526</v>
      </c>
      <c r="D797" t="s">
        <v>3980</v>
      </c>
      <c r="E797" s="1">
        <v>44572</v>
      </c>
      <c r="F797" t="s">
        <v>4000</v>
      </c>
      <c r="G797" t="s">
        <v>4000</v>
      </c>
      <c r="H797" t="s">
        <v>4018</v>
      </c>
      <c r="I797" t="s">
        <v>4024</v>
      </c>
      <c r="J797" t="s">
        <v>4028</v>
      </c>
      <c r="K797" s="2">
        <v>44872</v>
      </c>
      <c r="L797" s="2">
        <v>44881</v>
      </c>
      <c r="M797">
        <v>5</v>
      </c>
      <c r="N797">
        <v>216</v>
      </c>
      <c r="O797">
        <f>IF(Tickets[[#This Row],[Ticket Priority]]="Critical",24,
IF(Tickets[[#This Row],[Ticket Priority]]="High",48,
IF(Tickets[[#This Row],[Ticket Priority]]="Medium",120,168)))</f>
        <v>168</v>
      </c>
      <c r="P797" t="str">
        <f>IF(Tickets[[#This Row],[Resolution Duration Hours]] &lt;= Tickets[[#This Row],[SLA_Target_Hours]], "Yes", "No")</f>
        <v>No</v>
      </c>
    </row>
    <row r="798" spans="1:16" hidden="1">
      <c r="A798">
        <v>797</v>
      </c>
      <c r="B798" t="s">
        <v>805</v>
      </c>
      <c r="C798" t="s">
        <v>2779</v>
      </c>
      <c r="D798" t="s">
        <v>3984</v>
      </c>
      <c r="E798" s="1">
        <v>44176</v>
      </c>
      <c r="F798" t="s">
        <v>4000</v>
      </c>
      <c r="G798" t="s">
        <v>4013</v>
      </c>
      <c r="H798" t="s">
        <v>4018</v>
      </c>
      <c r="I798" t="s">
        <v>4023</v>
      </c>
      <c r="J798" t="s">
        <v>4026</v>
      </c>
      <c r="K798" s="2">
        <v>44267</v>
      </c>
      <c r="L798" s="2">
        <v>44269</v>
      </c>
      <c r="N798">
        <v>48</v>
      </c>
      <c r="O798">
        <f>IF(Tickets[[#This Row],[Ticket Priority]]="Critical",24,
IF(Tickets[[#This Row],[Ticket Priority]]="High",48,
IF(Tickets[[#This Row],[Ticket Priority]]="Medium",120,168)))</f>
        <v>120</v>
      </c>
      <c r="P798" t="str">
        <f>IF(Tickets[[#This Row],[Resolution Duration Hours]] &lt;= Tickets[[#This Row],[SLA_Target_Hours]], "Yes", "No")</f>
        <v>Yes</v>
      </c>
    </row>
    <row r="799" spans="1:16">
      <c r="A799">
        <v>1557</v>
      </c>
      <c r="B799" t="s">
        <v>1553</v>
      </c>
      <c r="C799" t="s">
        <v>3537</v>
      </c>
      <c r="D799" t="s">
        <v>3997</v>
      </c>
      <c r="E799" s="1">
        <v>44239</v>
      </c>
      <c r="F799" t="s">
        <v>4001</v>
      </c>
      <c r="G799" t="s">
        <v>4004</v>
      </c>
      <c r="H799" t="s">
        <v>4017</v>
      </c>
      <c r="I799" t="s">
        <v>4024</v>
      </c>
      <c r="J799" t="s">
        <v>4026</v>
      </c>
      <c r="K799" s="2">
        <v>44278</v>
      </c>
      <c r="L799" s="2">
        <v>44287</v>
      </c>
      <c r="N799">
        <v>216</v>
      </c>
      <c r="O799">
        <f>IF(Tickets[[#This Row],[Ticket Priority]]="Critical",24,
IF(Tickets[[#This Row],[Ticket Priority]]="High",48,
IF(Tickets[[#This Row],[Ticket Priority]]="Medium",120,168)))</f>
        <v>168</v>
      </c>
      <c r="P799" t="str">
        <f>IF(Tickets[[#This Row],[Resolution Duration Hours]] &lt;= Tickets[[#This Row],[SLA_Target_Hours]], "Yes", "No")</f>
        <v>No</v>
      </c>
    </row>
    <row r="800" spans="1:16" hidden="1">
      <c r="A800">
        <v>799</v>
      </c>
      <c r="B800" t="s">
        <v>807</v>
      </c>
      <c r="C800" t="s">
        <v>2781</v>
      </c>
      <c r="D800" t="s">
        <v>3981</v>
      </c>
      <c r="E800" s="1">
        <v>44943</v>
      </c>
      <c r="F800" t="s">
        <v>4000</v>
      </c>
      <c r="G800" t="s">
        <v>4004</v>
      </c>
      <c r="H800" t="s">
        <v>4018</v>
      </c>
      <c r="I800" t="s">
        <v>4021</v>
      </c>
      <c r="J800" t="s">
        <v>4028</v>
      </c>
      <c r="K800" s="2">
        <v>45073</v>
      </c>
      <c r="L800" s="2">
        <v>45074</v>
      </c>
      <c r="M800">
        <v>4</v>
      </c>
      <c r="N800">
        <v>24</v>
      </c>
      <c r="O800">
        <f>IF(Tickets[[#This Row],[Ticket Priority]]="Critical",24,
IF(Tickets[[#This Row],[Ticket Priority]]="High",48,
IF(Tickets[[#This Row],[Ticket Priority]]="Medium",120,168)))</f>
        <v>48</v>
      </c>
      <c r="P800" t="str">
        <f>IF(Tickets[[#This Row],[Resolution Duration Hours]] &lt;= Tickets[[#This Row],[SLA_Target_Hours]], "Yes", "No")</f>
        <v>Yes</v>
      </c>
    </row>
    <row r="801" spans="1:16" hidden="1">
      <c r="A801">
        <v>800</v>
      </c>
      <c r="B801" t="s">
        <v>808</v>
      </c>
      <c r="C801" t="s">
        <v>2782</v>
      </c>
      <c r="D801" t="s">
        <v>3995</v>
      </c>
      <c r="E801" s="1">
        <v>43967</v>
      </c>
      <c r="F801" t="s">
        <v>4002</v>
      </c>
      <c r="G801" t="s">
        <v>4012</v>
      </c>
      <c r="H801" t="s">
        <v>4018</v>
      </c>
      <c r="I801" t="s">
        <v>4023</v>
      </c>
      <c r="J801" t="s">
        <v>4026</v>
      </c>
      <c r="K801" s="2">
        <v>44197</v>
      </c>
      <c r="L801" s="2">
        <v>44201</v>
      </c>
      <c r="M801">
        <v>4</v>
      </c>
      <c r="N801">
        <v>96</v>
      </c>
      <c r="O801">
        <f>IF(Tickets[[#This Row],[Ticket Priority]]="Critical",24,
IF(Tickets[[#This Row],[Ticket Priority]]="High",48,
IF(Tickets[[#This Row],[Ticket Priority]]="Medium",120,168)))</f>
        <v>120</v>
      </c>
      <c r="P801" t="str">
        <f>IF(Tickets[[#This Row],[Resolution Duration Hours]] &lt;= Tickets[[#This Row],[SLA_Target_Hours]], "Yes", "No")</f>
        <v>Yes</v>
      </c>
    </row>
    <row r="802" spans="1:16" hidden="1">
      <c r="A802">
        <v>801</v>
      </c>
      <c r="B802" t="s">
        <v>809</v>
      </c>
      <c r="C802" t="s">
        <v>2783</v>
      </c>
      <c r="D802" t="s">
        <v>3981</v>
      </c>
      <c r="E802" s="1">
        <v>44961</v>
      </c>
      <c r="F802" t="s">
        <v>4002</v>
      </c>
      <c r="G802" t="s">
        <v>4003</v>
      </c>
      <c r="H802" t="s">
        <v>4017</v>
      </c>
      <c r="I802" t="s">
        <v>4023</v>
      </c>
      <c r="J802" t="s">
        <v>4026</v>
      </c>
      <c r="K802" s="2">
        <v>45003</v>
      </c>
      <c r="L802" s="2">
        <v>45007</v>
      </c>
      <c r="N802">
        <v>96</v>
      </c>
      <c r="O802">
        <f>IF(Tickets[[#This Row],[Ticket Priority]]="Critical",24,
IF(Tickets[[#This Row],[Ticket Priority]]="High",48,
IF(Tickets[[#This Row],[Ticket Priority]]="Medium",120,168)))</f>
        <v>120</v>
      </c>
      <c r="P802" t="str">
        <f>IF(Tickets[[#This Row],[Resolution Duration Hours]] &lt;= Tickets[[#This Row],[SLA_Target_Hours]], "Yes", "No")</f>
        <v>Yes</v>
      </c>
    </row>
    <row r="803" spans="1:16" hidden="1">
      <c r="A803">
        <v>802</v>
      </c>
      <c r="B803" t="s">
        <v>810</v>
      </c>
      <c r="C803" t="s">
        <v>2784</v>
      </c>
      <c r="D803" t="s">
        <v>3979</v>
      </c>
      <c r="E803" s="1">
        <v>44153</v>
      </c>
      <c r="F803" t="s">
        <v>3999</v>
      </c>
      <c r="G803" t="s">
        <v>4005</v>
      </c>
      <c r="H803" t="s">
        <v>4018</v>
      </c>
      <c r="I803" t="s">
        <v>4023</v>
      </c>
      <c r="J803" t="s">
        <v>4025</v>
      </c>
      <c r="K803" s="2">
        <v>44189</v>
      </c>
      <c r="L803" s="2">
        <v>44191</v>
      </c>
      <c r="M803">
        <v>4</v>
      </c>
      <c r="N803">
        <v>48</v>
      </c>
      <c r="O803">
        <f>IF(Tickets[[#This Row],[Ticket Priority]]="Critical",24,
IF(Tickets[[#This Row],[Ticket Priority]]="High",48,
IF(Tickets[[#This Row],[Ticket Priority]]="Medium",120,168)))</f>
        <v>120</v>
      </c>
      <c r="P803" t="str">
        <f>IF(Tickets[[#This Row],[Resolution Duration Hours]] &lt;= Tickets[[#This Row],[SLA_Target_Hours]], "Yes", "No")</f>
        <v>Yes</v>
      </c>
    </row>
    <row r="804" spans="1:16" hidden="1">
      <c r="A804">
        <v>803</v>
      </c>
      <c r="B804" t="s">
        <v>811</v>
      </c>
      <c r="C804" t="s">
        <v>2785</v>
      </c>
      <c r="D804" t="s">
        <v>3985</v>
      </c>
      <c r="E804" s="1">
        <v>43841</v>
      </c>
      <c r="F804" t="s">
        <v>4000</v>
      </c>
      <c r="G804" t="s">
        <v>4016</v>
      </c>
      <c r="H804" t="s">
        <v>4020</v>
      </c>
      <c r="I804" t="s">
        <v>4022</v>
      </c>
      <c r="J804" t="s">
        <v>4026</v>
      </c>
      <c r="K804" s="2">
        <v>44119</v>
      </c>
      <c r="L804" s="2">
        <v>44119</v>
      </c>
      <c r="N804">
        <v>0</v>
      </c>
      <c r="O804">
        <f>IF(Tickets[[#This Row],[Ticket Priority]]="Critical",24,
IF(Tickets[[#This Row],[Ticket Priority]]="High",48,
IF(Tickets[[#This Row],[Ticket Priority]]="Medium",120,168)))</f>
        <v>24</v>
      </c>
      <c r="P804" t="str">
        <f>IF(Tickets[[#This Row],[Resolution Duration Hours]] &lt;= Tickets[[#This Row],[SLA_Target_Hours]], "Yes", "No")</f>
        <v>Yes</v>
      </c>
    </row>
    <row r="805" spans="1:16" hidden="1">
      <c r="A805">
        <v>804</v>
      </c>
      <c r="B805" t="s">
        <v>812</v>
      </c>
      <c r="C805" t="s">
        <v>2786</v>
      </c>
      <c r="D805" t="s">
        <v>3980</v>
      </c>
      <c r="E805" s="1">
        <v>44140</v>
      </c>
      <c r="F805" t="s">
        <v>4002</v>
      </c>
      <c r="G805" t="s">
        <v>4011</v>
      </c>
      <c r="H805" t="s">
        <v>4020</v>
      </c>
      <c r="I805" t="s">
        <v>4024</v>
      </c>
      <c r="J805" t="s">
        <v>4026</v>
      </c>
      <c r="K805" s="2">
        <v>44475</v>
      </c>
      <c r="L805" s="2">
        <v>44481</v>
      </c>
      <c r="N805">
        <v>144</v>
      </c>
      <c r="O805">
        <f>IF(Tickets[[#This Row],[Ticket Priority]]="Critical",24,
IF(Tickets[[#This Row],[Ticket Priority]]="High",48,
IF(Tickets[[#This Row],[Ticket Priority]]="Medium",120,168)))</f>
        <v>168</v>
      </c>
      <c r="P805" t="str">
        <f>IF(Tickets[[#This Row],[Resolution Duration Hours]] &lt;= Tickets[[#This Row],[SLA_Target_Hours]], "Yes", "No")</f>
        <v>Yes</v>
      </c>
    </row>
    <row r="806" spans="1:16" hidden="1">
      <c r="A806">
        <v>805</v>
      </c>
      <c r="B806" t="s">
        <v>813</v>
      </c>
      <c r="C806" t="s">
        <v>2787</v>
      </c>
      <c r="D806" t="s">
        <v>3993</v>
      </c>
      <c r="E806" s="1">
        <v>44303</v>
      </c>
      <c r="F806" t="s">
        <v>4002</v>
      </c>
      <c r="G806" t="s">
        <v>4000</v>
      </c>
      <c r="H806" t="s">
        <v>4018</v>
      </c>
      <c r="I806" t="s">
        <v>4023</v>
      </c>
      <c r="J806" t="s">
        <v>4026</v>
      </c>
      <c r="K806" s="2">
        <v>44567</v>
      </c>
      <c r="L806" s="2">
        <v>44569</v>
      </c>
      <c r="M806">
        <v>3</v>
      </c>
      <c r="N806">
        <v>48</v>
      </c>
      <c r="O806">
        <f>IF(Tickets[[#This Row],[Ticket Priority]]="Critical",24,
IF(Tickets[[#This Row],[Ticket Priority]]="High",48,
IF(Tickets[[#This Row],[Ticket Priority]]="Medium",120,168)))</f>
        <v>120</v>
      </c>
      <c r="P806" t="str">
        <f>IF(Tickets[[#This Row],[Resolution Duration Hours]] &lt;= Tickets[[#This Row],[SLA_Target_Hours]], "Yes", "No")</f>
        <v>Yes</v>
      </c>
    </row>
    <row r="807" spans="1:16">
      <c r="A807">
        <v>1582</v>
      </c>
      <c r="B807" t="s">
        <v>1578</v>
      </c>
      <c r="C807" t="s">
        <v>3561</v>
      </c>
      <c r="D807" t="s">
        <v>3994</v>
      </c>
      <c r="E807" s="1">
        <v>43975</v>
      </c>
      <c r="F807" t="s">
        <v>4001</v>
      </c>
      <c r="G807" t="s">
        <v>4004</v>
      </c>
      <c r="H807" t="s">
        <v>4018</v>
      </c>
      <c r="I807" t="s">
        <v>4024</v>
      </c>
      <c r="J807" t="s">
        <v>4026</v>
      </c>
      <c r="K807" s="2">
        <v>44162</v>
      </c>
      <c r="L807" s="2">
        <v>44171</v>
      </c>
      <c r="M807">
        <v>4</v>
      </c>
      <c r="N807">
        <v>216</v>
      </c>
      <c r="O807">
        <f>IF(Tickets[[#This Row],[Ticket Priority]]="Critical",24,
IF(Tickets[[#This Row],[Ticket Priority]]="High",48,
IF(Tickets[[#This Row],[Ticket Priority]]="Medium",120,168)))</f>
        <v>168</v>
      </c>
      <c r="P807" t="str">
        <f>IF(Tickets[[#This Row],[Resolution Duration Hours]] &lt;= Tickets[[#This Row],[SLA_Target_Hours]], "Yes", "No")</f>
        <v>No</v>
      </c>
    </row>
    <row r="808" spans="1:16">
      <c r="A808">
        <v>1596</v>
      </c>
      <c r="B808" t="s">
        <v>1592</v>
      </c>
      <c r="C808" t="s">
        <v>3575</v>
      </c>
      <c r="D808" t="s">
        <v>3979</v>
      </c>
      <c r="E808" s="1">
        <v>44181</v>
      </c>
      <c r="F808" t="s">
        <v>4002</v>
      </c>
      <c r="G808" t="s">
        <v>4004</v>
      </c>
      <c r="H808" t="s">
        <v>4018</v>
      </c>
      <c r="I808" t="s">
        <v>4024</v>
      </c>
      <c r="J808" t="s">
        <v>4026</v>
      </c>
      <c r="K808" s="2">
        <v>44415</v>
      </c>
      <c r="L808" s="2">
        <v>44424</v>
      </c>
      <c r="M808">
        <v>4</v>
      </c>
      <c r="N808">
        <v>216</v>
      </c>
      <c r="O808">
        <f>IF(Tickets[[#This Row],[Ticket Priority]]="Critical",24,
IF(Tickets[[#This Row],[Ticket Priority]]="High",48,
IF(Tickets[[#This Row],[Ticket Priority]]="Medium",120,168)))</f>
        <v>168</v>
      </c>
      <c r="P808" t="str">
        <f>IF(Tickets[[#This Row],[Resolution Duration Hours]] &lt;= Tickets[[#This Row],[SLA_Target_Hours]], "Yes", "No")</f>
        <v>No</v>
      </c>
    </row>
    <row r="809" spans="1:16" hidden="1">
      <c r="A809">
        <v>808</v>
      </c>
      <c r="B809" t="s">
        <v>816</v>
      </c>
      <c r="C809" t="s">
        <v>2790</v>
      </c>
      <c r="D809" t="s">
        <v>3987</v>
      </c>
      <c r="E809" s="1">
        <v>44709</v>
      </c>
      <c r="F809" t="s">
        <v>3998</v>
      </c>
      <c r="G809" t="s">
        <v>4006</v>
      </c>
      <c r="H809" t="s">
        <v>4018</v>
      </c>
      <c r="I809" t="s">
        <v>4024</v>
      </c>
      <c r="J809" t="s">
        <v>4028</v>
      </c>
      <c r="K809" s="2">
        <v>44999</v>
      </c>
      <c r="L809" s="2">
        <v>45002</v>
      </c>
      <c r="M809">
        <v>4</v>
      </c>
      <c r="N809">
        <v>72</v>
      </c>
      <c r="O809">
        <f>IF(Tickets[[#This Row],[Ticket Priority]]="Critical",24,
IF(Tickets[[#This Row],[Ticket Priority]]="High",48,
IF(Tickets[[#This Row],[Ticket Priority]]="Medium",120,168)))</f>
        <v>168</v>
      </c>
      <c r="P809" t="str">
        <f>IF(Tickets[[#This Row],[Resolution Duration Hours]] &lt;= Tickets[[#This Row],[SLA_Target_Hours]], "Yes", "No")</f>
        <v>Yes</v>
      </c>
    </row>
    <row r="810" spans="1:16" hidden="1">
      <c r="A810">
        <v>809</v>
      </c>
      <c r="B810" t="s">
        <v>817</v>
      </c>
      <c r="C810" t="s">
        <v>2791</v>
      </c>
      <c r="D810" t="s">
        <v>3996</v>
      </c>
      <c r="E810" s="1">
        <v>44234</v>
      </c>
      <c r="F810" t="s">
        <v>4000</v>
      </c>
      <c r="G810" t="s">
        <v>4013</v>
      </c>
      <c r="H810" t="s">
        <v>4018</v>
      </c>
      <c r="I810" t="s">
        <v>4023</v>
      </c>
      <c r="J810" t="s">
        <v>4028</v>
      </c>
      <c r="K810" s="2">
        <v>44429</v>
      </c>
      <c r="L810" s="2">
        <v>44434</v>
      </c>
      <c r="N810">
        <v>120</v>
      </c>
      <c r="O810">
        <f>IF(Tickets[[#This Row],[Ticket Priority]]="Critical",24,
IF(Tickets[[#This Row],[Ticket Priority]]="High",48,
IF(Tickets[[#This Row],[Ticket Priority]]="Medium",120,168)))</f>
        <v>120</v>
      </c>
      <c r="P810" t="str">
        <f>IF(Tickets[[#This Row],[Resolution Duration Hours]] &lt;= Tickets[[#This Row],[SLA_Target_Hours]], "Yes", "No")</f>
        <v>Yes</v>
      </c>
    </row>
    <row r="811" spans="1:16" hidden="1">
      <c r="A811">
        <v>810</v>
      </c>
      <c r="B811" t="s">
        <v>818</v>
      </c>
      <c r="C811" t="s">
        <v>2792</v>
      </c>
      <c r="D811" t="s">
        <v>3988</v>
      </c>
      <c r="E811" s="1">
        <v>44482</v>
      </c>
      <c r="F811" t="s">
        <v>4001</v>
      </c>
      <c r="G811" t="s">
        <v>4006</v>
      </c>
      <c r="H811" t="s">
        <v>4018</v>
      </c>
      <c r="I811" t="s">
        <v>4023</v>
      </c>
      <c r="J811" t="s">
        <v>4026</v>
      </c>
      <c r="K811" s="2">
        <v>44569</v>
      </c>
      <c r="L811" s="2">
        <v>44573</v>
      </c>
      <c r="N811">
        <v>96</v>
      </c>
      <c r="O811">
        <f>IF(Tickets[[#This Row],[Ticket Priority]]="Critical",24,
IF(Tickets[[#This Row],[Ticket Priority]]="High",48,
IF(Tickets[[#This Row],[Ticket Priority]]="Medium",120,168)))</f>
        <v>120</v>
      </c>
      <c r="P811" t="str">
        <f>IF(Tickets[[#This Row],[Resolution Duration Hours]] &lt;= Tickets[[#This Row],[SLA_Target_Hours]], "Yes", "No")</f>
        <v>Yes</v>
      </c>
    </row>
    <row r="812" spans="1:16">
      <c r="A812">
        <v>1614</v>
      </c>
      <c r="B812" t="s">
        <v>1610</v>
      </c>
      <c r="C812" t="s">
        <v>3593</v>
      </c>
      <c r="D812" t="s">
        <v>3980</v>
      </c>
      <c r="E812" s="1">
        <v>44022</v>
      </c>
      <c r="F812" t="s">
        <v>4000</v>
      </c>
      <c r="G812" t="s">
        <v>4012</v>
      </c>
      <c r="H812" t="s">
        <v>4017</v>
      </c>
      <c r="I812" t="s">
        <v>4024</v>
      </c>
      <c r="J812" t="s">
        <v>4025</v>
      </c>
      <c r="K812" s="2">
        <v>44187</v>
      </c>
      <c r="L812" s="2">
        <v>44196</v>
      </c>
      <c r="N812">
        <v>216</v>
      </c>
      <c r="O812">
        <f>IF(Tickets[[#This Row],[Ticket Priority]]="Critical",24,
IF(Tickets[[#This Row],[Ticket Priority]]="High",48,
IF(Tickets[[#This Row],[Ticket Priority]]="Medium",120,168)))</f>
        <v>168</v>
      </c>
      <c r="P812" t="str">
        <f>IF(Tickets[[#This Row],[Resolution Duration Hours]] &lt;= Tickets[[#This Row],[SLA_Target_Hours]], "Yes", "No")</f>
        <v>No</v>
      </c>
    </row>
    <row r="813" spans="1:16" hidden="1">
      <c r="A813">
        <v>812</v>
      </c>
      <c r="B813" t="s">
        <v>820</v>
      </c>
      <c r="C813" t="s">
        <v>2794</v>
      </c>
      <c r="D813" t="s">
        <v>3995</v>
      </c>
      <c r="E813" s="1">
        <v>45073</v>
      </c>
      <c r="F813" t="s">
        <v>4002</v>
      </c>
      <c r="G813" t="s">
        <v>4014</v>
      </c>
      <c r="H813" t="s">
        <v>4018</v>
      </c>
      <c r="I813" t="s">
        <v>4021</v>
      </c>
      <c r="J813" t="s">
        <v>4027</v>
      </c>
      <c r="K813" s="2">
        <v>45273</v>
      </c>
      <c r="L813" s="2">
        <v>45275</v>
      </c>
      <c r="N813">
        <v>48</v>
      </c>
      <c r="O813">
        <f>IF(Tickets[[#This Row],[Ticket Priority]]="Critical",24,
IF(Tickets[[#This Row],[Ticket Priority]]="High",48,
IF(Tickets[[#This Row],[Ticket Priority]]="Medium",120,168)))</f>
        <v>48</v>
      </c>
      <c r="P813" t="str">
        <f>IF(Tickets[[#This Row],[Resolution Duration Hours]] &lt;= Tickets[[#This Row],[SLA_Target_Hours]], "Yes", "No")</f>
        <v>Yes</v>
      </c>
    </row>
    <row r="814" spans="1:16" hidden="1">
      <c r="A814">
        <v>813</v>
      </c>
      <c r="B814" t="s">
        <v>821</v>
      </c>
      <c r="C814" t="s">
        <v>2795</v>
      </c>
      <c r="D814" t="s">
        <v>3986</v>
      </c>
      <c r="E814" s="1">
        <v>43851</v>
      </c>
      <c r="F814" t="s">
        <v>4000</v>
      </c>
      <c r="G814" t="s">
        <v>4012</v>
      </c>
      <c r="H814" t="s">
        <v>4018</v>
      </c>
      <c r="I814" t="s">
        <v>4024</v>
      </c>
      <c r="J814" t="s">
        <v>4026</v>
      </c>
      <c r="K814" s="2">
        <v>44072</v>
      </c>
      <c r="L814" s="2">
        <v>44079</v>
      </c>
      <c r="M814">
        <v>4</v>
      </c>
      <c r="N814">
        <v>168</v>
      </c>
      <c r="O814">
        <f>IF(Tickets[[#This Row],[Ticket Priority]]="Critical",24,
IF(Tickets[[#This Row],[Ticket Priority]]="High",48,
IF(Tickets[[#This Row],[Ticket Priority]]="Medium",120,168)))</f>
        <v>168</v>
      </c>
      <c r="P814" t="str">
        <f>IF(Tickets[[#This Row],[Resolution Duration Hours]] &lt;= Tickets[[#This Row],[SLA_Target_Hours]], "Yes", "No")</f>
        <v>Yes</v>
      </c>
    </row>
    <row r="815" spans="1:16" hidden="1">
      <c r="A815">
        <v>814</v>
      </c>
      <c r="B815" t="s">
        <v>822</v>
      </c>
      <c r="C815" t="s">
        <v>2796</v>
      </c>
      <c r="D815" t="s">
        <v>3985</v>
      </c>
      <c r="E815" s="1">
        <v>44169</v>
      </c>
      <c r="F815" t="s">
        <v>4000</v>
      </c>
      <c r="G815" t="s">
        <v>4011</v>
      </c>
      <c r="H815" t="s">
        <v>4020</v>
      </c>
      <c r="I815" t="s">
        <v>4023</v>
      </c>
      <c r="J815" t="s">
        <v>4027</v>
      </c>
      <c r="K815" s="2">
        <v>44397</v>
      </c>
      <c r="L815" s="2">
        <v>44401</v>
      </c>
      <c r="N815">
        <v>96</v>
      </c>
      <c r="O815">
        <f>IF(Tickets[[#This Row],[Ticket Priority]]="Critical",24,
IF(Tickets[[#This Row],[Ticket Priority]]="High",48,
IF(Tickets[[#This Row],[Ticket Priority]]="Medium",120,168)))</f>
        <v>120</v>
      </c>
      <c r="P815" t="str">
        <f>IF(Tickets[[#This Row],[Resolution Duration Hours]] &lt;= Tickets[[#This Row],[SLA_Target_Hours]], "Yes", "No")</f>
        <v>Yes</v>
      </c>
    </row>
    <row r="816" spans="1:16" hidden="1">
      <c r="A816">
        <v>815</v>
      </c>
      <c r="B816" t="s">
        <v>823</v>
      </c>
      <c r="C816" t="s">
        <v>2797</v>
      </c>
      <c r="D816" t="s">
        <v>3980</v>
      </c>
      <c r="E816" s="1">
        <v>44034</v>
      </c>
      <c r="F816" t="s">
        <v>3999</v>
      </c>
      <c r="G816" t="s">
        <v>4000</v>
      </c>
      <c r="H816" t="s">
        <v>4018</v>
      </c>
      <c r="I816" t="s">
        <v>4023</v>
      </c>
      <c r="J816" t="s">
        <v>4025</v>
      </c>
      <c r="K816" s="2">
        <v>44054</v>
      </c>
      <c r="L816" s="2">
        <v>44057</v>
      </c>
      <c r="M816">
        <v>5</v>
      </c>
      <c r="N816">
        <v>72</v>
      </c>
      <c r="O816">
        <f>IF(Tickets[[#This Row],[Ticket Priority]]="Critical",24,
IF(Tickets[[#This Row],[Ticket Priority]]="High",48,
IF(Tickets[[#This Row],[Ticket Priority]]="Medium",120,168)))</f>
        <v>120</v>
      </c>
      <c r="P816" t="str">
        <f>IF(Tickets[[#This Row],[Resolution Duration Hours]] &lt;= Tickets[[#This Row],[SLA_Target_Hours]], "Yes", "No")</f>
        <v>Yes</v>
      </c>
    </row>
    <row r="817" spans="1:16">
      <c r="A817">
        <v>1624</v>
      </c>
      <c r="B817" t="s">
        <v>1620</v>
      </c>
      <c r="C817" t="s">
        <v>3603</v>
      </c>
      <c r="D817" t="s">
        <v>3988</v>
      </c>
      <c r="E817" s="1">
        <v>43892</v>
      </c>
      <c r="F817" t="s">
        <v>4000</v>
      </c>
      <c r="G817" t="s">
        <v>4008</v>
      </c>
      <c r="H817" t="s">
        <v>4018</v>
      </c>
      <c r="I817" t="s">
        <v>4024</v>
      </c>
      <c r="J817" t="s">
        <v>4026</v>
      </c>
      <c r="K817" s="2">
        <v>44159</v>
      </c>
      <c r="L817" s="2">
        <v>44168</v>
      </c>
      <c r="M817">
        <v>3</v>
      </c>
      <c r="N817">
        <v>216</v>
      </c>
      <c r="O817">
        <f>IF(Tickets[[#This Row],[Ticket Priority]]="Critical",24,
IF(Tickets[[#This Row],[Ticket Priority]]="High",48,
IF(Tickets[[#This Row],[Ticket Priority]]="Medium",120,168)))</f>
        <v>168</v>
      </c>
      <c r="P817" t="str">
        <f>IF(Tickets[[#This Row],[Resolution Duration Hours]] &lt;= Tickets[[#This Row],[SLA_Target_Hours]], "Yes", "No")</f>
        <v>No</v>
      </c>
    </row>
    <row r="818" spans="1:16" hidden="1">
      <c r="A818">
        <v>817</v>
      </c>
      <c r="B818" t="s">
        <v>825</v>
      </c>
      <c r="C818" t="s">
        <v>2799</v>
      </c>
      <c r="D818" t="s">
        <v>3996</v>
      </c>
      <c r="E818" s="1">
        <v>44899</v>
      </c>
      <c r="F818" t="s">
        <v>4001</v>
      </c>
      <c r="G818" t="s">
        <v>4015</v>
      </c>
      <c r="H818" t="s">
        <v>4018</v>
      </c>
      <c r="I818" t="s">
        <v>4021</v>
      </c>
      <c r="J818" t="s">
        <v>4026</v>
      </c>
      <c r="K818" s="2">
        <v>45256</v>
      </c>
      <c r="L818" s="2">
        <v>45257</v>
      </c>
      <c r="M818">
        <v>3</v>
      </c>
      <c r="N818">
        <v>24</v>
      </c>
      <c r="O818">
        <f>IF(Tickets[[#This Row],[Ticket Priority]]="Critical",24,
IF(Tickets[[#This Row],[Ticket Priority]]="High",48,
IF(Tickets[[#This Row],[Ticket Priority]]="Medium",120,168)))</f>
        <v>48</v>
      </c>
      <c r="P818" t="str">
        <f>IF(Tickets[[#This Row],[Resolution Duration Hours]] &lt;= Tickets[[#This Row],[SLA_Target_Hours]], "Yes", "No")</f>
        <v>Yes</v>
      </c>
    </row>
    <row r="819" spans="1:16" hidden="1">
      <c r="A819">
        <v>818</v>
      </c>
      <c r="B819" t="s">
        <v>826</v>
      </c>
      <c r="C819" t="s">
        <v>2800</v>
      </c>
      <c r="D819" t="s">
        <v>3989</v>
      </c>
      <c r="E819" s="1">
        <v>43951</v>
      </c>
      <c r="F819" t="s">
        <v>3999</v>
      </c>
      <c r="G819" t="s">
        <v>4000</v>
      </c>
      <c r="H819" t="s">
        <v>4020</v>
      </c>
      <c r="I819" t="s">
        <v>4024</v>
      </c>
      <c r="J819" t="s">
        <v>4028</v>
      </c>
      <c r="K819" s="2">
        <v>44203</v>
      </c>
      <c r="L819" s="2">
        <v>44204</v>
      </c>
      <c r="N819">
        <v>24</v>
      </c>
      <c r="O819">
        <f>IF(Tickets[[#This Row],[Ticket Priority]]="Critical",24,
IF(Tickets[[#This Row],[Ticket Priority]]="High",48,
IF(Tickets[[#This Row],[Ticket Priority]]="Medium",120,168)))</f>
        <v>168</v>
      </c>
      <c r="P819" t="str">
        <f>IF(Tickets[[#This Row],[Resolution Duration Hours]] &lt;= Tickets[[#This Row],[SLA_Target_Hours]], "Yes", "No")</f>
        <v>Yes</v>
      </c>
    </row>
    <row r="820" spans="1:16" hidden="1">
      <c r="A820">
        <v>819</v>
      </c>
      <c r="B820" t="s">
        <v>827</v>
      </c>
      <c r="C820" t="s">
        <v>2801</v>
      </c>
      <c r="D820" t="s">
        <v>3984</v>
      </c>
      <c r="E820" s="1">
        <v>44752</v>
      </c>
      <c r="F820" t="s">
        <v>4000</v>
      </c>
      <c r="G820" t="s">
        <v>4000</v>
      </c>
      <c r="H820" t="s">
        <v>4017</v>
      </c>
      <c r="I820" t="s">
        <v>4023</v>
      </c>
      <c r="J820" t="s">
        <v>4028</v>
      </c>
      <c r="K820" s="2">
        <v>44836</v>
      </c>
      <c r="L820" s="2">
        <v>44840</v>
      </c>
      <c r="N820">
        <v>96</v>
      </c>
      <c r="O820">
        <f>IF(Tickets[[#This Row],[Ticket Priority]]="Critical",24,
IF(Tickets[[#This Row],[Ticket Priority]]="High",48,
IF(Tickets[[#This Row],[Ticket Priority]]="Medium",120,168)))</f>
        <v>120</v>
      </c>
      <c r="P820" t="str">
        <f>IF(Tickets[[#This Row],[Resolution Duration Hours]] &lt;= Tickets[[#This Row],[SLA_Target_Hours]], "Yes", "No")</f>
        <v>Yes</v>
      </c>
    </row>
    <row r="821" spans="1:16" hidden="1">
      <c r="A821">
        <v>820</v>
      </c>
      <c r="B821" t="s">
        <v>828</v>
      </c>
      <c r="C821" t="s">
        <v>2802</v>
      </c>
      <c r="D821" t="s">
        <v>3983</v>
      </c>
      <c r="E821" s="1">
        <v>45046</v>
      </c>
      <c r="F821" t="s">
        <v>4000</v>
      </c>
      <c r="G821" t="s">
        <v>4011</v>
      </c>
      <c r="H821" t="s">
        <v>4018</v>
      </c>
      <c r="I821" t="s">
        <v>4023</v>
      </c>
      <c r="J821" t="s">
        <v>4028</v>
      </c>
      <c r="K821" s="2">
        <v>45250</v>
      </c>
      <c r="L821" s="2">
        <v>45254</v>
      </c>
      <c r="M821">
        <v>2</v>
      </c>
      <c r="N821">
        <v>96</v>
      </c>
      <c r="O821">
        <f>IF(Tickets[[#This Row],[Ticket Priority]]="Critical",24,
IF(Tickets[[#This Row],[Ticket Priority]]="High",48,
IF(Tickets[[#This Row],[Ticket Priority]]="Medium",120,168)))</f>
        <v>120</v>
      </c>
      <c r="P821" t="str">
        <f>IF(Tickets[[#This Row],[Resolution Duration Hours]] &lt;= Tickets[[#This Row],[SLA_Target_Hours]], "Yes", "No")</f>
        <v>Yes</v>
      </c>
    </row>
    <row r="822" spans="1:16">
      <c r="A822">
        <v>1637</v>
      </c>
      <c r="B822" t="s">
        <v>1633</v>
      </c>
      <c r="C822" t="s">
        <v>3616</v>
      </c>
      <c r="D822" t="s">
        <v>3996</v>
      </c>
      <c r="E822" s="1">
        <v>44166</v>
      </c>
      <c r="F822" t="s">
        <v>4000</v>
      </c>
      <c r="G822" t="s">
        <v>4014</v>
      </c>
      <c r="H822" t="s">
        <v>4020</v>
      </c>
      <c r="I822" t="s">
        <v>4024</v>
      </c>
      <c r="J822" t="s">
        <v>4025</v>
      </c>
      <c r="K822" s="2">
        <v>44250</v>
      </c>
      <c r="L822" s="2">
        <v>44259</v>
      </c>
      <c r="N822">
        <v>216</v>
      </c>
      <c r="O822">
        <f>IF(Tickets[[#This Row],[Ticket Priority]]="Critical",24,
IF(Tickets[[#This Row],[Ticket Priority]]="High",48,
IF(Tickets[[#This Row],[Ticket Priority]]="Medium",120,168)))</f>
        <v>168</v>
      </c>
      <c r="P822" t="str">
        <f>IF(Tickets[[#This Row],[Resolution Duration Hours]] &lt;= Tickets[[#This Row],[SLA_Target_Hours]], "Yes", "No")</f>
        <v>No</v>
      </c>
    </row>
    <row r="823" spans="1:16" hidden="1">
      <c r="A823">
        <v>822</v>
      </c>
      <c r="B823" t="s">
        <v>830</v>
      </c>
      <c r="C823" t="s">
        <v>2804</v>
      </c>
      <c r="D823" t="s">
        <v>3986</v>
      </c>
      <c r="E823" s="1">
        <v>44615</v>
      </c>
      <c r="F823" t="s">
        <v>3999</v>
      </c>
      <c r="G823" t="s">
        <v>4014</v>
      </c>
      <c r="H823" t="s">
        <v>4018</v>
      </c>
      <c r="I823" t="s">
        <v>4023</v>
      </c>
      <c r="J823" t="s">
        <v>4026</v>
      </c>
      <c r="K823" s="2">
        <v>44678</v>
      </c>
      <c r="L823" s="2">
        <v>44681</v>
      </c>
      <c r="M823">
        <v>5</v>
      </c>
      <c r="N823">
        <v>72</v>
      </c>
      <c r="O823">
        <f>IF(Tickets[[#This Row],[Ticket Priority]]="Critical",24,
IF(Tickets[[#This Row],[Ticket Priority]]="High",48,
IF(Tickets[[#This Row],[Ticket Priority]]="Medium",120,168)))</f>
        <v>120</v>
      </c>
      <c r="P823" t="str">
        <f>IF(Tickets[[#This Row],[Resolution Duration Hours]] &lt;= Tickets[[#This Row],[SLA_Target_Hours]], "Yes", "No")</f>
        <v>Yes</v>
      </c>
    </row>
    <row r="824" spans="1:16" hidden="1">
      <c r="A824">
        <v>823</v>
      </c>
      <c r="B824" t="s">
        <v>831</v>
      </c>
      <c r="C824" t="s">
        <v>2805</v>
      </c>
      <c r="D824" t="s">
        <v>3994</v>
      </c>
      <c r="E824" s="1">
        <v>44097</v>
      </c>
      <c r="F824" t="s">
        <v>4001</v>
      </c>
      <c r="G824" t="s">
        <v>4000</v>
      </c>
      <c r="H824" t="s">
        <v>4018</v>
      </c>
      <c r="I824" t="s">
        <v>4023</v>
      </c>
      <c r="J824" t="s">
        <v>4028</v>
      </c>
      <c r="K824" s="2">
        <v>44442</v>
      </c>
      <c r="L824" s="2">
        <v>44446</v>
      </c>
      <c r="M824">
        <v>4</v>
      </c>
      <c r="N824">
        <v>96</v>
      </c>
      <c r="O824">
        <f>IF(Tickets[[#This Row],[Ticket Priority]]="Critical",24,
IF(Tickets[[#This Row],[Ticket Priority]]="High",48,
IF(Tickets[[#This Row],[Ticket Priority]]="Medium",120,168)))</f>
        <v>120</v>
      </c>
      <c r="P824" t="str">
        <f>IF(Tickets[[#This Row],[Resolution Duration Hours]] &lt;= Tickets[[#This Row],[SLA_Target_Hours]], "Yes", "No")</f>
        <v>Yes</v>
      </c>
    </row>
    <row r="825" spans="1:16" hidden="1">
      <c r="A825">
        <v>824</v>
      </c>
      <c r="B825" t="s">
        <v>832</v>
      </c>
      <c r="C825" t="s">
        <v>2806</v>
      </c>
      <c r="D825" t="s">
        <v>3984</v>
      </c>
      <c r="E825" s="1">
        <v>44568</v>
      </c>
      <c r="F825" t="s">
        <v>4002</v>
      </c>
      <c r="G825" t="s">
        <v>4003</v>
      </c>
      <c r="H825" t="s">
        <v>4018</v>
      </c>
      <c r="I825" t="s">
        <v>4022</v>
      </c>
      <c r="J825" t="s">
        <v>4027</v>
      </c>
      <c r="K825" s="2">
        <v>44594</v>
      </c>
      <c r="L825" s="2">
        <v>44595</v>
      </c>
      <c r="M825">
        <v>4</v>
      </c>
      <c r="N825">
        <v>24</v>
      </c>
      <c r="O825">
        <f>IF(Tickets[[#This Row],[Ticket Priority]]="Critical",24,
IF(Tickets[[#This Row],[Ticket Priority]]="High",48,
IF(Tickets[[#This Row],[Ticket Priority]]="Medium",120,168)))</f>
        <v>24</v>
      </c>
      <c r="P825" t="str">
        <f>IF(Tickets[[#This Row],[Resolution Duration Hours]] &lt;= Tickets[[#This Row],[SLA_Target_Hours]], "Yes", "No")</f>
        <v>Yes</v>
      </c>
    </row>
    <row r="826" spans="1:16" hidden="1">
      <c r="A826">
        <v>825</v>
      </c>
      <c r="B826" t="s">
        <v>833</v>
      </c>
      <c r="C826" t="s">
        <v>2807</v>
      </c>
      <c r="D826" t="s">
        <v>3987</v>
      </c>
      <c r="E826" s="1">
        <v>44489</v>
      </c>
      <c r="F826" t="s">
        <v>4002</v>
      </c>
      <c r="G826" t="s">
        <v>4015</v>
      </c>
      <c r="H826" t="s">
        <v>4020</v>
      </c>
      <c r="I826" t="s">
        <v>4021</v>
      </c>
      <c r="J826" t="s">
        <v>4025</v>
      </c>
      <c r="K826" s="2">
        <v>44496</v>
      </c>
      <c r="L826" s="2">
        <v>44498</v>
      </c>
      <c r="N826">
        <v>48</v>
      </c>
      <c r="O826">
        <f>IF(Tickets[[#This Row],[Ticket Priority]]="Critical",24,
IF(Tickets[[#This Row],[Ticket Priority]]="High",48,
IF(Tickets[[#This Row],[Ticket Priority]]="Medium",120,168)))</f>
        <v>48</v>
      </c>
      <c r="P826" t="str">
        <f>IF(Tickets[[#This Row],[Resolution Duration Hours]] &lt;= Tickets[[#This Row],[SLA_Target_Hours]], "Yes", "No")</f>
        <v>Yes</v>
      </c>
    </row>
    <row r="827" spans="1:16" hidden="1">
      <c r="A827">
        <v>826</v>
      </c>
      <c r="B827" t="s">
        <v>834</v>
      </c>
      <c r="C827" t="s">
        <v>2808</v>
      </c>
      <c r="D827" t="s">
        <v>3982</v>
      </c>
      <c r="E827" s="1">
        <v>44601</v>
      </c>
      <c r="F827" t="s">
        <v>3998</v>
      </c>
      <c r="G827" t="s">
        <v>4000</v>
      </c>
      <c r="H827" t="s">
        <v>4018</v>
      </c>
      <c r="I827" t="s">
        <v>4021</v>
      </c>
      <c r="J827" t="s">
        <v>4026</v>
      </c>
      <c r="K827" s="2">
        <v>44623</v>
      </c>
      <c r="L827" s="2">
        <v>44625</v>
      </c>
      <c r="N827">
        <v>48</v>
      </c>
      <c r="O827">
        <f>IF(Tickets[[#This Row],[Ticket Priority]]="Critical",24,
IF(Tickets[[#This Row],[Ticket Priority]]="High",48,
IF(Tickets[[#This Row],[Ticket Priority]]="Medium",120,168)))</f>
        <v>48</v>
      </c>
      <c r="P827" t="str">
        <f>IF(Tickets[[#This Row],[Resolution Duration Hours]] &lt;= Tickets[[#This Row],[SLA_Target_Hours]], "Yes", "No")</f>
        <v>Yes</v>
      </c>
    </row>
    <row r="828" spans="1:16" hidden="1">
      <c r="A828">
        <v>827</v>
      </c>
      <c r="B828" t="s">
        <v>835</v>
      </c>
      <c r="C828" t="s">
        <v>2809</v>
      </c>
      <c r="D828" t="s">
        <v>3979</v>
      </c>
      <c r="E828" s="1">
        <v>44271</v>
      </c>
      <c r="F828" t="s">
        <v>4000</v>
      </c>
      <c r="G828" t="s">
        <v>4005</v>
      </c>
      <c r="H828" t="s">
        <v>4018</v>
      </c>
      <c r="I828" t="s">
        <v>4023</v>
      </c>
      <c r="J828" t="s">
        <v>4026</v>
      </c>
      <c r="K828" s="2">
        <v>44389</v>
      </c>
      <c r="L828" s="2">
        <v>44391</v>
      </c>
      <c r="M828">
        <v>5</v>
      </c>
      <c r="N828">
        <v>48</v>
      </c>
      <c r="O828">
        <f>IF(Tickets[[#This Row],[Ticket Priority]]="Critical",24,
IF(Tickets[[#This Row],[Ticket Priority]]="High",48,
IF(Tickets[[#This Row],[Ticket Priority]]="Medium",120,168)))</f>
        <v>120</v>
      </c>
      <c r="P828" t="str">
        <f>IF(Tickets[[#This Row],[Resolution Duration Hours]] &lt;= Tickets[[#This Row],[SLA_Target_Hours]], "Yes", "No")</f>
        <v>Yes</v>
      </c>
    </row>
    <row r="829" spans="1:16" hidden="1">
      <c r="A829">
        <v>828</v>
      </c>
      <c r="B829" t="s">
        <v>836</v>
      </c>
      <c r="C829" t="s">
        <v>2810</v>
      </c>
      <c r="D829" t="s">
        <v>3990</v>
      </c>
      <c r="E829" s="1">
        <v>44495</v>
      </c>
      <c r="F829" t="s">
        <v>4001</v>
      </c>
      <c r="G829" t="s">
        <v>4015</v>
      </c>
      <c r="H829" t="s">
        <v>4020</v>
      </c>
      <c r="I829" t="s">
        <v>4022</v>
      </c>
      <c r="J829" t="s">
        <v>4028</v>
      </c>
      <c r="K829" s="2">
        <v>44827</v>
      </c>
      <c r="L829" s="2">
        <v>44827</v>
      </c>
      <c r="N829">
        <v>0</v>
      </c>
      <c r="O829">
        <f>IF(Tickets[[#This Row],[Ticket Priority]]="Critical",24,
IF(Tickets[[#This Row],[Ticket Priority]]="High",48,
IF(Tickets[[#This Row],[Ticket Priority]]="Medium",120,168)))</f>
        <v>24</v>
      </c>
      <c r="P829" t="str">
        <f>IF(Tickets[[#This Row],[Resolution Duration Hours]] &lt;= Tickets[[#This Row],[SLA_Target_Hours]], "Yes", "No")</f>
        <v>Yes</v>
      </c>
    </row>
    <row r="830" spans="1:16" hidden="1">
      <c r="A830">
        <v>829</v>
      </c>
      <c r="B830" t="s">
        <v>837</v>
      </c>
      <c r="C830" t="s">
        <v>2811</v>
      </c>
      <c r="D830" t="s">
        <v>3991</v>
      </c>
      <c r="E830" s="1">
        <v>43850</v>
      </c>
      <c r="F830" t="s">
        <v>4002</v>
      </c>
      <c r="G830" t="s">
        <v>4007</v>
      </c>
      <c r="H830" t="s">
        <v>4018</v>
      </c>
      <c r="I830" t="s">
        <v>4024</v>
      </c>
      <c r="J830" t="s">
        <v>4028</v>
      </c>
      <c r="K830" s="2">
        <v>44141</v>
      </c>
      <c r="L830" s="2">
        <v>44145</v>
      </c>
      <c r="M830">
        <v>4</v>
      </c>
      <c r="N830">
        <v>96</v>
      </c>
      <c r="O830">
        <f>IF(Tickets[[#This Row],[Ticket Priority]]="Critical",24,
IF(Tickets[[#This Row],[Ticket Priority]]="High",48,
IF(Tickets[[#This Row],[Ticket Priority]]="Medium",120,168)))</f>
        <v>168</v>
      </c>
      <c r="P830" t="str">
        <f>IF(Tickets[[#This Row],[Resolution Duration Hours]] &lt;= Tickets[[#This Row],[SLA_Target_Hours]], "Yes", "No")</f>
        <v>Yes</v>
      </c>
    </row>
    <row r="831" spans="1:16" hidden="1">
      <c r="A831">
        <v>830</v>
      </c>
      <c r="B831" t="s">
        <v>838</v>
      </c>
      <c r="C831" t="s">
        <v>2812</v>
      </c>
      <c r="D831" t="s">
        <v>3983</v>
      </c>
      <c r="E831" s="1">
        <v>44748</v>
      </c>
      <c r="F831" t="s">
        <v>4002</v>
      </c>
      <c r="G831" t="s">
        <v>4004</v>
      </c>
      <c r="H831" t="s">
        <v>4018</v>
      </c>
      <c r="I831" t="s">
        <v>4023</v>
      </c>
      <c r="J831" t="s">
        <v>4028</v>
      </c>
      <c r="K831" s="2">
        <v>45089</v>
      </c>
      <c r="L831" s="2">
        <v>45091</v>
      </c>
      <c r="M831">
        <v>4</v>
      </c>
      <c r="N831">
        <v>48</v>
      </c>
      <c r="O831">
        <f>IF(Tickets[[#This Row],[Ticket Priority]]="Critical",24,
IF(Tickets[[#This Row],[Ticket Priority]]="High",48,
IF(Tickets[[#This Row],[Ticket Priority]]="Medium",120,168)))</f>
        <v>120</v>
      </c>
      <c r="P831" t="str">
        <f>IF(Tickets[[#This Row],[Resolution Duration Hours]] &lt;= Tickets[[#This Row],[SLA_Target_Hours]], "Yes", "No")</f>
        <v>Yes</v>
      </c>
    </row>
    <row r="832" spans="1:16" hidden="1">
      <c r="A832">
        <v>831</v>
      </c>
      <c r="B832" t="s">
        <v>839</v>
      </c>
      <c r="C832" t="s">
        <v>2813</v>
      </c>
      <c r="D832" t="s">
        <v>3987</v>
      </c>
      <c r="E832" s="1">
        <v>44142</v>
      </c>
      <c r="F832" t="s">
        <v>4001</v>
      </c>
      <c r="G832" t="s">
        <v>4010</v>
      </c>
      <c r="H832" t="s">
        <v>4018</v>
      </c>
      <c r="I832" t="s">
        <v>4024</v>
      </c>
      <c r="J832" t="s">
        <v>4026</v>
      </c>
      <c r="K832" s="2">
        <v>44261</v>
      </c>
      <c r="L832" s="2">
        <v>44267</v>
      </c>
      <c r="M832">
        <v>5</v>
      </c>
      <c r="N832">
        <v>144</v>
      </c>
      <c r="O832">
        <f>IF(Tickets[[#This Row],[Ticket Priority]]="Critical",24,
IF(Tickets[[#This Row],[Ticket Priority]]="High",48,
IF(Tickets[[#This Row],[Ticket Priority]]="Medium",120,168)))</f>
        <v>168</v>
      </c>
      <c r="P832" t="str">
        <f>IF(Tickets[[#This Row],[Resolution Duration Hours]] &lt;= Tickets[[#This Row],[SLA_Target_Hours]], "Yes", "No")</f>
        <v>Yes</v>
      </c>
    </row>
    <row r="833" spans="1:16" hidden="1">
      <c r="A833">
        <v>832</v>
      </c>
      <c r="B833" t="s">
        <v>840</v>
      </c>
      <c r="C833" t="s">
        <v>2814</v>
      </c>
      <c r="D833" t="s">
        <v>3992</v>
      </c>
      <c r="E833" s="1">
        <v>45020</v>
      </c>
      <c r="F833" t="s">
        <v>4000</v>
      </c>
      <c r="G833" t="s">
        <v>4015</v>
      </c>
      <c r="H833" t="s">
        <v>4018</v>
      </c>
      <c r="I833" t="s">
        <v>4023</v>
      </c>
      <c r="J833" t="s">
        <v>4027</v>
      </c>
      <c r="K833" s="2">
        <v>45171</v>
      </c>
      <c r="L833" s="2">
        <v>45175</v>
      </c>
      <c r="N833">
        <v>96</v>
      </c>
      <c r="O833">
        <f>IF(Tickets[[#This Row],[Ticket Priority]]="Critical",24,
IF(Tickets[[#This Row],[Ticket Priority]]="High",48,
IF(Tickets[[#This Row],[Ticket Priority]]="Medium",120,168)))</f>
        <v>120</v>
      </c>
      <c r="P833" t="str">
        <f>IF(Tickets[[#This Row],[Resolution Duration Hours]] &lt;= Tickets[[#This Row],[SLA_Target_Hours]], "Yes", "No")</f>
        <v>Yes</v>
      </c>
    </row>
    <row r="834" spans="1:16" hidden="1">
      <c r="A834">
        <v>833</v>
      </c>
      <c r="B834" t="s">
        <v>841</v>
      </c>
      <c r="C834" t="s">
        <v>2815</v>
      </c>
      <c r="D834" t="s">
        <v>3985</v>
      </c>
      <c r="E834" s="1">
        <v>44459</v>
      </c>
      <c r="F834" t="s">
        <v>4001</v>
      </c>
      <c r="G834" t="s">
        <v>4005</v>
      </c>
      <c r="H834" t="s">
        <v>4018</v>
      </c>
      <c r="I834" t="s">
        <v>4024</v>
      </c>
      <c r="J834" t="s">
        <v>4025</v>
      </c>
      <c r="K834" s="2">
        <v>44601</v>
      </c>
      <c r="L834" s="2">
        <v>44607</v>
      </c>
      <c r="M834">
        <v>5</v>
      </c>
      <c r="N834">
        <v>144</v>
      </c>
      <c r="O834">
        <f>IF(Tickets[[#This Row],[Ticket Priority]]="Critical",24,
IF(Tickets[[#This Row],[Ticket Priority]]="High",48,
IF(Tickets[[#This Row],[Ticket Priority]]="Medium",120,168)))</f>
        <v>168</v>
      </c>
      <c r="P834" t="str">
        <f>IF(Tickets[[#This Row],[Resolution Duration Hours]] &lt;= Tickets[[#This Row],[SLA_Target_Hours]], "Yes", "No")</f>
        <v>Yes</v>
      </c>
    </row>
    <row r="835" spans="1:16">
      <c r="A835">
        <v>1643</v>
      </c>
      <c r="B835" t="s">
        <v>1639</v>
      </c>
      <c r="C835" t="s">
        <v>3622</v>
      </c>
      <c r="D835" t="s">
        <v>3986</v>
      </c>
      <c r="E835" s="1">
        <v>44508</v>
      </c>
      <c r="F835" t="s">
        <v>4002</v>
      </c>
      <c r="G835" t="s">
        <v>4016</v>
      </c>
      <c r="H835" t="s">
        <v>4018</v>
      </c>
      <c r="I835" t="s">
        <v>4024</v>
      </c>
      <c r="J835" t="s">
        <v>4028</v>
      </c>
      <c r="K835" s="2">
        <v>44740</v>
      </c>
      <c r="L835" s="2">
        <v>44749</v>
      </c>
      <c r="M835">
        <v>4</v>
      </c>
      <c r="N835">
        <v>216</v>
      </c>
      <c r="O835">
        <f>IF(Tickets[[#This Row],[Ticket Priority]]="Critical",24,
IF(Tickets[[#This Row],[Ticket Priority]]="High",48,
IF(Tickets[[#This Row],[Ticket Priority]]="Medium",120,168)))</f>
        <v>168</v>
      </c>
      <c r="P835" t="str">
        <f>IF(Tickets[[#This Row],[Resolution Duration Hours]] &lt;= Tickets[[#This Row],[SLA_Target_Hours]], "Yes", "No")</f>
        <v>No</v>
      </c>
    </row>
    <row r="836" spans="1:16" hidden="1">
      <c r="A836">
        <v>835</v>
      </c>
      <c r="B836" t="s">
        <v>843</v>
      </c>
      <c r="C836" t="s">
        <v>2817</v>
      </c>
      <c r="D836" t="s">
        <v>3997</v>
      </c>
      <c r="E836" s="1">
        <v>44770</v>
      </c>
      <c r="F836" t="s">
        <v>4002</v>
      </c>
      <c r="G836" t="s">
        <v>4005</v>
      </c>
      <c r="H836" t="s">
        <v>4019</v>
      </c>
      <c r="I836" t="s">
        <v>4023</v>
      </c>
      <c r="J836" t="s">
        <v>4026</v>
      </c>
      <c r="K836" s="2">
        <v>44934</v>
      </c>
      <c r="L836" s="2">
        <v>44938</v>
      </c>
      <c r="M836">
        <v>4</v>
      </c>
      <c r="N836">
        <v>96</v>
      </c>
      <c r="O836">
        <f>IF(Tickets[[#This Row],[Ticket Priority]]="Critical",24,
IF(Tickets[[#This Row],[Ticket Priority]]="High",48,
IF(Tickets[[#This Row],[Ticket Priority]]="Medium",120,168)))</f>
        <v>120</v>
      </c>
      <c r="P836" t="str">
        <f>IF(Tickets[[#This Row],[Resolution Duration Hours]] &lt;= Tickets[[#This Row],[SLA_Target_Hours]], "Yes", "No")</f>
        <v>Yes</v>
      </c>
    </row>
    <row r="837" spans="1:16" hidden="1">
      <c r="A837">
        <v>836</v>
      </c>
      <c r="B837" t="s">
        <v>844</v>
      </c>
      <c r="C837" t="s">
        <v>2818</v>
      </c>
      <c r="D837" t="s">
        <v>3982</v>
      </c>
      <c r="E837" s="1">
        <v>45023</v>
      </c>
      <c r="F837" t="s">
        <v>4002</v>
      </c>
      <c r="G837" t="s">
        <v>4015</v>
      </c>
      <c r="H837" t="s">
        <v>4018</v>
      </c>
      <c r="I837" t="s">
        <v>4024</v>
      </c>
      <c r="J837" t="s">
        <v>4028</v>
      </c>
      <c r="K837" s="2">
        <v>45326</v>
      </c>
      <c r="L837" s="2">
        <v>45329</v>
      </c>
      <c r="M837">
        <v>3</v>
      </c>
      <c r="N837">
        <v>72</v>
      </c>
      <c r="O837">
        <f>IF(Tickets[[#This Row],[Ticket Priority]]="Critical",24,
IF(Tickets[[#This Row],[Ticket Priority]]="High",48,
IF(Tickets[[#This Row],[Ticket Priority]]="Medium",120,168)))</f>
        <v>168</v>
      </c>
      <c r="P837" t="str">
        <f>IF(Tickets[[#This Row],[Resolution Duration Hours]] &lt;= Tickets[[#This Row],[SLA_Target_Hours]], "Yes", "No")</f>
        <v>Yes</v>
      </c>
    </row>
    <row r="838" spans="1:16" hidden="1">
      <c r="A838">
        <v>837</v>
      </c>
      <c r="B838" t="s">
        <v>845</v>
      </c>
      <c r="C838" t="s">
        <v>2819</v>
      </c>
      <c r="D838" t="s">
        <v>3995</v>
      </c>
      <c r="E838" s="1">
        <v>45017</v>
      </c>
      <c r="F838" t="s">
        <v>4000</v>
      </c>
      <c r="G838" t="s">
        <v>4003</v>
      </c>
      <c r="H838" t="s">
        <v>4018</v>
      </c>
      <c r="I838" t="s">
        <v>4023</v>
      </c>
      <c r="J838" t="s">
        <v>4027</v>
      </c>
      <c r="K838" s="2">
        <v>45107</v>
      </c>
      <c r="L838" s="2">
        <v>45110</v>
      </c>
      <c r="N838">
        <v>72</v>
      </c>
      <c r="O838">
        <f>IF(Tickets[[#This Row],[Ticket Priority]]="Critical",24,
IF(Tickets[[#This Row],[Ticket Priority]]="High",48,
IF(Tickets[[#This Row],[Ticket Priority]]="Medium",120,168)))</f>
        <v>120</v>
      </c>
      <c r="P838" t="str">
        <f>IF(Tickets[[#This Row],[Resolution Duration Hours]] &lt;= Tickets[[#This Row],[SLA_Target_Hours]], "Yes", "No")</f>
        <v>Yes</v>
      </c>
    </row>
    <row r="839" spans="1:16" hidden="1">
      <c r="A839">
        <v>838</v>
      </c>
      <c r="B839" t="s">
        <v>846</v>
      </c>
      <c r="C839" t="s">
        <v>2820</v>
      </c>
      <c r="D839" t="s">
        <v>3981</v>
      </c>
      <c r="E839" s="1">
        <v>44545</v>
      </c>
      <c r="F839" t="s">
        <v>4000</v>
      </c>
      <c r="G839" t="s">
        <v>4010</v>
      </c>
      <c r="H839" t="s">
        <v>4018</v>
      </c>
      <c r="I839" t="s">
        <v>4023</v>
      </c>
      <c r="J839" t="s">
        <v>4026</v>
      </c>
      <c r="K839" s="2">
        <v>44748</v>
      </c>
      <c r="L839" s="2">
        <v>44751</v>
      </c>
      <c r="M839">
        <v>4</v>
      </c>
      <c r="N839">
        <v>72</v>
      </c>
      <c r="O839">
        <f>IF(Tickets[[#This Row],[Ticket Priority]]="Critical",24,
IF(Tickets[[#This Row],[Ticket Priority]]="High",48,
IF(Tickets[[#This Row],[Ticket Priority]]="Medium",120,168)))</f>
        <v>120</v>
      </c>
      <c r="P839" t="str">
        <f>IF(Tickets[[#This Row],[Resolution Duration Hours]] &lt;= Tickets[[#This Row],[SLA_Target_Hours]], "Yes", "No")</f>
        <v>Yes</v>
      </c>
    </row>
    <row r="840" spans="1:16" hidden="1">
      <c r="A840">
        <v>839</v>
      </c>
      <c r="B840" t="s">
        <v>847</v>
      </c>
      <c r="C840" t="s">
        <v>2821</v>
      </c>
      <c r="D840" t="s">
        <v>3995</v>
      </c>
      <c r="E840" s="1">
        <v>44039</v>
      </c>
      <c r="F840" t="s">
        <v>4000</v>
      </c>
      <c r="G840" t="s">
        <v>4012</v>
      </c>
      <c r="H840" t="s">
        <v>4018</v>
      </c>
      <c r="I840" t="s">
        <v>4024</v>
      </c>
      <c r="J840" t="s">
        <v>4026</v>
      </c>
      <c r="K840" s="2">
        <v>44081</v>
      </c>
      <c r="L840" s="2">
        <v>44088</v>
      </c>
      <c r="M840">
        <v>4</v>
      </c>
      <c r="N840">
        <v>168</v>
      </c>
      <c r="O840">
        <f>IF(Tickets[[#This Row],[Ticket Priority]]="Critical",24,
IF(Tickets[[#This Row],[Ticket Priority]]="High",48,
IF(Tickets[[#This Row],[Ticket Priority]]="Medium",120,168)))</f>
        <v>168</v>
      </c>
      <c r="P840" t="str">
        <f>IF(Tickets[[#This Row],[Resolution Duration Hours]] &lt;= Tickets[[#This Row],[SLA_Target_Hours]], "Yes", "No")</f>
        <v>Yes</v>
      </c>
    </row>
    <row r="841" spans="1:16" hidden="1">
      <c r="A841">
        <v>840</v>
      </c>
      <c r="B841" t="s">
        <v>848</v>
      </c>
      <c r="C841" t="s">
        <v>2822</v>
      </c>
      <c r="D841" t="s">
        <v>3996</v>
      </c>
      <c r="E841" s="1">
        <v>44719</v>
      </c>
      <c r="F841" t="s">
        <v>4001</v>
      </c>
      <c r="G841" t="s">
        <v>4016</v>
      </c>
      <c r="H841" t="s">
        <v>4018</v>
      </c>
      <c r="I841" t="s">
        <v>4021</v>
      </c>
      <c r="J841" t="s">
        <v>4026</v>
      </c>
      <c r="K841" s="2">
        <v>45006</v>
      </c>
      <c r="L841" s="2">
        <v>45007</v>
      </c>
      <c r="M841">
        <v>4</v>
      </c>
      <c r="N841">
        <v>24</v>
      </c>
      <c r="O841">
        <f>IF(Tickets[[#This Row],[Ticket Priority]]="Critical",24,
IF(Tickets[[#This Row],[Ticket Priority]]="High",48,
IF(Tickets[[#This Row],[Ticket Priority]]="Medium",120,168)))</f>
        <v>48</v>
      </c>
      <c r="P841" t="str">
        <f>IF(Tickets[[#This Row],[Resolution Duration Hours]] &lt;= Tickets[[#This Row],[SLA_Target_Hours]], "Yes", "No")</f>
        <v>Yes</v>
      </c>
    </row>
    <row r="842" spans="1:16" hidden="1">
      <c r="A842">
        <v>841</v>
      </c>
      <c r="B842" t="s">
        <v>849</v>
      </c>
      <c r="C842" t="s">
        <v>2823</v>
      </c>
      <c r="D842" t="s">
        <v>3981</v>
      </c>
      <c r="E842" s="1">
        <v>44789</v>
      </c>
      <c r="F842" t="s">
        <v>3998</v>
      </c>
      <c r="G842" t="s">
        <v>4003</v>
      </c>
      <c r="H842" t="s">
        <v>4018</v>
      </c>
      <c r="I842" t="s">
        <v>4023</v>
      </c>
      <c r="J842" t="s">
        <v>4026</v>
      </c>
      <c r="K842" s="2">
        <v>45040</v>
      </c>
      <c r="L842" s="2">
        <v>45044</v>
      </c>
      <c r="M842">
        <v>2</v>
      </c>
      <c r="N842">
        <v>96</v>
      </c>
      <c r="O842">
        <f>IF(Tickets[[#This Row],[Ticket Priority]]="Critical",24,
IF(Tickets[[#This Row],[Ticket Priority]]="High",48,
IF(Tickets[[#This Row],[Ticket Priority]]="Medium",120,168)))</f>
        <v>120</v>
      </c>
      <c r="P842" t="str">
        <f>IF(Tickets[[#This Row],[Resolution Duration Hours]] &lt;= Tickets[[#This Row],[SLA_Target_Hours]], "Yes", "No")</f>
        <v>Yes</v>
      </c>
    </row>
    <row r="843" spans="1:16" hidden="1">
      <c r="A843">
        <v>842</v>
      </c>
      <c r="B843" t="s">
        <v>850</v>
      </c>
      <c r="C843" t="s">
        <v>2824</v>
      </c>
      <c r="D843" t="s">
        <v>3994</v>
      </c>
      <c r="E843" s="1">
        <v>44372</v>
      </c>
      <c r="F843" t="s">
        <v>3999</v>
      </c>
      <c r="G843" t="s">
        <v>4004</v>
      </c>
      <c r="H843" t="s">
        <v>4018</v>
      </c>
      <c r="I843" t="s">
        <v>4023</v>
      </c>
      <c r="J843" t="s">
        <v>4027</v>
      </c>
      <c r="K843" s="2">
        <v>44435</v>
      </c>
      <c r="L843" s="2">
        <v>44437</v>
      </c>
      <c r="M843">
        <v>4</v>
      </c>
      <c r="N843">
        <v>48</v>
      </c>
      <c r="O843">
        <f>IF(Tickets[[#This Row],[Ticket Priority]]="Critical",24,
IF(Tickets[[#This Row],[Ticket Priority]]="High",48,
IF(Tickets[[#This Row],[Ticket Priority]]="Medium",120,168)))</f>
        <v>120</v>
      </c>
      <c r="P843" t="str">
        <f>IF(Tickets[[#This Row],[Resolution Duration Hours]] &lt;= Tickets[[#This Row],[SLA_Target_Hours]], "Yes", "No")</f>
        <v>Yes</v>
      </c>
    </row>
    <row r="844" spans="1:16" hidden="1">
      <c r="A844">
        <v>843</v>
      </c>
      <c r="B844" t="s">
        <v>851</v>
      </c>
      <c r="C844" t="s">
        <v>2825</v>
      </c>
      <c r="D844" t="s">
        <v>3981</v>
      </c>
      <c r="E844" s="1">
        <v>44470</v>
      </c>
      <c r="F844" t="s">
        <v>3999</v>
      </c>
      <c r="G844" t="s">
        <v>4013</v>
      </c>
      <c r="H844" t="s">
        <v>4018</v>
      </c>
      <c r="I844" t="s">
        <v>4023</v>
      </c>
      <c r="J844" t="s">
        <v>4027</v>
      </c>
      <c r="K844" s="2">
        <v>44826</v>
      </c>
      <c r="L844" s="2">
        <v>44828</v>
      </c>
      <c r="M844">
        <v>4</v>
      </c>
      <c r="N844">
        <v>48</v>
      </c>
      <c r="O844">
        <f>IF(Tickets[[#This Row],[Ticket Priority]]="Critical",24,
IF(Tickets[[#This Row],[Ticket Priority]]="High",48,
IF(Tickets[[#This Row],[Ticket Priority]]="Medium",120,168)))</f>
        <v>120</v>
      </c>
      <c r="P844" t="str">
        <f>IF(Tickets[[#This Row],[Resolution Duration Hours]] &lt;= Tickets[[#This Row],[SLA_Target_Hours]], "Yes", "No")</f>
        <v>Yes</v>
      </c>
    </row>
    <row r="845" spans="1:16">
      <c r="A845">
        <v>1649</v>
      </c>
      <c r="B845" t="s">
        <v>1644</v>
      </c>
      <c r="C845" t="s">
        <v>3628</v>
      </c>
      <c r="D845" t="s">
        <v>3986</v>
      </c>
      <c r="E845" s="1">
        <v>44962</v>
      </c>
      <c r="F845" t="s">
        <v>3999</v>
      </c>
      <c r="G845" t="s">
        <v>4015</v>
      </c>
      <c r="H845" t="s">
        <v>4020</v>
      </c>
      <c r="I845" t="s">
        <v>4024</v>
      </c>
      <c r="J845" t="s">
        <v>4026</v>
      </c>
      <c r="K845" s="2">
        <v>45047</v>
      </c>
      <c r="L845" s="2">
        <v>45056</v>
      </c>
      <c r="N845">
        <v>216</v>
      </c>
      <c r="O845">
        <f>IF(Tickets[[#This Row],[Ticket Priority]]="Critical",24,
IF(Tickets[[#This Row],[Ticket Priority]]="High",48,
IF(Tickets[[#This Row],[Ticket Priority]]="Medium",120,168)))</f>
        <v>168</v>
      </c>
      <c r="P845" t="str">
        <f>IF(Tickets[[#This Row],[Resolution Duration Hours]] &lt;= Tickets[[#This Row],[SLA_Target_Hours]], "Yes", "No")</f>
        <v>No</v>
      </c>
    </row>
    <row r="846" spans="1:16" hidden="1">
      <c r="A846">
        <v>845</v>
      </c>
      <c r="B846" t="s">
        <v>853</v>
      </c>
      <c r="C846" t="s">
        <v>2827</v>
      </c>
      <c r="D846" t="s">
        <v>3987</v>
      </c>
      <c r="E846" s="1">
        <v>43862</v>
      </c>
      <c r="F846" t="s">
        <v>3998</v>
      </c>
      <c r="G846" t="s">
        <v>4006</v>
      </c>
      <c r="H846" t="s">
        <v>4018</v>
      </c>
      <c r="I846" t="s">
        <v>4023</v>
      </c>
      <c r="J846" t="s">
        <v>4027</v>
      </c>
      <c r="K846" s="2">
        <v>43921</v>
      </c>
      <c r="L846" s="2">
        <v>43924</v>
      </c>
      <c r="M846">
        <v>5</v>
      </c>
      <c r="N846">
        <v>72</v>
      </c>
      <c r="O846">
        <f>IF(Tickets[[#This Row],[Ticket Priority]]="Critical",24,
IF(Tickets[[#This Row],[Ticket Priority]]="High",48,
IF(Tickets[[#This Row],[Ticket Priority]]="Medium",120,168)))</f>
        <v>120</v>
      </c>
      <c r="P846" t="str">
        <f>IF(Tickets[[#This Row],[Resolution Duration Hours]] &lt;= Tickets[[#This Row],[SLA_Target_Hours]], "Yes", "No")</f>
        <v>Yes</v>
      </c>
    </row>
    <row r="847" spans="1:16" hidden="1">
      <c r="A847">
        <v>846</v>
      </c>
      <c r="B847" t="s">
        <v>854</v>
      </c>
      <c r="C847" t="s">
        <v>2828</v>
      </c>
      <c r="D847" t="s">
        <v>3995</v>
      </c>
      <c r="E847" s="1">
        <v>43982</v>
      </c>
      <c r="F847" t="s">
        <v>3999</v>
      </c>
      <c r="G847" t="s">
        <v>4015</v>
      </c>
      <c r="H847" t="s">
        <v>4018</v>
      </c>
      <c r="I847" t="s">
        <v>4023</v>
      </c>
      <c r="J847" t="s">
        <v>4026</v>
      </c>
      <c r="K847" s="2">
        <v>44066</v>
      </c>
      <c r="L847" s="2">
        <v>44070</v>
      </c>
      <c r="M847">
        <v>4</v>
      </c>
      <c r="N847">
        <v>96</v>
      </c>
      <c r="O847">
        <f>IF(Tickets[[#This Row],[Ticket Priority]]="Critical",24,
IF(Tickets[[#This Row],[Ticket Priority]]="High",48,
IF(Tickets[[#This Row],[Ticket Priority]]="Medium",120,168)))</f>
        <v>120</v>
      </c>
      <c r="P847" t="str">
        <f>IF(Tickets[[#This Row],[Resolution Duration Hours]] &lt;= Tickets[[#This Row],[SLA_Target_Hours]], "Yes", "No")</f>
        <v>Yes</v>
      </c>
    </row>
    <row r="848" spans="1:16" hidden="1">
      <c r="A848">
        <v>847</v>
      </c>
      <c r="B848" t="s">
        <v>855</v>
      </c>
      <c r="C848" t="s">
        <v>2829</v>
      </c>
      <c r="D848" t="s">
        <v>3988</v>
      </c>
      <c r="E848" s="1">
        <v>44296</v>
      </c>
      <c r="F848" t="s">
        <v>4000</v>
      </c>
      <c r="G848" t="s">
        <v>4015</v>
      </c>
      <c r="H848" t="s">
        <v>4017</v>
      </c>
      <c r="I848" t="s">
        <v>4024</v>
      </c>
      <c r="J848" t="s">
        <v>4025</v>
      </c>
      <c r="K848" s="2">
        <v>44351</v>
      </c>
      <c r="L848" s="2">
        <v>44356</v>
      </c>
      <c r="N848">
        <v>120</v>
      </c>
      <c r="O848">
        <f>IF(Tickets[[#This Row],[Ticket Priority]]="Critical",24,
IF(Tickets[[#This Row],[Ticket Priority]]="High",48,
IF(Tickets[[#This Row],[Ticket Priority]]="Medium",120,168)))</f>
        <v>168</v>
      </c>
      <c r="P848" t="str">
        <f>IF(Tickets[[#This Row],[Resolution Duration Hours]] &lt;= Tickets[[#This Row],[SLA_Target_Hours]], "Yes", "No")</f>
        <v>Yes</v>
      </c>
    </row>
    <row r="849" spans="1:16">
      <c r="A849">
        <v>1667</v>
      </c>
      <c r="B849" t="s">
        <v>1662</v>
      </c>
      <c r="C849" t="s">
        <v>3646</v>
      </c>
      <c r="D849" t="s">
        <v>3987</v>
      </c>
      <c r="E849" s="1">
        <v>44175</v>
      </c>
      <c r="F849" t="s">
        <v>4001</v>
      </c>
      <c r="G849" t="s">
        <v>4014</v>
      </c>
      <c r="H849" t="s">
        <v>4018</v>
      </c>
      <c r="I849" t="s">
        <v>4024</v>
      </c>
      <c r="J849" t="s">
        <v>4025</v>
      </c>
      <c r="K849" s="2">
        <v>44467</v>
      </c>
      <c r="L849" s="2">
        <v>44476</v>
      </c>
      <c r="N849">
        <v>216</v>
      </c>
      <c r="O849">
        <f>IF(Tickets[[#This Row],[Ticket Priority]]="Critical",24,
IF(Tickets[[#This Row],[Ticket Priority]]="High",48,
IF(Tickets[[#This Row],[Ticket Priority]]="Medium",120,168)))</f>
        <v>168</v>
      </c>
      <c r="P849" t="str">
        <f>IF(Tickets[[#This Row],[Resolution Duration Hours]] &lt;= Tickets[[#This Row],[SLA_Target_Hours]], "Yes", "No")</f>
        <v>No</v>
      </c>
    </row>
    <row r="850" spans="1:16" hidden="1">
      <c r="A850">
        <v>849</v>
      </c>
      <c r="B850" t="s">
        <v>857</v>
      </c>
      <c r="C850" t="s">
        <v>2831</v>
      </c>
      <c r="D850" t="s">
        <v>3982</v>
      </c>
      <c r="E850" s="1">
        <v>44729</v>
      </c>
      <c r="F850" t="s">
        <v>4002</v>
      </c>
      <c r="G850" t="s">
        <v>4014</v>
      </c>
      <c r="H850" t="s">
        <v>4018</v>
      </c>
      <c r="I850" t="s">
        <v>4021</v>
      </c>
      <c r="J850" t="s">
        <v>4028</v>
      </c>
      <c r="K850" s="2">
        <v>44920</v>
      </c>
      <c r="L850" s="2">
        <v>44922</v>
      </c>
      <c r="M850">
        <v>4</v>
      </c>
      <c r="N850">
        <v>48</v>
      </c>
      <c r="O850">
        <f>IF(Tickets[[#This Row],[Ticket Priority]]="Critical",24,
IF(Tickets[[#This Row],[Ticket Priority]]="High",48,
IF(Tickets[[#This Row],[Ticket Priority]]="Medium",120,168)))</f>
        <v>48</v>
      </c>
      <c r="P850" t="str">
        <f>IF(Tickets[[#This Row],[Resolution Duration Hours]] &lt;= Tickets[[#This Row],[SLA_Target_Hours]], "Yes", "No")</f>
        <v>Yes</v>
      </c>
    </row>
    <row r="851" spans="1:16" hidden="1">
      <c r="A851">
        <v>850</v>
      </c>
      <c r="B851" t="s">
        <v>858</v>
      </c>
      <c r="C851" t="s">
        <v>2832</v>
      </c>
      <c r="D851" t="s">
        <v>3982</v>
      </c>
      <c r="E851" s="1">
        <v>44843</v>
      </c>
      <c r="F851" t="s">
        <v>4002</v>
      </c>
      <c r="G851" t="s">
        <v>4003</v>
      </c>
      <c r="H851" t="s">
        <v>4018</v>
      </c>
      <c r="I851" t="s">
        <v>4024</v>
      </c>
      <c r="J851" t="s">
        <v>4027</v>
      </c>
      <c r="K851" s="2">
        <v>44941</v>
      </c>
      <c r="L851" s="2">
        <v>44948</v>
      </c>
      <c r="M851">
        <v>4</v>
      </c>
      <c r="N851">
        <v>168</v>
      </c>
      <c r="O851">
        <f>IF(Tickets[[#This Row],[Ticket Priority]]="Critical",24,
IF(Tickets[[#This Row],[Ticket Priority]]="High",48,
IF(Tickets[[#This Row],[Ticket Priority]]="Medium",120,168)))</f>
        <v>168</v>
      </c>
      <c r="P851" t="str">
        <f>IF(Tickets[[#This Row],[Resolution Duration Hours]] &lt;= Tickets[[#This Row],[SLA_Target_Hours]], "Yes", "No")</f>
        <v>Yes</v>
      </c>
    </row>
    <row r="852" spans="1:16" hidden="1">
      <c r="A852">
        <v>851</v>
      </c>
      <c r="B852" t="s">
        <v>859</v>
      </c>
      <c r="C852" t="s">
        <v>2833</v>
      </c>
      <c r="D852" t="s">
        <v>3996</v>
      </c>
      <c r="E852" s="1">
        <v>44631</v>
      </c>
      <c r="F852" t="s">
        <v>4001</v>
      </c>
      <c r="G852" t="s">
        <v>4012</v>
      </c>
      <c r="H852" t="s">
        <v>4018</v>
      </c>
      <c r="I852" t="s">
        <v>4023</v>
      </c>
      <c r="J852" t="s">
        <v>4026</v>
      </c>
      <c r="K852" s="2">
        <v>44694</v>
      </c>
      <c r="L852" s="2">
        <v>44699</v>
      </c>
      <c r="M852">
        <v>5</v>
      </c>
      <c r="N852">
        <v>120</v>
      </c>
      <c r="O852">
        <f>IF(Tickets[[#This Row],[Ticket Priority]]="Critical",24,
IF(Tickets[[#This Row],[Ticket Priority]]="High",48,
IF(Tickets[[#This Row],[Ticket Priority]]="Medium",120,168)))</f>
        <v>120</v>
      </c>
      <c r="P852" t="str">
        <f>IF(Tickets[[#This Row],[Resolution Duration Hours]] &lt;= Tickets[[#This Row],[SLA_Target_Hours]], "Yes", "No")</f>
        <v>Yes</v>
      </c>
    </row>
    <row r="853" spans="1:16" hidden="1">
      <c r="A853">
        <v>852</v>
      </c>
      <c r="B853" t="s">
        <v>860</v>
      </c>
      <c r="C853" t="s">
        <v>2834</v>
      </c>
      <c r="D853" t="s">
        <v>3987</v>
      </c>
      <c r="E853" s="1">
        <v>44727</v>
      </c>
      <c r="F853" t="s">
        <v>3999</v>
      </c>
      <c r="G853" t="s">
        <v>4006</v>
      </c>
      <c r="H853" t="s">
        <v>4017</v>
      </c>
      <c r="I853" t="s">
        <v>4024</v>
      </c>
      <c r="J853" t="s">
        <v>4028</v>
      </c>
      <c r="K853" s="2">
        <v>45067</v>
      </c>
      <c r="L853" s="2">
        <v>45069</v>
      </c>
      <c r="N853">
        <v>48</v>
      </c>
      <c r="O853">
        <f>IF(Tickets[[#This Row],[Ticket Priority]]="Critical",24,
IF(Tickets[[#This Row],[Ticket Priority]]="High",48,
IF(Tickets[[#This Row],[Ticket Priority]]="Medium",120,168)))</f>
        <v>168</v>
      </c>
      <c r="P853" t="str">
        <f>IF(Tickets[[#This Row],[Resolution Duration Hours]] &lt;= Tickets[[#This Row],[SLA_Target_Hours]], "Yes", "No")</f>
        <v>Yes</v>
      </c>
    </row>
    <row r="854" spans="1:16" hidden="1">
      <c r="A854">
        <v>853</v>
      </c>
      <c r="B854" t="s">
        <v>861</v>
      </c>
      <c r="C854" t="s">
        <v>2835</v>
      </c>
      <c r="D854" t="s">
        <v>3992</v>
      </c>
      <c r="E854" s="1">
        <v>43924</v>
      </c>
      <c r="F854" t="s">
        <v>4002</v>
      </c>
      <c r="G854" t="s">
        <v>4007</v>
      </c>
      <c r="H854" t="s">
        <v>4018</v>
      </c>
      <c r="I854" t="s">
        <v>4023</v>
      </c>
      <c r="J854" t="s">
        <v>4026</v>
      </c>
      <c r="K854" s="2">
        <v>44166</v>
      </c>
      <c r="L854" s="2">
        <v>44166</v>
      </c>
      <c r="M854">
        <v>5</v>
      </c>
      <c r="N854">
        <v>0</v>
      </c>
      <c r="O854">
        <f>IF(Tickets[[#This Row],[Ticket Priority]]="Critical",24,
IF(Tickets[[#This Row],[Ticket Priority]]="High",48,
IF(Tickets[[#This Row],[Ticket Priority]]="Medium",120,168)))</f>
        <v>120</v>
      </c>
      <c r="P854" t="str">
        <f>IF(Tickets[[#This Row],[Resolution Duration Hours]] &lt;= Tickets[[#This Row],[SLA_Target_Hours]], "Yes", "No")</f>
        <v>Yes</v>
      </c>
    </row>
    <row r="855" spans="1:16" hidden="1">
      <c r="A855">
        <v>854</v>
      </c>
      <c r="B855" t="s">
        <v>862</v>
      </c>
      <c r="C855" t="s">
        <v>2836</v>
      </c>
      <c r="D855" t="s">
        <v>3996</v>
      </c>
      <c r="E855" s="1">
        <v>44468</v>
      </c>
      <c r="F855" t="s">
        <v>4000</v>
      </c>
      <c r="G855" t="s">
        <v>4015</v>
      </c>
      <c r="H855" t="s">
        <v>4017</v>
      </c>
      <c r="I855" t="s">
        <v>4023</v>
      </c>
      <c r="J855" t="s">
        <v>4028</v>
      </c>
      <c r="K855" s="2">
        <v>44780</v>
      </c>
      <c r="L855" s="2">
        <v>44781</v>
      </c>
      <c r="N855">
        <v>24</v>
      </c>
      <c r="O855">
        <f>IF(Tickets[[#This Row],[Ticket Priority]]="Critical",24,
IF(Tickets[[#This Row],[Ticket Priority]]="High",48,
IF(Tickets[[#This Row],[Ticket Priority]]="Medium",120,168)))</f>
        <v>120</v>
      </c>
      <c r="P855" t="str">
        <f>IF(Tickets[[#This Row],[Resolution Duration Hours]] &lt;= Tickets[[#This Row],[SLA_Target_Hours]], "Yes", "No")</f>
        <v>Yes</v>
      </c>
    </row>
    <row r="856" spans="1:16" hidden="1">
      <c r="A856">
        <v>855</v>
      </c>
      <c r="B856" t="s">
        <v>863</v>
      </c>
      <c r="C856" t="s">
        <v>2837</v>
      </c>
      <c r="D856" t="s">
        <v>3985</v>
      </c>
      <c r="E856" s="1">
        <v>44834</v>
      </c>
      <c r="F856" t="s">
        <v>3998</v>
      </c>
      <c r="G856" t="s">
        <v>4013</v>
      </c>
      <c r="H856" t="s">
        <v>4020</v>
      </c>
      <c r="I856" t="s">
        <v>4024</v>
      </c>
      <c r="J856" t="s">
        <v>4026</v>
      </c>
      <c r="K856" s="2">
        <v>44847</v>
      </c>
      <c r="L856" s="2">
        <v>44853</v>
      </c>
      <c r="N856">
        <v>144</v>
      </c>
      <c r="O856">
        <f>IF(Tickets[[#This Row],[Ticket Priority]]="Critical",24,
IF(Tickets[[#This Row],[Ticket Priority]]="High",48,
IF(Tickets[[#This Row],[Ticket Priority]]="Medium",120,168)))</f>
        <v>168</v>
      </c>
      <c r="P856" t="str">
        <f>IF(Tickets[[#This Row],[Resolution Duration Hours]] &lt;= Tickets[[#This Row],[SLA_Target_Hours]], "Yes", "No")</f>
        <v>Yes</v>
      </c>
    </row>
    <row r="857" spans="1:16" hidden="1">
      <c r="A857">
        <v>856</v>
      </c>
      <c r="B857" t="s">
        <v>864</v>
      </c>
      <c r="C857" t="s">
        <v>2838</v>
      </c>
      <c r="D857" t="s">
        <v>3992</v>
      </c>
      <c r="E857" s="1">
        <v>45069</v>
      </c>
      <c r="F857" t="s">
        <v>3999</v>
      </c>
      <c r="G857" t="s">
        <v>4016</v>
      </c>
      <c r="H857" t="s">
        <v>4020</v>
      </c>
      <c r="I857" t="s">
        <v>4021</v>
      </c>
      <c r="J857" t="s">
        <v>4026</v>
      </c>
      <c r="K857" s="2">
        <v>45332</v>
      </c>
      <c r="L857" s="2">
        <v>45333</v>
      </c>
      <c r="N857">
        <v>24</v>
      </c>
      <c r="O857">
        <f>IF(Tickets[[#This Row],[Ticket Priority]]="Critical",24,
IF(Tickets[[#This Row],[Ticket Priority]]="High",48,
IF(Tickets[[#This Row],[Ticket Priority]]="Medium",120,168)))</f>
        <v>48</v>
      </c>
      <c r="P857" t="str">
        <f>IF(Tickets[[#This Row],[Resolution Duration Hours]] &lt;= Tickets[[#This Row],[SLA_Target_Hours]], "Yes", "No")</f>
        <v>Yes</v>
      </c>
    </row>
    <row r="858" spans="1:16" hidden="1">
      <c r="A858">
        <v>857</v>
      </c>
      <c r="B858" t="s">
        <v>865</v>
      </c>
      <c r="C858" t="s">
        <v>2839</v>
      </c>
      <c r="D858" t="s">
        <v>3994</v>
      </c>
      <c r="E858" s="1">
        <v>44078</v>
      </c>
      <c r="F858" t="s">
        <v>4000</v>
      </c>
      <c r="G858" t="s">
        <v>4013</v>
      </c>
      <c r="H858" t="s">
        <v>4020</v>
      </c>
      <c r="I858" t="s">
        <v>4021</v>
      </c>
      <c r="J858" t="s">
        <v>4026</v>
      </c>
      <c r="K858" s="2">
        <v>44244</v>
      </c>
      <c r="L858" s="2">
        <v>44244</v>
      </c>
      <c r="N858">
        <v>0</v>
      </c>
      <c r="O858">
        <f>IF(Tickets[[#This Row],[Ticket Priority]]="Critical",24,
IF(Tickets[[#This Row],[Ticket Priority]]="High",48,
IF(Tickets[[#This Row],[Ticket Priority]]="Medium",120,168)))</f>
        <v>48</v>
      </c>
      <c r="P858" t="str">
        <f>IF(Tickets[[#This Row],[Resolution Duration Hours]] &lt;= Tickets[[#This Row],[SLA_Target_Hours]], "Yes", "No")</f>
        <v>Yes</v>
      </c>
    </row>
    <row r="859" spans="1:16" hidden="1">
      <c r="A859">
        <v>858</v>
      </c>
      <c r="B859" t="s">
        <v>866</v>
      </c>
      <c r="C859" t="s">
        <v>2840</v>
      </c>
      <c r="D859" t="s">
        <v>3979</v>
      </c>
      <c r="E859" s="1">
        <v>44585</v>
      </c>
      <c r="F859" t="s">
        <v>3998</v>
      </c>
      <c r="G859" t="s">
        <v>4010</v>
      </c>
      <c r="H859" t="s">
        <v>4018</v>
      </c>
      <c r="I859" t="s">
        <v>4021</v>
      </c>
      <c r="J859" t="s">
        <v>4027</v>
      </c>
      <c r="K859" s="2">
        <v>44782</v>
      </c>
      <c r="L859" s="2">
        <v>44784</v>
      </c>
      <c r="M859">
        <v>5</v>
      </c>
      <c r="N859">
        <v>48</v>
      </c>
      <c r="O859">
        <f>IF(Tickets[[#This Row],[Ticket Priority]]="Critical",24,
IF(Tickets[[#This Row],[Ticket Priority]]="High",48,
IF(Tickets[[#This Row],[Ticket Priority]]="Medium",120,168)))</f>
        <v>48</v>
      </c>
      <c r="P859" t="str">
        <f>IF(Tickets[[#This Row],[Resolution Duration Hours]] &lt;= Tickets[[#This Row],[SLA_Target_Hours]], "Yes", "No")</f>
        <v>Yes</v>
      </c>
    </row>
    <row r="860" spans="1:16" hidden="1">
      <c r="A860">
        <v>859</v>
      </c>
      <c r="B860" t="s">
        <v>867</v>
      </c>
      <c r="C860" t="s">
        <v>2841</v>
      </c>
      <c r="D860" t="s">
        <v>3988</v>
      </c>
      <c r="E860" s="1">
        <v>44874</v>
      </c>
      <c r="F860" t="s">
        <v>4000</v>
      </c>
      <c r="G860" t="s">
        <v>4013</v>
      </c>
      <c r="H860" t="s">
        <v>4020</v>
      </c>
      <c r="I860" t="s">
        <v>4024</v>
      </c>
      <c r="J860" t="s">
        <v>4027</v>
      </c>
      <c r="K860" s="2">
        <v>45028</v>
      </c>
      <c r="L860" s="2">
        <v>45033</v>
      </c>
      <c r="N860">
        <v>120</v>
      </c>
      <c r="O860">
        <f>IF(Tickets[[#This Row],[Ticket Priority]]="Critical",24,
IF(Tickets[[#This Row],[Ticket Priority]]="High",48,
IF(Tickets[[#This Row],[Ticket Priority]]="Medium",120,168)))</f>
        <v>168</v>
      </c>
      <c r="P860" t="str">
        <f>IF(Tickets[[#This Row],[Resolution Duration Hours]] &lt;= Tickets[[#This Row],[SLA_Target_Hours]], "Yes", "No")</f>
        <v>Yes</v>
      </c>
    </row>
    <row r="861" spans="1:16" hidden="1">
      <c r="A861">
        <v>860</v>
      </c>
      <c r="B861" t="s">
        <v>868</v>
      </c>
      <c r="C861" t="s">
        <v>2842</v>
      </c>
      <c r="D861" t="s">
        <v>3991</v>
      </c>
      <c r="E861" s="1">
        <v>44018</v>
      </c>
      <c r="F861" t="s">
        <v>4001</v>
      </c>
      <c r="G861" t="s">
        <v>4014</v>
      </c>
      <c r="H861" t="s">
        <v>4018</v>
      </c>
      <c r="I861" t="s">
        <v>4021</v>
      </c>
      <c r="J861" t="s">
        <v>4027</v>
      </c>
      <c r="K861" s="2">
        <v>44141</v>
      </c>
      <c r="L861" s="2">
        <v>44141</v>
      </c>
      <c r="N861">
        <v>0</v>
      </c>
      <c r="O861">
        <f>IF(Tickets[[#This Row],[Ticket Priority]]="Critical",24,
IF(Tickets[[#This Row],[Ticket Priority]]="High",48,
IF(Tickets[[#This Row],[Ticket Priority]]="Medium",120,168)))</f>
        <v>48</v>
      </c>
      <c r="P861" t="str">
        <f>IF(Tickets[[#This Row],[Resolution Duration Hours]] &lt;= Tickets[[#This Row],[SLA_Target_Hours]], "Yes", "No")</f>
        <v>Yes</v>
      </c>
    </row>
    <row r="862" spans="1:16" hidden="1">
      <c r="A862">
        <v>861</v>
      </c>
      <c r="B862" t="s">
        <v>869</v>
      </c>
      <c r="C862" t="s">
        <v>2843</v>
      </c>
      <c r="D862" t="s">
        <v>3983</v>
      </c>
      <c r="E862" s="1">
        <v>44020</v>
      </c>
      <c r="F862" t="s">
        <v>4002</v>
      </c>
      <c r="G862" t="s">
        <v>4006</v>
      </c>
      <c r="H862" t="s">
        <v>4020</v>
      </c>
      <c r="I862" t="s">
        <v>4021</v>
      </c>
      <c r="J862" t="s">
        <v>4026</v>
      </c>
      <c r="K862" s="2">
        <v>44216</v>
      </c>
      <c r="L862" s="2">
        <v>44217</v>
      </c>
      <c r="N862">
        <v>24</v>
      </c>
      <c r="O862">
        <f>IF(Tickets[[#This Row],[Ticket Priority]]="Critical",24,
IF(Tickets[[#This Row],[Ticket Priority]]="High",48,
IF(Tickets[[#This Row],[Ticket Priority]]="Medium",120,168)))</f>
        <v>48</v>
      </c>
      <c r="P862" t="str">
        <f>IF(Tickets[[#This Row],[Resolution Duration Hours]] &lt;= Tickets[[#This Row],[SLA_Target_Hours]], "Yes", "No")</f>
        <v>Yes</v>
      </c>
    </row>
    <row r="863" spans="1:16" hidden="1">
      <c r="A863">
        <v>862</v>
      </c>
      <c r="B863" t="s">
        <v>870</v>
      </c>
      <c r="C863" t="s">
        <v>2844</v>
      </c>
      <c r="D863" t="s">
        <v>3991</v>
      </c>
      <c r="E863" s="1">
        <v>44487</v>
      </c>
      <c r="F863" t="s">
        <v>3998</v>
      </c>
      <c r="G863" t="s">
        <v>4003</v>
      </c>
      <c r="H863" t="s">
        <v>4019</v>
      </c>
      <c r="I863" t="s">
        <v>4021</v>
      </c>
      <c r="J863" t="s">
        <v>4025</v>
      </c>
      <c r="K863" s="2">
        <v>44811</v>
      </c>
      <c r="L863" s="2">
        <v>44813</v>
      </c>
      <c r="M863">
        <v>3</v>
      </c>
      <c r="N863">
        <v>48</v>
      </c>
      <c r="O863">
        <f>IF(Tickets[[#This Row],[Ticket Priority]]="Critical",24,
IF(Tickets[[#This Row],[Ticket Priority]]="High",48,
IF(Tickets[[#This Row],[Ticket Priority]]="Medium",120,168)))</f>
        <v>48</v>
      </c>
      <c r="P863" t="str">
        <f>IF(Tickets[[#This Row],[Resolution Duration Hours]] &lt;= Tickets[[#This Row],[SLA_Target_Hours]], "Yes", "No")</f>
        <v>Yes</v>
      </c>
    </row>
    <row r="864" spans="1:16" hidden="1">
      <c r="A864">
        <v>863</v>
      </c>
      <c r="B864" t="s">
        <v>871</v>
      </c>
      <c r="C864" t="s">
        <v>2845</v>
      </c>
      <c r="D864" t="s">
        <v>3996</v>
      </c>
      <c r="E864" s="1">
        <v>44592</v>
      </c>
      <c r="F864" t="s">
        <v>3999</v>
      </c>
      <c r="G864" t="s">
        <v>4003</v>
      </c>
      <c r="H864" t="s">
        <v>4018</v>
      </c>
      <c r="I864" t="s">
        <v>4024</v>
      </c>
      <c r="J864" t="s">
        <v>4026</v>
      </c>
      <c r="K864" s="2">
        <v>44787</v>
      </c>
      <c r="L864" s="2">
        <v>44794</v>
      </c>
      <c r="M864">
        <v>4</v>
      </c>
      <c r="N864">
        <v>168</v>
      </c>
      <c r="O864">
        <f>IF(Tickets[[#This Row],[Ticket Priority]]="Critical",24,
IF(Tickets[[#This Row],[Ticket Priority]]="High",48,
IF(Tickets[[#This Row],[Ticket Priority]]="Medium",120,168)))</f>
        <v>168</v>
      </c>
      <c r="P864" t="str">
        <f>IF(Tickets[[#This Row],[Resolution Duration Hours]] &lt;= Tickets[[#This Row],[SLA_Target_Hours]], "Yes", "No")</f>
        <v>Yes</v>
      </c>
    </row>
    <row r="865" spans="1:16">
      <c r="A865">
        <v>1677</v>
      </c>
      <c r="B865" t="s">
        <v>1672</v>
      </c>
      <c r="C865" t="s">
        <v>3656</v>
      </c>
      <c r="D865" t="s">
        <v>3989</v>
      </c>
      <c r="E865" s="1">
        <v>44117</v>
      </c>
      <c r="F865" t="s">
        <v>4001</v>
      </c>
      <c r="G865" t="s">
        <v>4014</v>
      </c>
      <c r="H865" t="s">
        <v>4018</v>
      </c>
      <c r="I865" t="s">
        <v>4024</v>
      </c>
      <c r="J865" t="s">
        <v>4028</v>
      </c>
      <c r="K865" s="2">
        <v>44119</v>
      </c>
      <c r="L865" s="2">
        <v>44128</v>
      </c>
      <c r="M865">
        <v>4</v>
      </c>
      <c r="N865">
        <v>216</v>
      </c>
      <c r="O865">
        <f>IF(Tickets[[#This Row],[Ticket Priority]]="Critical",24,
IF(Tickets[[#This Row],[Ticket Priority]]="High",48,
IF(Tickets[[#This Row],[Ticket Priority]]="Medium",120,168)))</f>
        <v>168</v>
      </c>
      <c r="P865" t="str">
        <f>IF(Tickets[[#This Row],[Resolution Duration Hours]] &lt;= Tickets[[#This Row],[SLA_Target_Hours]], "Yes", "No")</f>
        <v>No</v>
      </c>
    </row>
    <row r="866" spans="1:16" hidden="1">
      <c r="A866">
        <v>865</v>
      </c>
      <c r="B866" t="s">
        <v>873</v>
      </c>
      <c r="C866" t="s">
        <v>2847</v>
      </c>
      <c r="D866" t="s">
        <v>3987</v>
      </c>
      <c r="E866" s="1">
        <v>44859</v>
      </c>
      <c r="F866" t="s">
        <v>4002</v>
      </c>
      <c r="G866" t="s">
        <v>4004</v>
      </c>
      <c r="H866" t="s">
        <v>4018</v>
      </c>
      <c r="I866" t="s">
        <v>4023</v>
      </c>
      <c r="J866" t="s">
        <v>4026</v>
      </c>
      <c r="K866" s="2">
        <v>45018</v>
      </c>
      <c r="L866" s="2">
        <v>45022</v>
      </c>
      <c r="M866">
        <v>3</v>
      </c>
      <c r="N866">
        <v>96</v>
      </c>
      <c r="O866">
        <f>IF(Tickets[[#This Row],[Ticket Priority]]="Critical",24,
IF(Tickets[[#This Row],[Ticket Priority]]="High",48,
IF(Tickets[[#This Row],[Ticket Priority]]="Medium",120,168)))</f>
        <v>120</v>
      </c>
      <c r="P866" t="str">
        <f>IF(Tickets[[#This Row],[Resolution Duration Hours]] &lt;= Tickets[[#This Row],[SLA_Target_Hours]], "Yes", "No")</f>
        <v>Yes</v>
      </c>
    </row>
    <row r="867" spans="1:16" hidden="1">
      <c r="A867">
        <v>866</v>
      </c>
      <c r="B867" t="s">
        <v>874</v>
      </c>
      <c r="C867" t="s">
        <v>2848</v>
      </c>
      <c r="D867" t="s">
        <v>3980</v>
      </c>
      <c r="E867" s="1">
        <v>44919</v>
      </c>
      <c r="F867" t="s">
        <v>4002</v>
      </c>
      <c r="G867" t="s">
        <v>4011</v>
      </c>
      <c r="H867" t="s">
        <v>4020</v>
      </c>
      <c r="I867" t="s">
        <v>4022</v>
      </c>
      <c r="J867" t="s">
        <v>4026</v>
      </c>
      <c r="K867" s="2">
        <v>45032</v>
      </c>
      <c r="L867" s="2">
        <v>45033</v>
      </c>
      <c r="N867">
        <v>24</v>
      </c>
      <c r="O867">
        <f>IF(Tickets[[#This Row],[Ticket Priority]]="Critical",24,
IF(Tickets[[#This Row],[Ticket Priority]]="High",48,
IF(Tickets[[#This Row],[Ticket Priority]]="Medium",120,168)))</f>
        <v>24</v>
      </c>
      <c r="P867" t="str">
        <f>IF(Tickets[[#This Row],[Resolution Duration Hours]] &lt;= Tickets[[#This Row],[SLA_Target_Hours]], "Yes", "No")</f>
        <v>Yes</v>
      </c>
    </row>
    <row r="868" spans="1:16" hidden="1">
      <c r="A868">
        <v>867</v>
      </c>
      <c r="B868" t="s">
        <v>875</v>
      </c>
      <c r="C868" t="s">
        <v>2849</v>
      </c>
      <c r="D868" t="s">
        <v>3984</v>
      </c>
      <c r="E868" s="1">
        <v>44227</v>
      </c>
      <c r="F868" t="s">
        <v>3999</v>
      </c>
      <c r="G868" t="s">
        <v>4004</v>
      </c>
      <c r="H868" t="s">
        <v>4018</v>
      </c>
      <c r="I868" t="s">
        <v>4021</v>
      </c>
      <c r="J868" t="s">
        <v>4028</v>
      </c>
      <c r="K868" s="2">
        <v>44302</v>
      </c>
      <c r="L868" s="2">
        <v>44303</v>
      </c>
      <c r="N868">
        <v>24</v>
      </c>
      <c r="O868">
        <f>IF(Tickets[[#This Row],[Ticket Priority]]="Critical",24,
IF(Tickets[[#This Row],[Ticket Priority]]="High",48,
IF(Tickets[[#This Row],[Ticket Priority]]="Medium",120,168)))</f>
        <v>48</v>
      </c>
      <c r="P868" t="str">
        <f>IF(Tickets[[#This Row],[Resolution Duration Hours]] &lt;= Tickets[[#This Row],[SLA_Target_Hours]], "Yes", "No")</f>
        <v>Yes</v>
      </c>
    </row>
    <row r="869" spans="1:16" hidden="1">
      <c r="A869">
        <v>868</v>
      </c>
      <c r="B869" t="s">
        <v>876</v>
      </c>
      <c r="C869" t="s">
        <v>2850</v>
      </c>
      <c r="D869" t="s">
        <v>3979</v>
      </c>
      <c r="E869" s="1">
        <v>44323</v>
      </c>
      <c r="F869" t="s">
        <v>4000</v>
      </c>
      <c r="G869" t="s">
        <v>4010</v>
      </c>
      <c r="H869" t="s">
        <v>4018</v>
      </c>
      <c r="I869" t="s">
        <v>4024</v>
      </c>
      <c r="J869" t="s">
        <v>4025</v>
      </c>
      <c r="K869" s="2">
        <v>44464</v>
      </c>
      <c r="L869" s="2">
        <v>44470</v>
      </c>
      <c r="N869">
        <v>144</v>
      </c>
      <c r="O869">
        <f>IF(Tickets[[#This Row],[Ticket Priority]]="Critical",24,
IF(Tickets[[#This Row],[Ticket Priority]]="High",48,
IF(Tickets[[#This Row],[Ticket Priority]]="Medium",120,168)))</f>
        <v>168</v>
      </c>
      <c r="P869" t="str">
        <f>IF(Tickets[[#This Row],[Resolution Duration Hours]] &lt;= Tickets[[#This Row],[SLA_Target_Hours]], "Yes", "No")</f>
        <v>Yes</v>
      </c>
    </row>
    <row r="870" spans="1:16" hidden="1">
      <c r="A870">
        <v>869</v>
      </c>
      <c r="B870" t="s">
        <v>877</v>
      </c>
      <c r="C870" t="s">
        <v>2851</v>
      </c>
      <c r="D870" t="s">
        <v>3983</v>
      </c>
      <c r="E870" s="1">
        <v>44562</v>
      </c>
      <c r="F870" t="s">
        <v>4002</v>
      </c>
      <c r="G870" t="s">
        <v>4016</v>
      </c>
      <c r="H870" t="s">
        <v>4018</v>
      </c>
      <c r="I870" t="s">
        <v>4021</v>
      </c>
      <c r="J870" t="s">
        <v>4026</v>
      </c>
      <c r="K870" s="2">
        <v>44640</v>
      </c>
      <c r="L870" s="2">
        <v>44641</v>
      </c>
      <c r="M870">
        <v>4</v>
      </c>
      <c r="N870">
        <v>24</v>
      </c>
      <c r="O870">
        <f>IF(Tickets[[#This Row],[Ticket Priority]]="Critical",24,
IF(Tickets[[#This Row],[Ticket Priority]]="High",48,
IF(Tickets[[#This Row],[Ticket Priority]]="Medium",120,168)))</f>
        <v>48</v>
      </c>
      <c r="P870" t="str">
        <f>IF(Tickets[[#This Row],[Resolution Duration Hours]] &lt;= Tickets[[#This Row],[SLA_Target_Hours]], "Yes", "No")</f>
        <v>Yes</v>
      </c>
    </row>
    <row r="871" spans="1:16" hidden="1">
      <c r="A871">
        <v>870</v>
      </c>
      <c r="B871" t="s">
        <v>878</v>
      </c>
      <c r="C871" t="s">
        <v>2852</v>
      </c>
      <c r="D871" t="s">
        <v>3996</v>
      </c>
      <c r="E871" s="1">
        <v>44916</v>
      </c>
      <c r="F871" t="s">
        <v>4000</v>
      </c>
      <c r="G871" t="s">
        <v>4007</v>
      </c>
      <c r="H871" t="s">
        <v>4018</v>
      </c>
      <c r="I871" t="s">
        <v>4024</v>
      </c>
      <c r="J871" t="s">
        <v>4026</v>
      </c>
      <c r="K871" s="2">
        <v>45070</v>
      </c>
      <c r="L871" s="2">
        <v>45074</v>
      </c>
      <c r="M871">
        <v>4</v>
      </c>
      <c r="N871">
        <v>96</v>
      </c>
      <c r="O871">
        <f>IF(Tickets[[#This Row],[Ticket Priority]]="Critical",24,
IF(Tickets[[#This Row],[Ticket Priority]]="High",48,
IF(Tickets[[#This Row],[Ticket Priority]]="Medium",120,168)))</f>
        <v>168</v>
      </c>
      <c r="P871" t="str">
        <f>IF(Tickets[[#This Row],[Resolution Duration Hours]] &lt;= Tickets[[#This Row],[SLA_Target_Hours]], "Yes", "No")</f>
        <v>Yes</v>
      </c>
    </row>
    <row r="872" spans="1:16">
      <c r="A872">
        <v>1699</v>
      </c>
      <c r="B872" t="s">
        <v>1694</v>
      </c>
      <c r="C872" t="s">
        <v>3678</v>
      </c>
      <c r="D872" t="s">
        <v>3989</v>
      </c>
      <c r="E872" s="1">
        <v>44986</v>
      </c>
      <c r="F872" t="s">
        <v>4000</v>
      </c>
      <c r="G872" t="s">
        <v>4000</v>
      </c>
      <c r="H872" t="s">
        <v>4018</v>
      </c>
      <c r="I872" t="s">
        <v>4024</v>
      </c>
      <c r="J872" t="s">
        <v>4026</v>
      </c>
      <c r="K872" s="2">
        <v>45296</v>
      </c>
      <c r="L872" s="2">
        <v>45305</v>
      </c>
      <c r="M872">
        <v>4</v>
      </c>
      <c r="N872">
        <v>216</v>
      </c>
      <c r="O872">
        <f>IF(Tickets[[#This Row],[Ticket Priority]]="Critical",24,
IF(Tickets[[#This Row],[Ticket Priority]]="High",48,
IF(Tickets[[#This Row],[Ticket Priority]]="Medium",120,168)))</f>
        <v>168</v>
      </c>
      <c r="P872" t="str">
        <f>IF(Tickets[[#This Row],[Resolution Duration Hours]] &lt;= Tickets[[#This Row],[SLA_Target_Hours]], "Yes", "No")</f>
        <v>No</v>
      </c>
    </row>
    <row r="873" spans="1:16" hidden="1">
      <c r="A873">
        <v>872</v>
      </c>
      <c r="B873" t="s">
        <v>880</v>
      </c>
      <c r="C873" t="s">
        <v>2854</v>
      </c>
      <c r="D873" t="s">
        <v>3980</v>
      </c>
      <c r="E873" s="1">
        <v>44725</v>
      </c>
      <c r="F873" t="s">
        <v>3999</v>
      </c>
      <c r="G873" t="s">
        <v>4006</v>
      </c>
      <c r="H873" t="s">
        <v>4018</v>
      </c>
      <c r="I873" t="s">
        <v>4024</v>
      </c>
      <c r="J873" t="s">
        <v>4028</v>
      </c>
      <c r="K873" s="2">
        <v>44752</v>
      </c>
      <c r="L873" s="2">
        <v>44755</v>
      </c>
      <c r="M873">
        <v>3</v>
      </c>
      <c r="N873">
        <v>72</v>
      </c>
      <c r="O873">
        <f>IF(Tickets[[#This Row],[Ticket Priority]]="Critical",24,
IF(Tickets[[#This Row],[Ticket Priority]]="High",48,
IF(Tickets[[#This Row],[Ticket Priority]]="Medium",120,168)))</f>
        <v>168</v>
      </c>
      <c r="P873" t="str">
        <f>IF(Tickets[[#This Row],[Resolution Duration Hours]] &lt;= Tickets[[#This Row],[SLA_Target_Hours]], "Yes", "No")</f>
        <v>Yes</v>
      </c>
    </row>
    <row r="874" spans="1:16" hidden="1">
      <c r="A874">
        <v>873</v>
      </c>
      <c r="B874" t="s">
        <v>881</v>
      </c>
      <c r="C874" t="s">
        <v>2855</v>
      </c>
      <c r="D874" t="s">
        <v>3989</v>
      </c>
      <c r="E874" s="1">
        <v>44532</v>
      </c>
      <c r="F874" t="s">
        <v>4002</v>
      </c>
      <c r="G874" t="s">
        <v>4000</v>
      </c>
      <c r="H874" t="s">
        <v>4018</v>
      </c>
      <c r="I874" t="s">
        <v>4022</v>
      </c>
      <c r="J874" t="s">
        <v>4027</v>
      </c>
      <c r="K874" s="2">
        <v>44632</v>
      </c>
      <c r="L874" s="2">
        <v>44633</v>
      </c>
      <c r="N874">
        <v>24</v>
      </c>
      <c r="O874">
        <f>IF(Tickets[[#This Row],[Ticket Priority]]="Critical",24,
IF(Tickets[[#This Row],[Ticket Priority]]="High",48,
IF(Tickets[[#This Row],[Ticket Priority]]="Medium",120,168)))</f>
        <v>24</v>
      </c>
      <c r="P874" t="str">
        <f>IF(Tickets[[#This Row],[Resolution Duration Hours]] &lt;= Tickets[[#This Row],[SLA_Target_Hours]], "Yes", "No")</f>
        <v>Yes</v>
      </c>
    </row>
    <row r="875" spans="1:16" hidden="1">
      <c r="A875">
        <v>874</v>
      </c>
      <c r="B875" t="s">
        <v>882</v>
      </c>
      <c r="C875" t="s">
        <v>2856</v>
      </c>
      <c r="D875" t="s">
        <v>3995</v>
      </c>
      <c r="E875" s="1">
        <v>44402</v>
      </c>
      <c r="F875" t="s">
        <v>3998</v>
      </c>
      <c r="G875" t="s">
        <v>4013</v>
      </c>
      <c r="H875" t="s">
        <v>4018</v>
      </c>
      <c r="I875" t="s">
        <v>4024</v>
      </c>
      <c r="J875" t="s">
        <v>4026</v>
      </c>
      <c r="K875" s="2">
        <v>44749</v>
      </c>
      <c r="L875" s="2">
        <v>44755</v>
      </c>
      <c r="M875">
        <v>3</v>
      </c>
      <c r="N875">
        <v>144</v>
      </c>
      <c r="O875">
        <f>IF(Tickets[[#This Row],[Ticket Priority]]="Critical",24,
IF(Tickets[[#This Row],[Ticket Priority]]="High",48,
IF(Tickets[[#This Row],[Ticket Priority]]="Medium",120,168)))</f>
        <v>168</v>
      </c>
      <c r="P875" t="str">
        <f>IF(Tickets[[#This Row],[Resolution Duration Hours]] &lt;= Tickets[[#This Row],[SLA_Target_Hours]], "Yes", "No")</f>
        <v>Yes</v>
      </c>
    </row>
    <row r="876" spans="1:16" hidden="1">
      <c r="A876">
        <v>875</v>
      </c>
      <c r="B876" t="s">
        <v>883</v>
      </c>
      <c r="C876" t="s">
        <v>2857</v>
      </c>
      <c r="D876" t="s">
        <v>3995</v>
      </c>
      <c r="E876" s="1">
        <v>44836</v>
      </c>
      <c r="F876" t="s">
        <v>4002</v>
      </c>
      <c r="G876" t="s">
        <v>4013</v>
      </c>
      <c r="H876" t="s">
        <v>4018</v>
      </c>
      <c r="I876" t="s">
        <v>4023</v>
      </c>
      <c r="J876" t="s">
        <v>4028</v>
      </c>
      <c r="K876" s="2">
        <v>44912</v>
      </c>
      <c r="L876" s="2">
        <v>44917</v>
      </c>
      <c r="M876">
        <v>4</v>
      </c>
      <c r="N876">
        <v>120</v>
      </c>
      <c r="O876">
        <f>IF(Tickets[[#This Row],[Ticket Priority]]="Critical",24,
IF(Tickets[[#This Row],[Ticket Priority]]="High",48,
IF(Tickets[[#This Row],[Ticket Priority]]="Medium",120,168)))</f>
        <v>120</v>
      </c>
      <c r="P876" t="str">
        <f>IF(Tickets[[#This Row],[Resolution Duration Hours]] &lt;= Tickets[[#This Row],[SLA_Target_Hours]], "Yes", "No")</f>
        <v>Yes</v>
      </c>
    </row>
    <row r="877" spans="1:16">
      <c r="A877">
        <v>1715</v>
      </c>
      <c r="B877" t="s">
        <v>1710</v>
      </c>
      <c r="C877" t="s">
        <v>3694</v>
      </c>
      <c r="D877" t="s">
        <v>3995</v>
      </c>
      <c r="E877" s="1">
        <v>44719</v>
      </c>
      <c r="F877" t="s">
        <v>3999</v>
      </c>
      <c r="G877" t="s">
        <v>4009</v>
      </c>
      <c r="H877" t="s">
        <v>4018</v>
      </c>
      <c r="I877" t="s">
        <v>4024</v>
      </c>
      <c r="J877" t="s">
        <v>4028</v>
      </c>
      <c r="K877" s="2">
        <v>44961</v>
      </c>
      <c r="L877" s="2">
        <v>44970</v>
      </c>
      <c r="M877">
        <v>4</v>
      </c>
      <c r="N877">
        <v>216</v>
      </c>
      <c r="O877">
        <f>IF(Tickets[[#This Row],[Ticket Priority]]="Critical",24,
IF(Tickets[[#This Row],[Ticket Priority]]="High",48,
IF(Tickets[[#This Row],[Ticket Priority]]="Medium",120,168)))</f>
        <v>168</v>
      </c>
      <c r="P877" t="str">
        <f>IF(Tickets[[#This Row],[Resolution Duration Hours]] &lt;= Tickets[[#This Row],[SLA_Target_Hours]], "Yes", "No")</f>
        <v>No</v>
      </c>
    </row>
    <row r="878" spans="1:16" hidden="1">
      <c r="A878">
        <v>877</v>
      </c>
      <c r="B878" t="s">
        <v>885</v>
      </c>
      <c r="C878" t="s">
        <v>2859</v>
      </c>
      <c r="D878" t="s">
        <v>3997</v>
      </c>
      <c r="E878" s="1">
        <v>44013</v>
      </c>
      <c r="F878" t="s">
        <v>4002</v>
      </c>
      <c r="G878" t="s">
        <v>4000</v>
      </c>
      <c r="H878" t="s">
        <v>4018</v>
      </c>
      <c r="I878" t="s">
        <v>4023</v>
      </c>
      <c r="J878" t="s">
        <v>4025</v>
      </c>
      <c r="K878" s="2">
        <v>44128</v>
      </c>
      <c r="L878" s="2">
        <v>44131</v>
      </c>
      <c r="M878">
        <v>5</v>
      </c>
      <c r="N878">
        <v>72</v>
      </c>
      <c r="O878">
        <f>IF(Tickets[[#This Row],[Ticket Priority]]="Critical",24,
IF(Tickets[[#This Row],[Ticket Priority]]="High",48,
IF(Tickets[[#This Row],[Ticket Priority]]="Medium",120,168)))</f>
        <v>120</v>
      </c>
      <c r="P878" t="str">
        <f>IF(Tickets[[#This Row],[Resolution Duration Hours]] &lt;= Tickets[[#This Row],[SLA_Target_Hours]], "Yes", "No")</f>
        <v>Yes</v>
      </c>
    </row>
    <row r="879" spans="1:16" hidden="1">
      <c r="A879">
        <v>878</v>
      </c>
      <c r="B879" t="s">
        <v>886</v>
      </c>
      <c r="C879" t="s">
        <v>2860</v>
      </c>
      <c r="D879" t="s">
        <v>3995</v>
      </c>
      <c r="E879" s="1">
        <v>44179</v>
      </c>
      <c r="F879" t="s">
        <v>4001</v>
      </c>
      <c r="G879" t="s">
        <v>4000</v>
      </c>
      <c r="H879" t="s">
        <v>4020</v>
      </c>
      <c r="I879" t="s">
        <v>4021</v>
      </c>
      <c r="J879" t="s">
        <v>4026</v>
      </c>
      <c r="K879" s="2">
        <v>44331</v>
      </c>
      <c r="L879" s="2">
        <v>44332</v>
      </c>
      <c r="N879">
        <v>24</v>
      </c>
      <c r="O879">
        <f>IF(Tickets[[#This Row],[Ticket Priority]]="Critical",24,
IF(Tickets[[#This Row],[Ticket Priority]]="High",48,
IF(Tickets[[#This Row],[Ticket Priority]]="Medium",120,168)))</f>
        <v>48</v>
      </c>
      <c r="P879" t="str">
        <f>IF(Tickets[[#This Row],[Resolution Duration Hours]] &lt;= Tickets[[#This Row],[SLA_Target_Hours]], "Yes", "No")</f>
        <v>Yes</v>
      </c>
    </row>
    <row r="880" spans="1:16" hidden="1">
      <c r="A880">
        <v>879</v>
      </c>
      <c r="B880" t="s">
        <v>887</v>
      </c>
      <c r="C880" t="s">
        <v>2861</v>
      </c>
      <c r="D880" t="s">
        <v>3991</v>
      </c>
      <c r="E880" s="1">
        <v>44501</v>
      </c>
      <c r="F880" t="s">
        <v>4001</v>
      </c>
      <c r="G880" t="s">
        <v>4008</v>
      </c>
      <c r="H880" t="s">
        <v>4018</v>
      </c>
      <c r="I880" t="s">
        <v>4023</v>
      </c>
      <c r="J880" t="s">
        <v>4025</v>
      </c>
      <c r="K880" s="2">
        <v>44775</v>
      </c>
      <c r="L880" s="2">
        <v>44780</v>
      </c>
      <c r="M880">
        <v>4</v>
      </c>
      <c r="N880">
        <v>120</v>
      </c>
      <c r="O880">
        <f>IF(Tickets[[#This Row],[Ticket Priority]]="Critical",24,
IF(Tickets[[#This Row],[Ticket Priority]]="High",48,
IF(Tickets[[#This Row],[Ticket Priority]]="Medium",120,168)))</f>
        <v>120</v>
      </c>
      <c r="P880" t="str">
        <f>IF(Tickets[[#This Row],[Resolution Duration Hours]] &lt;= Tickets[[#This Row],[SLA_Target_Hours]], "Yes", "No")</f>
        <v>Yes</v>
      </c>
    </row>
    <row r="881" spans="1:16">
      <c r="A881">
        <v>1752</v>
      </c>
      <c r="B881" t="s">
        <v>1745</v>
      </c>
      <c r="C881" t="s">
        <v>3731</v>
      </c>
      <c r="D881" t="s">
        <v>3990</v>
      </c>
      <c r="E881" s="1">
        <v>44385</v>
      </c>
      <c r="F881" t="s">
        <v>4002</v>
      </c>
      <c r="G881" t="s">
        <v>4016</v>
      </c>
      <c r="H881" t="s">
        <v>4018</v>
      </c>
      <c r="I881" t="s">
        <v>4024</v>
      </c>
      <c r="J881" t="s">
        <v>4028</v>
      </c>
      <c r="K881" s="2">
        <v>44409</v>
      </c>
      <c r="L881" s="2">
        <v>44418</v>
      </c>
      <c r="M881">
        <v>4</v>
      </c>
      <c r="N881">
        <v>216</v>
      </c>
      <c r="O881">
        <f>IF(Tickets[[#This Row],[Ticket Priority]]="Critical",24,
IF(Tickets[[#This Row],[Ticket Priority]]="High",48,
IF(Tickets[[#This Row],[Ticket Priority]]="Medium",120,168)))</f>
        <v>168</v>
      </c>
      <c r="P881" t="str">
        <f>IF(Tickets[[#This Row],[Resolution Duration Hours]] &lt;= Tickets[[#This Row],[SLA_Target_Hours]], "Yes", "No")</f>
        <v>No</v>
      </c>
    </row>
    <row r="882" spans="1:16" hidden="1">
      <c r="A882">
        <v>881</v>
      </c>
      <c r="B882" t="s">
        <v>889</v>
      </c>
      <c r="C882" t="s">
        <v>2863</v>
      </c>
      <c r="D882" t="s">
        <v>3991</v>
      </c>
      <c r="E882" s="1">
        <v>44736</v>
      </c>
      <c r="F882" t="s">
        <v>4000</v>
      </c>
      <c r="G882" t="s">
        <v>4013</v>
      </c>
      <c r="H882" t="s">
        <v>4018</v>
      </c>
      <c r="I882" t="s">
        <v>4022</v>
      </c>
      <c r="J882" t="s">
        <v>4028</v>
      </c>
      <c r="K882" s="2">
        <v>44867</v>
      </c>
      <c r="L882" s="2">
        <v>44868</v>
      </c>
      <c r="M882">
        <v>3</v>
      </c>
      <c r="N882">
        <v>24</v>
      </c>
      <c r="O882">
        <f>IF(Tickets[[#This Row],[Ticket Priority]]="Critical",24,
IF(Tickets[[#This Row],[Ticket Priority]]="High",48,
IF(Tickets[[#This Row],[Ticket Priority]]="Medium",120,168)))</f>
        <v>24</v>
      </c>
      <c r="P882" t="str">
        <f>IF(Tickets[[#This Row],[Resolution Duration Hours]] &lt;= Tickets[[#This Row],[SLA_Target_Hours]], "Yes", "No")</f>
        <v>Yes</v>
      </c>
    </row>
    <row r="883" spans="1:16" hidden="1">
      <c r="A883">
        <v>882</v>
      </c>
      <c r="B883" t="s">
        <v>890</v>
      </c>
      <c r="C883" t="s">
        <v>2864</v>
      </c>
      <c r="D883" t="s">
        <v>3986</v>
      </c>
      <c r="E883" s="1">
        <v>44897</v>
      </c>
      <c r="F883" t="s">
        <v>3999</v>
      </c>
      <c r="G883" t="s">
        <v>4004</v>
      </c>
      <c r="H883" t="s">
        <v>4018</v>
      </c>
      <c r="I883" t="s">
        <v>4023</v>
      </c>
      <c r="J883" t="s">
        <v>4028</v>
      </c>
      <c r="K883" s="2">
        <v>44920</v>
      </c>
      <c r="L883" s="2">
        <v>44924</v>
      </c>
      <c r="N883">
        <v>96</v>
      </c>
      <c r="O883">
        <f>IF(Tickets[[#This Row],[Ticket Priority]]="Critical",24,
IF(Tickets[[#This Row],[Ticket Priority]]="High",48,
IF(Tickets[[#This Row],[Ticket Priority]]="Medium",120,168)))</f>
        <v>120</v>
      </c>
      <c r="P883" t="str">
        <f>IF(Tickets[[#This Row],[Resolution Duration Hours]] &lt;= Tickets[[#This Row],[SLA_Target_Hours]], "Yes", "No")</f>
        <v>Yes</v>
      </c>
    </row>
    <row r="884" spans="1:16" hidden="1">
      <c r="A884">
        <v>883</v>
      </c>
      <c r="B884" t="s">
        <v>891</v>
      </c>
      <c r="C884" t="s">
        <v>2865</v>
      </c>
      <c r="D884" t="s">
        <v>3981</v>
      </c>
      <c r="E884" s="1">
        <v>44348</v>
      </c>
      <c r="F884" t="s">
        <v>3999</v>
      </c>
      <c r="G884" t="s">
        <v>4016</v>
      </c>
      <c r="H884" t="s">
        <v>4018</v>
      </c>
      <c r="I884" t="s">
        <v>4021</v>
      </c>
      <c r="J884" t="s">
        <v>4026</v>
      </c>
      <c r="K884" s="2">
        <v>44658</v>
      </c>
      <c r="L884" s="2">
        <v>44659</v>
      </c>
      <c r="M884">
        <v>5</v>
      </c>
      <c r="N884">
        <v>24</v>
      </c>
      <c r="O884">
        <f>IF(Tickets[[#This Row],[Ticket Priority]]="Critical",24,
IF(Tickets[[#This Row],[Ticket Priority]]="High",48,
IF(Tickets[[#This Row],[Ticket Priority]]="Medium",120,168)))</f>
        <v>48</v>
      </c>
      <c r="P884" t="str">
        <f>IF(Tickets[[#This Row],[Resolution Duration Hours]] &lt;= Tickets[[#This Row],[SLA_Target_Hours]], "Yes", "No")</f>
        <v>Yes</v>
      </c>
    </row>
    <row r="885" spans="1:16" hidden="1">
      <c r="A885">
        <v>884</v>
      </c>
      <c r="B885" t="s">
        <v>892</v>
      </c>
      <c r="C885" t="s">
        <v>2866</v>
      </c>
      <c r="D885" t="s">
        <v>3985</v>
      </c>
      <c r="E885" s="1">
        <v>44300</v>
      </c>
      <c r="F885" t="s">
        <v>3999</v>
      </c>
      <c r="G885" t="s">
        <v>4000</v>
      </c>
      <c r="H885" t="s">
        <v>4018</v>
      </c>
      <c r="I885" t="s">
        <v>4023</v>
      </c>
      <c r="J885" t="s">
        <v>4028</v>
      </c>
      <c r="K885" s="2">
        <v>44608</v>
      </c>
      <c r="L885" s="2">
        <v>44612</v>
      </c>
      <c r="M885">
        <v>4</v>
      </c>
      <c r="N885">
        <v>96</v>
      </c>
      <c r="O885">
        <f>IF(Tickets[[#This Row],[Ticket Priority]]="Critical",24,
IF(Tickets[[#This Row],[Ticket Priority]]="High",48,
IF(Tickets[[#This Row],[Ticket Priority]]="Medium",120,168)))</f>
        <v>120</v>
      </c>
      <c r="P885" t="str">
        <f>IF(Tickets[[#This Row],[Resolution Duration Hours]] &lt;= Tickets[[#This Row],[SLA_Target_Hours]], "Yes", "No")</f>
        <v>Yes</v>
      </c>
    </row>
    <row r="886" spans="1:16" hidden="1">
      <c r="A886">
        <v>885</v>
      </c>
      <c r="B886" t="s">
        <v>893</v>
      </c>
      <c r="C886" t="s">
        <v>2867</v>
      </c>
      <c r="D886" t="s">
        <v>3982</v>
      </c>
      <c r="E886" s="1">
        <v>44596</v>
      </c>
      <c r="F886" t="s">
        <v>3999</v>
      </c>
      <c r="G886" t="s">
        <v>4013</v>
      </c>
      <c r="H886" t="s">
        <v>4018</v>
      </c>
      <c r="I886" t="s">
        <v>4024</v>
      </c>
      <c r="J886" t="s">
        <v>4026</v>
      </c>
      <c r="K886" s="2">
        <v>44800</v>
      </c>
      <c r="L886" s="2">
        <v>44807</v>
      </c>
      <c r="M886">
        <v>3</v>
      </c>
      <c r="N886">
        <v>168</v>
      </c>
      <c r="O886">
        <f>IF(Tickets[[#This Row],[Ticket Priority]]="Critical",24,
IF(Tickets[[#This Row],[Ticket Priority]]="High",48,
IF(Tickets[[#This Row],[Ticket Priority]]="Medium",120,168)))</f>
        <v>168</v>
      </c>
      <c r="P886" t="str">
        <f>IF(Tickets[[#This Row],[Resolution Duration Hours]] &lt;= Tickets[[#This Row],[SLA_Target_Hours]], "Yes", "No")</f>
        <v>Yes</v>
      </c>
    </row>
    <row r="887" spans="1:16" hidden="1">
      <c r="A887">
        <v>886</v>
      </c>
      <c r="B887" t="s">
        <v>894</v>
      </c>
      <c r="C887" t="s">
        <v>2868</v>
      </c>
      <c r="D887" t="s">
        <v>3989</v>
      </c>
      <c r="E887" s="1">
        <v>44012</v>
      </c>
      <c r="F887" t="s">
        <v>4000</v>
      </c>
      <c r="G887" t="s">
        <v>4000</v>
      </c>
      <c r="H887" t="s">
        <v>4018</v>
      </c>
      <c r="I887" t="s">
        <v>4024</v>
      </c>
      <c r="J887" t="s">
        <v>4026</v>
      </c>
      <c r="K887" s="2">
        <v>44377</v>
      </c>
      <c r="L887" s="2">
        <v>44381</v>
      </c>
      <c r="M887">
        <v>5</v>
      </c>
      <c r="N887">
        <v>96</v>
      </c>
      <c r="O887">
        <f>IF(Tickets[[#This Row],[Ticket Priority]]="Critical",24,
IF(Tickets[[#This Row],[Ticket Priority]]="High",48,
IF(Tickets[[#This Row],[Ticket Priority]]="Medium",120,168)))</f>
        <v>168</v>
      </c>
      <c r="P887" t="str">
        <f>IF(Tickets[[#This Row],[Resolution Duration Hours]] &lt;= Tickets[[#This Row],[SLA_Target_Hours]], "Yes", "No")</f>
        <v>Yes</v>
      </c>
    </row>
    <row r="888" spans="1:16" hidden="1">
      <c r="A888">
        <v>887</v>
      </c>
      <c r="B888" t="s">
        <v>895</v>
      </c>
      <c r="C888" t="s">
        <v>2869</v>
      </c>
      <c r="D888" t="s">
        <v>3993</v>
      </c>
      <c r="E888" s="1">
        <v>44783</v>
      </c>
      <c r="F888" t="s">
        <v>3999</v>
      </c>
      <c r="G888" t="s">
        <v>4008</v>
      </c>
      <c r="H888" t="s">
        <v>4018</v>
      </c>
      <c r="I888" t="s">
        <v>4023</v>
      </c>
      <c r="J888" t="s">
        <v>4026</v>
      </c>
      <c r="K888" s="2">
        <v>44822</v>
      </c>
      <c r="L888" s="2">
        <v>44824</v>
      </c>
      <c r="M888">
        <v>3</v>
      </c>
      <c r="N888">
        <v>48</v>
      </c>
      <c r="O888">
        <f>IF(Tickets[[#This Row],[Ticket Priority]]="Critical",24,
IF(Tickets[[#This Row],[Ticket Priority]]="High",48,
IF(Tickets[[#This Row],[Ticket Priority]]="Medium",120,168)))</f>
        <v>120</v>
      </c>
      <c r="P888" t="str">
        <f>IF(Tickets[[#This Row],[Resolution Duration Hours]] &lt;= Tickets[[#This Row],[SLA_Target_Hours]], "Yes", "No")</f>
        <v>Yes</v>
      </c>
    </row>
    <row r="889" spans="1:16" hidden="1">
      <c r="A889">
        <v>888</v>
      </c>
      <c r="B889" t="s">
        <v>896</v>
      </c>
      <c r="C889" t="s">
        <v>2870</v>
      </c>
      <c r="D889" t="s">
        <v>3993</v>
      </c>
      <c r="E889" s="1">
        <v>44594</v>
      </c>
      <c r="F889" t="s">
        <v>4002</v>
      </c>
      <c r="G889" t="s">
        <v>4004</v>
      </c>
      <c r="H889" t="s">
        <v>4018</v>
      </c>
      <c r="I889" t="s">
        <v>4023</v>
      </c>
      <c r="J889" t="s">
        <v>4027</v>
      </c>
      <c r="K889" s="2">
        <v>44734</v>
      </c>
      <c r="L889" s="2">
        <v>44738</v>
      </c>
      <c r="M889">
        <v>5</v>
      </c>
      <c r="N889">
        <v>96</v>
      </c>
      <c r="O889">
        <f>IF(Tickets[[#This Row],[Ticket Priority]]="Critical",24,
IF(Tickets[[#This Row],[Ticket Priority]]="High",48,
IF(Tickets[[#This Row],[Ticket Priority]]="Medium",120,168)))</f>
        <v>120</v>
      </c>
      <c r="P889" t="str">
        <f>IF(Tickets[[#This Row],[Resolution Duration Hours]] &lt;= Tickets[[#This Row],[SLA_Target_Hours]], "Yes", "No")</f>
        <v>Yes</v>
      </c>
    </row>
    <row r="890" spans="1:16" hidden="1">
      <c r="A890">
        <v>889</v>
      </c>
      <c r="B890" t="s">
        <v>897</v>
      </c>
      <c r="C890" t="s">
        <v>2871</v>
      </c>
      <c r="D890" t="s">
        <v>3986</v>
      </c>
      <c r="E890" s="1">
        <v>44188</v>
      </c>
      <c r="F890" t="s">
        <v>3998</v>
      </c>
      <c r="G890" t="s">
        <v>4003</v>
      </c>
      <c r="H890" t="s">
        <v>4020</v>
      </c>
      <c r="I890" t="s">
        <v>4023</v>
      </c>
      <c r="J890" t="s">
        <v>4028</v>
      </c>
      <c r="K890" s="2">
        <v>44489</v>
      </c>
      <c r="L890" s="2">
        <v>44494</v>
      </c>
      <c r="N890">
        <v>120</v>
      </c>
      <c r="O890">
        <f>IF(Tickets[[#This Row],[Ticket Priority]]="Critical",24,
IF(Tickets[[#This Row],[Ticket Priority]]="High",48,
IF(Tickets[[#This Row],[Ticket Priority]]="Medium",120,168)))</f>
        <v>120</v>
      </c>
      <c r="P890" t="str">
        <f>IF(Tickets[[#This Row],[Resolution Duration Hours]] &lt;= Tickets[[#This Row],[SLA_Target_Hours]], "Yes", "No")</f>
        <v>Yes</v>
      </c>
    </row>
    <row r="891" spans="1:16">
      <c r="A891">
        <v>1799</v>
      </c>
      <c r="B891" t="s">
        <v>1791</v>
      </c>
      <c r="C891" t="s">
        <v>3778</v>
      </c>
      <c r="D891" t="s">
        <v>3981</v>
      </c>
      <c r="E891" s="1">
        <v>44846</v>
      </c>
      <c r="F891" t="s">
        <v>4001</v>
      </c>
      <c r="G891" t="s">
        <v>4000</v>
      </c>
      <c r="H891" t="s">
        <v>4020</v>
      </c>
      <c r="I891" t="s">
        <v>4024</v>
      </c>
      <c r="J891" t="s">
        <v>4026</v>
      </c>
      <c r="K891" s="2">
        <v>45070</v>
      </c>
      <c r="L891" s="2">
        <v>45079</v>
      </c>
      <c r="N891">
        <v>216</v>
      </c>
      <c r="O891">
        <f>IF(Tickets[[#This Row],[Ticket Priority]]="Critical",24,
IF(Tickets[[#This Row],[Ticket Priority]]="High",48,
IF(Tickets[[#This Row],[Ticket Priority]]="Medium",120,168)))</f>
        <v>168</v>
      </c>
      <c r="P891" t="str">
        <f>IF(Tickets[[#This Row],[Resolution Duration Hours]] &lt;= Tickets[[#This Row],[SLA_Target_Hours]], "Yes", "No")</f>
        <v>No</v>
      </c>
    </row>
    <row r="892" spans="1:16" hidden="1">
      <c r="A892">
        <v>891</v>
      </c>
      <c r="B892" t="s">
        <v>899</v>
      </c>
      <c r="C892" t="s">
        <v>2873</v>
      </c>
      <c r="D892" t="s">
        <v>3996</v>
      </c>
      <c r="E892" s="1">
        <v>44023</v>
      </c>
      <c r="F892" t="s">
        <v>3998</v>
      </c>
      <c r="G892" t="s">
        <v>4015</v>
      </c>
      <c r="H892" t="s">
        <v>4018</v>
      </c>
      <c r="I892" t="s">
        <v>4023</v>
      </c>
      <c r="J892" t="s">
        <v>4026</v>
      </c>
      <c r="K892" s="2">
        <v>44267</v>
      </c>
      <c r="L892" s="2">
        <v>44269</v>
      </c>
      <c r="M892">
        <v>3</v>
      </c>
      <c r="N892">
        <v>48</v>
      </c>
      <c r="O892">
        <f>IF(Tickets[[#This Row],[Ticket Priority]]="Critical",24,
IF(Tickets[[#This Row],[Ticket Priority]]="High",48,
IF(Tickets[[#This Row],[Ticket Priority]]="Medium",120,168)))</f>
        <v>120</v>
      </c>
      <c r="P892" t="str">
        <f>IF(Tickets[[#This Row],[Resolution Duration Hours]] &lt;= Tickets[[#This Row],[SLA_Target_Hours]], "Yes", "No")</f>
        <v>Yes</v>
      </c>
    </row>
    <row r="893" spans="1:16">
      <c r="A893">
        <v>1809</v>
      </c>
      <c r="B893" t="s">
        <v>1801</v>
      </c>
      <c r="C893" t="s">
        <v>3788</v>
      </c>
      <c r="D893" t="s">
        <v>3983</v>
      </c>
      <c r="E893" s="1">
        <v>44098</v>
      </c>
      <c r="F893" t="s">
        <v>3998</v>
      </c>
      <c r="G893" t="s">
        <v>4012</v>
      </c>
      <c r="H893" t="s">
        <v>4018</v>
      </c>
      <c r="I893" t="s">
        <v>4024</v>
      </c>
      <c r="J893" t="s">
        <v>4025</v>
      </c>
      <c r="K893" s="2">
        <v>44154</v>
      </c>
      <c r="L893" s="2">
        <v>44163</v>
      </c>
      <c r="M893">
        <v>4</v>
      </c>
      <c r="N893">
        <v>216</v>
      </c>
      <c r="O893">
        <f>IF(Tickets[[#This Row],[Ticket Priority]]="Critical",24,
IF(Tickets[[#This Row],[Ticket Priority]]="High",48,
IF(Tickets[[#This Row],[Ticket Priority]]="Medium",120,168)))</f>
        <v>168</v>
      </c>
      <c r="P893" t="str">
        <f>IF(Tickets[[#This Row],[Resolution Duration Hours]] &lt;= Tickets[[#This Row],[SLA_Target_Hours]], "Yes", "No")</f>
        <v>No</v>
      </c>
    </row>
    <row r="894" spans="1:16" hidden="1">
      <c r="A894">
        <v>893</v>
      </c>
      <c r="B894" t="s">
        <v>901</v>
      </c>
      <c r="C894" t="s">
        <v>2875</v>
      </c>
      <c r="D894" t="s">
        <v>3995</v>
      </c>
      <c r="E894" s="1">
        <v>44882</v>
      </c>
      <c r="F894" t="s">
        <v>4000</v>
      </c>
      <c r="G894" t="s">
        <v>4008</v>
      </c>
      <c r="H894" t="s">
        <v>4020</v>
      </c>
      <c r="I894" t="s">
        <v>4024</v>
      </c>
      <c r="J894" t="s">
        <v>4027</v>
      </c>
      <c r="K894" s="2">
        <v>45148</v>
      </c>
      <c r="L894" s="2">
        <v>45154</v>
      </c>
      <c r="N894">
        <v>144</v>
      </c>
      <c r="O894">
        <f>IF(Tickets[[#This Row],[Ticket Priority]]="Critical",24,
IF(Tickets[[#This Row],[Ticket Priority]]="High",48,
IF(Tickets[[#This Row],[Ticket Priority]]="Medium",120,168)))</f>
        <v>168</v>
      </c>
      <c r="P894" t="str">
        <f>IF(Tickets[[#This Row],[Resolution Duration Hours]] &lt;= Tickets[[#This Row],[SLA_Target_Hours]], "Yes", "No")</f>
        <v>Yes</v>
      </c>
    </row>
    <row r="895" spans="1:16">
      <c r="A895">
        <v>1861</v>
      </c>
      <c r="B895" t="s">
        <v>1851</v>
      </c>
      <c r="C895" t="s">
        <v>3840</v>
      </c>
      <c r="D895" t="s">
        <v>3986</v>
      </c>
      <c r="E895" s="1">
        <v>44378</v>
      </c>
      <c r="F895" t="s">
        <v>4000</v>
      </c>
      <c r="G895" t="s">
        <v>4016</v>
      </c>
      <c r="H895" t="s">
        <v>4018</v>
      </c>
      <c r="I895" t="s">
        <v>4024</v>
      </c>
      <c r="J895" t="s">
        <v>4027</v>
      </c>
      <c r="K895" s="2">
        <v>44406</v>
      </c>
      <c r="L895" s="2">
        <v>44415</v>
      </c>
      <c r="M895">
        <v>4</v>
      </c>
      <c r="N895">
        <v>216</v>
      </c>
      <c r="O895">
        <f>IF(Tickets[[#This Row],[Ticket Priority]]="Critical",24,
IF(Tickets[[#This Row],[Ticket Priority]]="High",48,
IF(Tickets[[#This Row],[Ticket Priority]]="Medium",120,168)))</f>
        <v>168</v>
      </c>
      <c r="P895" t="str">
        <f>IF(Tickets[[#This Row],[Resolution Duration Hours]] &lt;= Tickets[[#This Row],[SLA_Target_Hours]], "Yes", "No")</f>
        <v>No</v>
      </c>
    </row>
    <row r="896" spans="1:16">
      <c r="A896">
        <v>1877</v>
      </c>
      <c r="B896" t="s">
        <v>1867</v>
      </c>
      <c r="C896" t="s">
        <v>3856</v>
      </c>
      <c r="D896" t="s">
        <v>3979</v>
      </c>
      <c r="E896" s="1">
        <v>44446</v>
      </c>
      <c r="F896" t="s">
        <v>4001</v>
      </c>
      <c r="G896" t="s">
        <v>4014</v>
      </c>
      <c r="H896" t="s">
        <v>4017</v>
      </c>
      <c r="I896" t="s">
        <v>4024</v>
      </c>
      <c r="J896" t="s">
        <v>4026</v>
      </c>
      <c r="K896" s="2">
        <v>44704</v>
      </c>
      <c r="L896" s="2">
        <v>44713</v>
      </c>
      <c r="N896">
        <v>216</v>
      </c>
      <c r="O896">
        <f>IF(Tickets[[#This Row],[Ticket Priority]]="Critical",24,
IF(Tickets[[#This Row],[Ticket Priority]]="High",48,
IF(Tickets[[#This Row],[Ticket Priority]]="Medium",120,168)))</f>
        <v>168</v>
      </c>
      <c r="P896" t="str">
        <f>IF(Tickets[[#This Row],[Resolution Duration Hours]] &lt;= Tickets[[#This Row],[SLA_Target_Hours]], "Yes", "No")</f>
        <v>No</v>
      </c>
    </row>
    <row r="897" spans="1:16" hidden="1">
      <c r="A897">
        <v>896</v>
      </c>
      <c r="B897" t="s">
        <v>904</v>
      </c>
      <c r="C897" t="s">
        <v>2878</v>
      </c>
      <c r="D897" t="s">
        <v>3991</v>
      </c>
      <c r="E897" s="1">
        <v>45069</v>
      </c>
      <c r="F897" t="s">
        <v>3998</v>
      </c>
      <c r="G897" t="s">
        <v>4015</v>
      </c>
      <c r="H897" t="s">
        <v>4017</v>
      </c>
      <c r="I897" t="s">
        <v>4022</v>
      </c>
      <c r="J897" t="s">
        <v>4026</v>
      </c>
      <c r="K897" s="2">
        <v>45426</v>
      </c>
      <c r="L897" s="2">
        <v>45427</v>
      </c>
      <c r="N897">
        <v>24</v>
      </c>
      <c r="O897">
        <f>IF(Tickets[[#This Row],[Ticket Priority]]="Critical",24,
IF(Tickets[[#This Row],[Ticket Priority]]="High",48,
IF(Tickets[[#This Row],[Ticket Priority]]="Medium",120,168)))</f>
        <v>24</v>
      </c>
      <c r="P897" t="str">
        <f>IF(Tickets[[#This Row],[Resolution Duration Hours]] &lt;= Tickets[[#This Row],[SLA_Target_Hours]], "Yes", "No")</f>
        <v>Yes</v>
      </c>
    </row>
    <row r="898" spans="1:16" hidden="1">
      <c r="A898">
        <v>897</v>
      </c>
      <c r="B898" t="s">
        <v>905</v>
      </c>
      <c r="C898" t="s">
        <v>2879</v>
      </c>
      <c r="D898" t="s">
        <v>3981</v>
      </c>
      <c r="E898" s="1">
        <v>44766</v>
      </c>
      <c r="F898" t="s">
        <v>4001</v>
      </c>
      <c r="G898" t="s">
        <v>4009</v>
      </c>
      <c r="H898" t="s">
        <v>4019</v>
      </c>
      <c r="I898" t="s">
        <v>4024</v>
      </c>
      <c r="J898" t="s">
        <v>4028</v>
      </c>
      <c r="K898" s="2">
        <v>44892</v>
      </c>
      <c r="L898" s="2">
        <v>44897</v>
      </c>
      <c r="M898">
        <v>5</v>
      </c>
      <c r="N898">
        <v>120</v>
      </c>
      <c r="O898">
        <f>IF(Tickets[[#This Row],[Ticket Priority]]="Critical",24,
IF(Tickets[[#This Row],[Ticket Priority]]="High",48,
IF(Tickets[[#This Row],[Ticket Priority]]="Medium",120,168)))</f>
        <v>168</v>
      </c>
      <c r="P898" t="str">
        <f>IF(Tickets[[#This Row],[Resolution Duration Hours]] &lt;= Tickets[[#This Row],[SLA_Target_Hours]], "Yes", "No")</f>
        <v>Yes</v>
      </c>
    </row>
    <row r="899" spans="1:16" hidden="1">
      <c r="A899">
        <v>898</v>
      </c>
      <c r="B899" t="s">
        <v>906</v>
      </c>
      <c r="C899" t="s">
        <v>2880</v>
      </c>
      <c r="D899" t="s">
        <v>3982</v>
      </c>
      <c r="E899" s="1">
        <v>44434</v>
      </c>
      <c r="F899" t="s">
        <v>3999</v>
      </c>
      <c r="G899" t="s">
        <v>4010</v>
      </c>
      <c r="H899" t="s">
        <v>4018</v>
      </c>
      <c r="I899" t="s">
        <v>4024</v>
      </c>
      <c r="J899" t="s">
        <v>4026</v>
      </c>
      <c r="K899" s="2">
        <v>44779</v>
      </c>
      <c r="L899" s="2">
        <v>44786</v>
      </c>
      <c r="M899">
        <v>4</v>
      </c>
      <c r="N899">
        <v>168</v>
      </c>
      <c r="O899">
        <f>IF(Tickets[[#This Row],[Ticket Priority]]="Critical",24,
IF(Tickets[[#This Row],[Ticket Priority]]="High",48,
IF(Tickets[[#This Row],[Ticket Priority]]="Medium",120,168)))</f>
        <v>168</v>
      </c>
      <c r="P899" t="str">
        <f>IF(Tickets[[#This Row],[Resolution Duration Hours]] &lt;= Tickets[[#This Row],[SLA_Target_Hours]], "Yes", "No")</f>
        <v>Yes</v>
      </c>
    </row>
    <row r="900" spans="1:16">
      <c r="A900">
        <v>1881</v>
      </c>
      <c r="B900" t="s">
        <v>1870</v>
      </c>
      <c r="C900" t="s">
        <v>3860</v>
      </c>
      <c r="D900" t="s">
        <v>3985</v>
      </c>
      <c r="E900" s="1">
        <v>44312</v>
      </c>
      <c r="F900" t="s">
        <v>4002</v>
      </c>
      <c r="G900" t="s">
        <v>4007</v>
      </c>
      <c r="H900" t="s">
        <v>4020</v>
      </c>
      <c r="I900" t="s">
        <v>4024</v>
      </c>
      <c r="J900" t="s">
        <v>4026</v>
      </c>
      <c r="K900" s="2">
        <v>44385</v>
      </c>
      <c r="L900" s="2">
        <v>44394</v>
      </c>
      <c r="N900">
        <v>216</v>
      </c>
      <c r="O900">
        <f>IF(Tickets[[#This Row],[Ticket Priority]]="Critical",24,
IF(Tickets[[#This Row],[Ticket Priority]]="High",48,
IF(Tickets[[#This Row],[Ticket Priority]]="Medium",120,168)))</f>
        <v>168</v>
      </c>
      <c r="P900" t="str">
        <f>IF(Tickets[[#This Row],[Resolution Duration Hours]] &lt;= Tickets[[#This Row],[SLA_Target_Hours]], "Yes", "No")</f>
        <v>No</v>
      </c>
    </row>
    <row r="901" spans="1:16">
      <c r="A901">
        <v>1885</v>
      </c>
      <c r="B901" t="s">
        <v>1874</v>
      </c>
      <c r="C901" t="s">
        <v>3864</v>
      </c>
      <c r="D901" t="s">
        <v>3992</v>
      </c>
      <c r="E901" s="1">
        <v>44621</v>
      </c>
      <c r="F901" t="s">
        <v>4001</v>
      </c>
      <c r="G901" t="s">
        <v>4006</v>
      </c>
      <c r="H901" t="s">
        <v>4018</v>
      </c>
      <c r="I901" t="s">
        <v>4024</v>
      </c>
      <c r="J901" t="s">
        <v>4026</v>
      </c>
      <c r="K901" s="2">
        <v>44963</v>
      </c>
      <c r="L901" s="2">
        <v>44972</v>
      </c>
      <c r="M901">
        <v>4</v>
      </c>
      <c r="N901">
        <v>216</v>
      </c>
      <c r="O901">
        <f>IF(Tickets[[#This Row],[Ticket Priority]]="Critical",24,
IF(Tickets[[#This Row],[Ticket Priority]]="High",48,
IF(Tickets[[#This Row],[Ticket Priority]]="Medium",120,168)))</f>
        <v>168</v>
      </c>
      <c r="P901" t="str">
        <f>IF(Tickets[[#This Row],[Resolution Duration Hours]] &lt;= Tickets[[#This Row],[SLA_Target_Hours]], "Yes", "No")</f>
        <v>No</v>
      </c>
    </row>
    <row r="902" spans="1:16">
      <c r="A902">
        <v>1929</v>
      </c>
      <c r="B902" t="s">
        <v>1917</v>
      </c>
      <c r="C902" t="s">
        <v>3908</v>
      </c>
      <c r="D902" t="s">
        <v>3985</v>
      </c>
      <c r="E902" s="1">
        <v>44255</v>
      </c>
      <c r="F902" t="s">
        <v>3999</v>
      </c>
      <c r="G902" t="s">
        <v>4000</v>
      </c>
      <c r="H902" t="s">
        <v>4017</v>
      </c>
      <c r="I902" t="s">
        <v>4024</v>
      </c>
      <c r="J902" t="s">
        <v>4027</v>
      </c>
      <c r="K902" s="2">
        <v>44428</v>
      </c>
      <c r="L902" s="2">
        <v>44437</v>
      </c>
      <c r="N902">
        <v>216</v>
      </c>
      <c r="O902">
        <f>IF(Tickets[[#This Row],[Ticket Priority]]="Critical",24,
IF(Tickets[[#This Row],[Ticket Priority]]="High",48,
IF(Tickets[[#This Row],[Ticket Priority]]="Medium",120,168)))</f>
        <v>168</v>
      </c>
      <c r="P902" t="str">
        <f>IF(Tickets[[#This Row],[Resolution Duration Hours]] &lt;= Tickets[[#This Row],[SLA_Target_Hours]], "Yes", "No")</f>
        <v>No</v>
      </c>
    </row>
    <row r="903" spans="1:16" hidden="1">
      <c r="A903">
        <v>902</v>
      </c>
      <c r="B903" t="s">
        <v>910</v>
      </c>
      <c r="C903" t="s">
        <v>2884</v>
      </c>
      <c r="D903" t="s">
        <v>3979</v>
      </c>
      <c r="E903" s="1">
        <v>44179</v>
      </c>
      <c r="F903" t="s">
        <v>4002</v>
      </c>
      <c r="G903" t="s">
        <v>4008</v>
      </c>
      <c r="H903" t="s">
        <v>4018</v>
      </c>
      <c r="I903" t="s">
        <v>4021</v>
      </c>
      <c r="J903" t="s">
        <v>4028</v>
      </c>
      <c r="K903" s="2">
        <v>44399</v>
      </c>
      <c r="L903" s="2">
        <v>44400</v>
      </c>
      <c r="M903">
        <v>3</v>
      </c>
      <c r="N903">
        <v>24</v>
      </c>
      <c r="O903">
        <f>IF(Tickets[[#This Row],[Ticket Priority]]="Critical",24,
IF(Tickets[[#This Row],[Ticket Priority]]="High",48,
IF(Tickets[[#This Row],[Ticket Priority]]="Medium",120,168)))</f>
        <v>48</v>
      </c>
      <c r="P903" t="str">
        <f>IF(Tickets[[#This Row],[Resolution Duration Hours]] &lt;= Tickets[[#This Row],[SLA_Target_Hours]], "Yes", "No")</f>
        <v>Yes</v>
      </c>
    </row>
    <row r="904" spans="1:16" hidden="1">
      <c r="A904">
        <v>903</v>
      </c>
      <c r="B904" t="s">
        <v>911</v>
      </c>
      <c r="C904" t="s">
        <v>2885</v>
      </c>
      <c r="D904" t="s">
        <v>3993</v>
      </c>
      <c r="E904" s="1">
        <v>44297</v>
      </c>
      <c r="F904" t="s">
        <v>4000</v>
      </c>
      <c r="G904" t="s">
        <v>4013</v>
      </c>
      <c r="H904" t="s">
        <v>4020</v>
      </c>
      <c r="I904" t="s">
        <v>4023</v>
      </c>
      <c r="J904" t="s">
        <v>4026</v>
      </c>
      <c r="K904" s="2">
        <v>44537</v>
      </c>
      <c r="L904" s="2">
        <v>44537</v>
      </c>
      <c r="N904">
        <v>0</v>
      </c>
      <c r="O904">
        <f>IF(Tickets[[#This Row],[Ticket Priority]]="Critical",24,
IF(Tickets[[#This Row],[Ticket Priority]]="High",48,
IF(Tickets[[#This Row],[Ticket Priority]]="Medium",120,168)))</f>
        <v>120</v>
      </c>
      <c r="P904" t="str">
        <f>IF(Tickets[[#This Row],[Resolution Duration Hours]] &lt;= Tickets[[#This Row],[SLA_Target_Hours]], "Yes", "No")</f>
        <v>Yes</v>
      </c>
    </row>
    <row r="905" spans="1:16">
      <c r="A905">
        <v>1973</v>
      </c>
      <c r="B905" t="s">
        <v>1957</v>
      </c>
      <c r="C905" t="s">
        <v>3951</v>
      </c>
      <c r="D905" t="s">
        <v>3992</v>
      </c>
      <c r="E905" s="1">
        <v>44331</v>
      </c>
      <c r="F905" t="s">
        <v>4002</v>
      </c>
      <c r="G905" t="s">
        <v>4008</v>
      </c>
      <c r="H905" t="s">
        <v>4018</v>
      </c>
      <c r="I905" t="s">
        <v>4024</v>
      </c>
      <c r="J905" t="s">
        <v>4027</v>
      </c>
      <c r="K905" s="2">
        <v>44461</v>
      </c>
      <c r="L905" s="2">
        <v>44470</v>
      </c>
      <c r="M905">
        <v>4</v>
      </c>
      <c r="N905">
        <v>216</v>
      </c>
      <c r="O905">
        <f>IF(Tickets[[#This Row],[Ticket Priority]]="Critical",24,
IF(Tickets[[#This Row],[Ticket Priority]]="High",48,
IF(Tickets[[#This Row],[Ticket Priority]]="Medium",120,168)))</f>
        <v>168</v>
      </c>
      <c r="P905" t="str">
        <f>IF(Tickets[[#This Row],[Resolution Duration Hours]] &lt;= Tickets[[#This Row],[SLA_Target_Hours]], "Yes", "No")</f>
        <v>No</v>
      </c>
    </row>
    <row r="906" spans="1:16" hidden="1">
      <c r="A906">
        <v>905</v>
      </c>
      <c r="B906" t="s">
        <v>913</v>
      </c>
      <c r="C906" t="s">
        <v>2887</v>
      </c>
      <c r="D906" t="s">
        <v>3995</v>
      </c>
      <c r="E906" s="1">
        <v>44949</v>
      </c>
      <c r="F906" t="s">
        <v>4000</v>
      </c>
      <c r="G906" t="s">
        <v>4011</v>
      </c>
      <c r="H906" t="s">
        <v>4018</v>
      </c>
      <c r="I906" t="s">
        <v>4021</v>
      </c>
      <c r="J906" t="s">
        <v>4026</v>
      </c>
      <c r="K906" s="2">
        <v>45118</v>
      </c>
      <c r="L906" s="2">
        <v>45119</v>
      </c>
      <c r="M906">
        <v>4</v>
      </c>
      <c r="N906">
        <v>24</v>
      </c>
      <c r="O906">
        <f>IF(Tickets[[#This Row],[Ticket Priority]]="Critical",24,
IF(Tickets[[#This Row],[Ticket Priority]]="High",48,
IF(Tickets[[#This Row],[Ticket Priority]]="Medium",120,168)))</f>
        <v>48</v>
      </c>
      <c r="P906" t="str">
        <f>IF(Tickets[[#This Row],[Resolution Duration Hours]] &lt;= Tickets[[#This Row],[SLA_Target_Hours]], "Yes", "No")</f>
        <v>Yes</v>
      </c>
    </row>
    <row r="907" spans="1:16" hidden="1">
      <c r="A907">
        <v>906</v>
      </c>
      <c r="B907" t="s">
        <v>914</v>
      </c>
      <c r="C907" t="s">
        <v>2888</v>
      </c>
      <c r="D907" t="s">
        <v>3985</v>
      </c>
      <c r="E907" s="1">
        <v>44858</v>
      </c>
      <c r="F907" t="s">
        <v>4002</v>
      </c>
      <c r="G907" t="s">
        <v>4003</v>
      </c>
      <c r="H907" t="s">
        <v>4018</v>
      </c>
      <c r="I907" t="s">
        <v>4024</v>
      </c>
      <c r="J907" t="s">
        <v>4025</v>
      </c>
      <c r="K907" s="2">
        <v>45024</v>
      </c>
      <c r="L907" s="2">
        <v>45030</v>
      </c>
      <c r="N907">
        <v>144</v>
      </c>
      <c r="O907">
        <f>IF(Tickets[[#This Row],[Ticket Priority]]="Critical",24,
IF(Tickets[[#This Row],[Ticket Priority]]="High",48,
IF(Tickets[[#This Row],[Ticket Priority]]="Medium",120,168)))</f>
        <v>168</v>
      </c>
      <c r="P907" t="str">
        <f>IF(Tickets[[#This Row],[Resolution Duration Hours]] &lt;= Tickets[[#This Row],[SLA_Target_Hours]], "Yes", "No")</f>
        <v>Yes</v>
      </c>
    </row>
    <row r="908" spans="1:16" hidden="1">
      <c r="A908">
        <v>907</v>
      </c>
      <c r="B908" t="s">
        <v>915</v>
      </c>
      <c r="C908" t="s">
        <v>2889</v>
      </c>
      <c r="D908" t="s">
        <v>3987</v>
      </c>
      <c r="E908" s="1">
        <v>44318</v>
      </c>
      <c r="F908" t="s">
        <v>3998</v>
      </c>
      <c r="G908" t="s">
        <v>4015</v>
      </c>
      <c r="H908" t="s">
        <v>4018</v>
      </c>
      <c r="I908" t="s">
        <v>4023</v>
      </c>
      <c r="J908" t="s">
        <v>4026</v>
      </c>
      <c r="K908" s="2">
        <v>44382</v>
      </c>
      <c r="L908" s="2">
        <v>44386</v>
      </c>
      <c r="M908">
        <v>5</v>
      </c>
      <c r="N908">
        <v>96</v>
      </c>
      <c r="O908">
        <f>IF(Tickets[[#This Row],[Ticket Priority]]="Critical",24,
IF(Tickets[[#This Row],[Ticket Priority]]="High",48,
IF(Tickets[[#This Row],[Ticket Priority]]="Medium",120,168)))</f>
        <v>120</v>
      </c>
      <c r="P908" t="str">
        <f>IF(Tickets[[#This Row],[Resolution Duration Hours]] &lt;= Tickets[[#This Row],[SLA_Target_Hours]], "Yes", "No")</f>
        <v>Yes</v>
      </c>
    </row>
    <row r="909" spans="1:16" hidden="1">
      <c r="A909">
        <v>908</v>
      </c>
      <c r="B909" t="s">
        <v>916</v>
      </c>
      <c r="C909" t="s">
        <v>2890</v>
      </c>
      <c r="D909" t="s">
        <v>3992</v>
      </c>
      <c r="E909" s="1">
        <v>43952</v>
      </c>
      <c r="F909" t="s">
        <v>3999</v>
      </c>
      <c r="G909" t="s">
        <v>4008</v>
      </c>
      <c r="H909" t="s">
        <v>4018</v>
      </c>
      <c r="I909" t="s">
        <v>4021</v>
      </c>
      <c r="J909" t="s">
        <v>4026</v>
      </c>
      <c r="K909" s="2">
        <v>44100</v>
      </c>
      <c r="L909" s="2">
        <v>44102</v>
      </c>
      <c r="M909">
        <v>4</v>
      </c>
      <c r="N909">
        <v>48</v>
      </c>
      <c r="O909">
        <f>IF(Tickets[[#This Row],[Ticket Priority]]="Critical",24,
IF(Tickets[[#This Row],[Ticket Priority]]="High",48,
IF(Tickets[[#This Row],[Ticket Priority]]="Medium",120,168)))</f>
        <v>48</v>
      </c>
      <c r="P909" t="str">
        <f>IF(Tickets[[#This Row],[Resolution Duration Hours]] &lt;= Tickets[[#This Row],[SLA_Target_Hours]], "Yes", "No")</f>
        <v>Yes</v>
      </c>
    </row>
    <row r="910" spans="1:16" hidden="1">
      <c r="A910">
        <v>909</v>
      </c>
      <c r="B910" t="s">
        <v>917</v>
      </c>
      <c r="C910" t="s">
        <v>2891</v>
      </c>
      <c r="D910" t="s">
        <v>3990</v>
      </c>
      <c r="E910" s="1">
        <v>44012</v>
      </c>
      <c r="F910" t="s">
        <v>3998</v>
      </c>
      <c r="G910" t="s">
        <v>4009</v>
      </c>
      <c r="H910" t="s">
        <v>4020</v>
      </c>
      <c r="I910" t="s">
        <v>4024</v>
      </c>
      <c r="J910" t="s">
        <v>4025</v>
      </c>
      <c r="K910" s="2">
        <v>44370</v>
      </c>
      <c r="L910" s="2">
        <v>44376</v>
      </c>
      <c r="N910">
        <v>144</v>
      </c>
      <c r="O910">
        <f>IF(Tickets[[#This Row],[Ticket Priority]]="Critical",24,
IF(Tickets[[#This Row],[Ticket Priority]]="High",48,
IF(Tickets[[#This Row],[Ticket Priority]]="Medium",120,168)))</f>
        <v>168</v>
      </c>
      <c r="P910" t="str">
        <f>IF(Tickets[[#This Row],[Resolution Duration Hours]] &lt;= Tickets[[#This Row],[SLA_Target_Hours]], "Yes", "No")</f>
        <v>Yes</v>
      </c>
    </row>
    <row r="911" spans="1:16" hidden="1">
      <c r="A911">
        <v>910</v>
      </c>
      <c r="B911" t="s">
        <v>918</v>
      </c>
      <c r="C911" t="s">
        <v>2892</v>
      </c>
      <c r="D911" t="s">
        <v>3982</v>
      </c>
      <c r="E911" s="1">
        <v>44958</v>
      </c>
      <c r="F911" t="s">
        <v>4002</v>
      </c>
      <c r="G911" t="s">
        <v>4006</v>
      </c>
      <c r="H911" t="s">
        <v>4018</v>
      </c>
      <c r="I911" t="s">
        <v>4023</v>
      </c>
      <c r="J911" t="s">
        <v>4026</v>
      </c>
      <c r="K911" s="2">
        <v>45055</v>
      </c>
      <c r="L911" s="2">
        <v>45059</v>
      </c>
      <c r="M911">
        <v>4</v>
      </c>
      <c r="N911">
        <v>96</v>
      </c>
      <c r="O911">
        <f>IF(Tickets[[#This Row],[Ticket Priority]]="Critical",24,
IF(Tickets[[#This Row],[Ticket Priority]]="High",48,
IF(Tickets[[#This Row],[Ticket Priority]]="Medium",120,168)))</f>
        <v>120</v>
      </c>
      <c r="P911" t="str">
        <f>IF(Tickets[[#This Row],[Resolution Duration Hours]] &lt;= Tickets[[#This Row],[SLA_Target_Hours]], "Yes", "No")</f>
        <v>Yes</v>
      </c>
    </row>
    <row r="912" spans="1:16">
      <c r="A912">
        <v>1986</v>
      </c>
      <c r="B912" t="s">
        <v>1970</v>
      </c>
      <c r="C912" t="s">
        <v>3964</v>
      </c>
      <c r="D912" t="s">
        <v>3996</v>
      </c>
      <c r="E912" s="1">
        <v>44651</v>
      </c>
      <c r="F912" t="s">
        <v>3999</v>
      </c>
      <c r="G912" t="s">
        <v>4009</v>
      </c>
      <c r="H912" t="s">
        <v>4018</v>
      </c>
      <c r="I912" t="s">
        <v>4024</v>
      </c>
      <c r="J912" t="s">
        <v>4026</v>
      </c>
      <c r="K912" s="2">
        <v>44842</v>
      </c>
      <c r="L912" s="2">
        <v>44851</v>
      </c>
      <c r="M912">
        <v>4</v>
      </c>
      <c r="N912">
        <v>216</v>
      </c>
      <c r="O912">
        <f>IF(Tickets[[#This Row],[Ticket Priority]]="Critical",24,
IF(Tickets[[#This Row],[Ticket Priority]]="High",48,
IF(Tickets[[#This Row],[Ticket Priority]]="Medium",120,168)))</f>
        <v>168</v>
      </c>
      <c r="P912" t="str">
        <f>IF(Tickets[[#This Row],[Resolution Duration Hours]] &lt;= Tickets[[#This Row],[SLA_Target_Hours]], "Yes", "No")</f>
        <v>No</v>
      </c>
    </row>
    <row r="913" spans="1:16" hidden="1">
      <c r="A913">
        <v>912</v>
      </c>
      <c r="B913" t="s">
        <v>920</v>
      </c>
      <c r="C913" t="s">
        <v>2894</v>
      </c>
      <c r="D913" t="s">
        <v>3994</v>
      </c>
      <c r="E913" s="1">
        <v>44056</v>
      </c>
      <c r="F913" t="s">
        <v>4002</v>
      </c>
      <c r="G913" t="s">
        <v>4007</v>
      </c>
      <c r="H913" t="s">
        <v>4019</v>
      </c>
      <c r="I913" t="s">
        <v>4022</v>
      </c>
      <c r="J913" t="s">
        <v>4025</v>
      </c>
      <c r="K913" s="2">
        <v>44317</v>
      </c>
      <c r="L913" s="2">
        <v>44318</v>
      </c>
      <c r="N913">
        <v>24</v>
      </c>
      <c r="O913">
        <f>IF(Tickets[[#This Row],[Ticket Priority]]="Critical",24,
IF(Tickets[[#This Row],[Ticket Priority]]="High",48,
IF(Tickets[[#This Row],[Ticket Priority]]="Medium",120,168)))</f>
        <v>24</v>
      </c>
      <c r="P913" t="str">
        <f>IF(Tickets[[#This Row],[Resolution Duration Hours]] &lt;= Tickets[[#This Row],[SLA_Target_Hours]], "Yes", "No")</f>
        <v>Yes</v>
      </c>
    </row>
    <row r="914" spans="1:16">
      <c r="A914">
        <v>89</v>
      </c>
      <c r="B914" t="s">
        <v>102</v>
      </c>
      <c r="C914" t="s">
        <v>2072</v>
      </c>
      <c r="D914" t="s">
        <v>3985</v>
      </c>
      <c r="E914" s="1">
        <v>44594</v>
      </c>
      <c r="F914" t="s">
        <v>3998</v>
      </c>
      <c r="G914" t="s">
        <v>4000</v>
      </c>
      <c r="H914" t="s">
        <v>4018</v>
      </c>
      <c r="I914" t="s">
        <v>4024</v>
      </c>
      <c r="J914" t="s">
        <v>4027</v>
      </c>
      <c r="K914" s="2">
        <v>44632</v>
      </c>
      <c r="L914" s="2">
        <v>44640</v>
      </c>
      <c r="N914">
        <v>192</v>
      </c>
      <c r="O914">
        <f>IF(Tickets[[#This Row],[Ticket Priority]]="Critical",24,
IF(Tickets[[#This Row],[Ticket Priority]]="High",48,
IF(Tickets[[#This Row],[Ticket Priority]]="Medium",120,168)))</f>
        <v>168</v>
      </c>
      <c r="P914" t="str">
        <f>IF(Tickets[[#This Row],[Resolution Duration Hours]] &lt;= Tickets[[#This Row],[SLA_Target_Hours]], "Yes", "No")</f>
        <v>No</v>
      </c>
    </row>
    <row r="915" spans="1:16" hidden="1">
      <c r="A915">
        <v>914</v>
      </c>
      <c r="B915" t="s">
        <v>922</v>
      </c>
      <c r="C915" t="s">
        <v>2896</v>
      </c>
      <c r="D915" t="s">
        <v>3992</v>
      </c>
      <c r="E915" s="1">
        <v>44529</v>
      </c>
      <c r="F915" t="s">
        <v>3999</v>
      </c>
      <c r="G915" t="s">
        <v>4015</v>
      </c>
      <c r="H915" t="s">
        <v>4020</v>
      </c>
      <c r="I915" t="s">
        <v>4021</v>
      </c>
      <c r="J915" t="s">
        <v>4026</v>
      </c>
      <c r="K915" s="2">
        <v>44715</v>
      </c>
      <c r="L915" s="2">
        <v>44717</v>
      </c>
      <c r="N915">
        <v>48</v>
      </c>
      <c r="O915">
        <f>IF(Tickets[[#This Row],[Ticket Priority]]="Critical",24,
IF(Tickets[[#This Row],[Ticket Priority]]="High",48,
IF(Tickets[[#This Row],[Ticket Priority]]="Medium",120,168)))</f>
        <v>48</v>
      </c>
      <c r="P915" t="str">
        <f>IF(Tickets[[#This Row],[Resolution Duration Hours]] &lt;= Tickets[[#This Row],[SLA_Target_Hours]], "Yes", "No")</f>
        <v>Yes</v>
      </c>
    </row>
    <row r="916" spans="1:16" hidden="1">
      <c r="A916">
        <v>915</v>
      </c>
      <c r="B916" t="s">
        <v>923</v>
      </c>
      <c r="C916" t="s">
        <v>2897</v>
      </c>
      <c r="D916" t="s">
        <v>3981</v>
      </c>
      <c r="E916" s="1">
        <v>44810</v>
      </c>
      <c r="F916" t="s">
        <v>4002</v>
      </c>
      <c r="G916" t="s">
        <v>4013</v>
      </c>
      <c r="H916" t="s">
        <v>4018</v>
      </c>
      <c r="I916" t="s">
        <v>4023</v>
      </c>
      <c r="J916" t="s">
        <v>4027</v>
      </c>
      <c r="K916" s="2">
        <v>45111</v>
      </c>
      <c r="L916" s="2">
        <v>45112</v>
      </c>
      <c r="M916">
        <v>4</v>
      </c>
      <c r="N916">
        <v>24</v>
      </c>
      <c r="O916">
        <f>IF(Tickets[[#This Row],[Ticket Priority]]="Critical",24,
IF(Tickets[[#This Row],[Ticket Priority]]="High",48,
IF(Tickets[[#This Row],[Ticket Priority]]="Medium",120,168)))</f>
        <v>120</v>
      </c>
      <c r="P916" t="str">
        <f>IF(Tickets[[#This Row],[Resolution Duration Hours]] &lt;= Tickets[[#This Row],[SLA_Target_Hours]], "Yes", "No")</f>
        <v>Yes</v>
      </c>
    </row>
    <row r="917" spans="1:16" hidden="1">
      <c r="A917">
        <v>916</v>
      </c>
      <c r="B917" t="s">
        <v>924</v>
      </c>
      <c r="C917" t="s">
        <v>2898</v>
      </c>
      <c r="D917" t="s">
        <v>3979</v>
      </c>
      <c r="E917" s="1">
        <v>44692</v>
      </c>
      <c r="F917" t="s">
        <v>4001</v>
      </c>
      <c r="G917" t="s">
        <v>4004</v>
      </c>
      <c r="H917" t="s">
        <v>4018</v>
      </c>
      <c r="I917" t="s">
        <v>4024</v>
      </c>
      <c r="J917" t="s">
        <v>4027</v>
      </c>
      <c r="K917" s="2">
        <v>44713</v>
      </c>
      <c r="L917" s="2">
        <v>44718</v>
      </c>
      <c r="M917">
        <v>4</v>
      </c>
      <c r="N917">
        <v>120</v>
      </c>
      <c r="O917">
        <f>IF(Tickets[[#This Row],[Ticket Priority]]="Critical",24,
IF(Tickets[[#This Row],[Ticket Priority]]="High",48,
IF(Tickets[[#This Row],[Ticket Priority]]="Medium",120,168)))</f>
        <v>168</v>
      </c>
      <c r="P917" t="str">
        <f>IF(Tickets[[#This Row],[Resolution Duration Hours]] &lt;= Tickets[[#This Row],[SLA_Target_Hours]], "Yes", "No")</f>
        <v>Yes</v>
      </c>
    </row>
    <row r="918" spans="1:16" hidden="1">
      <c r="A918">
        <v>917</v>
      </c>
      <c r="B918" t="s">
        <v>925</v>
      </c>
      <c r="C918" t="s">
        <v>2899</v>
      </c>
      <c r="D918" t="s">
        <v>3986</v>
      </c>
      <c r="E918" s="1">
        <v>43860</v>
      </c>
      <c r="F918" t="s">
        <v>3998</v>
      </c>
      <c r="G918" t="s">
        <v>4015</v>
      </c>
      <c r="H918" t="s">
        <v>4017</v>
      </c>
      <c r="I918" t="s">
        <v>4021</v>
      </c>
      <c r="J918" t="s">
        <v>4026</v>
      </c>
      <c r="K918" s="2">
        <v>44103</v>
      </c>
      <c r="L918" s="2">
        <v>44105</v>
      </c>
      <c r="N918">
        <v>48</v>
      </c>
      <c r="O918">
        <f>IF(Tickets[[#This Row],[Ticket Priority]]="Critical",24,
IF(Tickets[[#This Row],[Ticket Priority]]="High",48,
IF(Tickets[[#This Row],[Ticket Priority]]="Medium",120,168)))</f>
        <v>48</v>
      </c>
      <c r="P918" t="str">
        <f>IF(Tickets[[#This Row],[Resolution Duration Hours]] &lt;= Tickets[[#This Row],[SLA_Target_Hours]], "Yes", "No")</f>
        <v>Yes</v>
      </c>
    </row>
    <row r="919" spans="1:16">
      <c r="A919">
        <v>94</v>
      </c>
      <c r="B919" t="s">
        <v>107</v>
      </c>
      <c r="C919" t="s">
        <v>2077</v>
      </c>
      <c r="D919" t="s">
        <v>3981</v>
      </c>
      <c r="E919" s="1">
        <v>44193</v>
      </c>
      <c r="F919" t="s">
        <v>4000</v>
      </c>
      <c r="G919" t="s">
        <v>4003</v>
      </c>
      <c r="H919" t="s">
        <v>4018</v>
      </c>
      <c r="I919" t="s">
        <v>4024</v>
      </c>
      <c r="J919" t="s">
        <v>4027</v>
      </c>
      <c r="K919" s="2">
        <v>44493</v>
      </c>
      <c r="L919" s="2">
        <v>44501</v>
      </c>
      <c r="M919">
        <v>3</v>
      </c>
      <c r="N919">
        <v>192</v>
      </c>
      <c r="O919">
        <f>IF(Tickets[[#This Row],[Ticket Priority]]="Critical",24,
IF(Tickets[[#This Row],[Ticket Priority]]="High",48,
IF(Tickets[[#This Row],[Ticket Priority]]="Medium",120,168)))</f>
        <v>168</v>
      </c>
      <c r="P919" t="str">
        <f>IF(Tickets[[#This Row],[Resolution Duration Hours]] &lt;= Tickets[[#This Row],[SLA_Target_Hours]], "Yes", "No")</f>
        <v>No</v>
      </c>
    </row>
    <row r="920" spans="1:16" hidden="1">
      <c r="A920">
        <v>919</v>
      </c>
      <c r="B920" t="s">
        <v>927</v>
      </c>
      <c r="C920" t="s">
        <v>2901</v>
      </c>
      <c r="D920" t="s">
        <v>3997</v>
      </c>
      <c r="E920" s="1">
        <v>44365</v>
      </c>
      <c r="F920" t="s">
        <v>4002</v>
      </c>
      <c r="G920" t="s">
        <v>4015</v>
      </c>
      <c r="H920" t="s">
        <v>4019</v>
      </c>
      <c r="I920" t="s">
        <v>4023</v>
      </c>
      <c r="J920" t="s">
        <v>4026</v>
      </c>
      <c r="K920" s="2">
        <v>44376</v>
      </c>
      <c r="L920" s="2">
        <v>44380</v>
      </c>
      <c r="M920">
        <v>4</v>
      </c>
      <c r="N920">
        <v>96</v>
      </c>
      <c r="O920">
        <f>IF(Tickets[[#This Row],[Ticket Priority]]="Critical",24,
IF(Tickets[[#This Row],[Ticket Priority]]="High",48,
IF(Tickets[[#This Row],[Ticket Priority]]="Medium",120,168)))</f>
        <v>120</v>
      </c>
      <c r="P920" t="str">
        <f>IF(Tickets[[#This Row],[Resolution Duration Hours]] &lt;= Tickets[[#This Row],[SLA_Target_Hours]], "Yes", "No")</f>
        <v>Yes</v>
      </c>
    </row>
    <row r="921" spans="1:16">
      <c r="A921">
        <v>95</v>
      </c>
      <c r="B921" t="s">
        <v>108</v>
      </c>
      <c r="C921" t="s">
        <v>2078</v>
      </c>
      <c r="D921" t="s">
        <v>3980</v>
      </c>
      <c r="E921" s="1">
        <v>44062</v>
      </c>
      <c r="F921" t="s">
        <v>3998</v>
      </c>
      <c r="G921" t="s">
        <v>4016</v>
      </c>
      <c r="H921" t="s">
        <v>4018</v>
      </c>
      <c r="I921" t="s">
        <v>4024</v>
      </c>
      <c r="J921" t="s">
        <v>4026</v>
      </c>
      <c r="K921" s="2">
        <v>44245</v>
      </c>
      <c r="L921" s="2">
        <v>44253</v>
      </c>
      <c r="M921">
        <v>3</v>
      </c>
      <c r="N921">
        <v>192</v>
      </c>
      <c r="O921">
        <f>IF(Tickets[[#This Row],[Ticket Priority]]="Critical",24,
IF(Tickets[[#This Row],[Ticket Priority]]="High",48,
IF(Tickets[[#This Row],[Ticket Priority]]="Medium",120,168)))</f>
        <v>168</v>
      </c>
      <c r="P921" t="str">
        <f>IF(Tickets[[#This Row],[Resolution Duration Hours]] &lt;= Tickets[[#This Row],[SLA_Target_Hours]], "Yes", "No")</f>
        <v>No</v>
      </c>
    </row>
    <row r="922" spans="1:16">
      <c r="A922">
        <v>121</v>
      </c>
      <c r="B922" t="s">
        <v>134</v>
      </c>
      <c r="C922" t="s">
        <v>2104</v>
      </c>
      <c r="D922" t="s">
        <v>3983</v>
      </c>
      <c r="E922" s="1">
        <v>44300</v>
      </c>
      <c r="F922" t="s">
        <v>4000</v>
      </c>
      <c r="G922" t="s">
        <v>4013</v>
      </c>
      <c r="H922" t="s">
        <v>4017</v>
      </c>
      <c r="I922" t="s">
        <v>4024</v>
      </c>
      <c r="J922" t="s">
        <v>4026</v>
      </c>
      <c r="K922" s="2">
        <v>44590</v>
      </c>
      <c r="L922" s="2">
        <v>44598</v>
      </c>
      <c r="N922">
        <v>192</v>
      </c>
      <c r="O922">
        <f>IF(Tickets[[#This Row],[Ticket Priority]]="Critical",24,
IF(Tickets[[#This Row],[Ticket Priority]]="High",48,
IF(Tickets[[#This Row],[Ticket Priority]]="Medium",120,168)))</f>
        <v>168</v>
      </c>
      <c r="P922" t="str">
        <f>IF(Tickets[[#This Row],[Resolution Duration Hours]] &lt;= Tickets[[#This Row],[SLA_Target_Hours]], "Yes", "No")</f>
        <v>No</v>
      </c>
    </row>
    <row r="923" spans="1:16" hidden="1">
      <c r="A923">
        <v>922</v>
      </c>
      <c r="B923" t="s">
        <v>930</v>
      </c>
      <c r="C923" t="s">
        <v>2904</v>
      </c>
      <c r="D923" t="s">
        <v>3997</v>
      </c>
      <c r="E923" s="1">
        <v>45063</v>
      </c>
      <c r="F923" t="s">
        <v>4002</v>
      </c>
      <c r="G923" t="s">
        <v>4010</v>
      </c>
      <c r="H923" t="s">
        <v>4018</v>
      </c>
      <c r="I923" t="s">
        <v>4023</v>
      </c>
      <c r="J923" t="s">
        <v>4026</v>
      </c>
      <c r="K923" s="2">
        <v>45425</v>
      </c>
      <c r="L923" s="2">
        <v>45429</v>
      </c>
      <c r="M923">
        <v>3</v>
      </c>
      <c r="N923">
        <v>96</v>
      </c>
      <c r="O923">
        <f>IF(Tickets[[#This Row],[Ticket Priority]]="Critical",24,
IF(Tickets[[#This Row],[Ticket Priority]]="High",48,
IF(Tickets[[#This Row],[Ticket Priority]]="Medium",120,168)))</f>
        <v>120</v>
      </c>
      <c r="P923" t="str">
        <f>IF(Tickets[[#This Row],[Resolution Duration Hours]] &lt;= Tickets[[#This Row],[SLA_Target_Hours]], "Yes", "No")</f>
        <v>Yes</v>
      </c>
    </row>
    <row r="924" spans="1:16">
      <c r="A924">
        <v>125</v>
      </c>
      <c r="B924" t="s">
        <v>138</v>
      </c>
      <c r="C924" t="s">
        <v>2108</v>
      </c>
      <c r="D924" t="s">
        <v>3994</v>
      </c>
      <c r="E924" s="1">
        <v>43892</v>
      </c>
      <c r="F924" t="s">
        <v>4000</v>
      </c>
      <c r="G924" t="s">
        <v>4012</v>
      </c>
      <c r="H924" t="s">
        <v>4018</v>
      </c>
      <c r="I924" t="s">
        <v>4024</v>
      </c>
      <c r="J924" t="s">
        <v>4025</v>
      </c>
      <c r="K924" s="2">
        <v>44115</v>
      </c>
      <c r="L924" s="2">
        <v>44123</v>
      </c>
      <c r="M924">
        <v>4</v>
      </c>
      <c r="N924">
        <v>192</v>
      </c>
      <c r="O924">
        <f>IF(Tickets[[#This Row],[Ticket Priority]]="Critical",24,
IF(Tickets[[#This Row],[Ticket Priority]]="High",48,
IF(Tickets[[#This Row],[Ticket Priority]]="Medium",120,168)))</f>
        <v>168</v>
      </c>
      <c r="P924" t="str">
        <f>IF(Tickets[[#This Row],[Resolution Duration Hours]] &lt;= Tickets[[#This Row],[SLA_Target_Hours]], "Yes", "No")</f>
        <v>No</v>
      </c>
    </row>
    <row r="925" spans="1:16" hidden="1">
      <c r="A925">
        <v>924</v>
      </c>
      <c r="B925" t="s">
        <v>932</v>
      </c>
      <c r="C925" t="s">
        <v>2906</v>
      </c>
      <c r="D925" t="s">
        <v>3993</v>
      </c>
      <c r="E925" s="1">
        <v>44790</v>
      </c>
      <c r="F925" t="s">
        <v>3998</v>
      </c>
      <c r="G925" t="s">
        <v>4012</v>
      </c>
      <c r="H925" t="s">
        <v>4018</v>
      </c>
      <c r="I925" t="s">
        <v>4022</v>
      </c>
      <c r="J925" t="s">
        <v>4026</v>
      </c>
      <c r="K925" s="2">
        <v>44897</v>
      </c>
      <c r="L925" s="2">
        <v>44898</v>
      </c>
      <c r="M925">
        <v>5</v>
      </c>
      <c r="N925">
        <v>24</v>
      </c>
      <c r="O925">
        <f>IF(Tickets[[#This Row],[Ticket Priority]]="Critical",24,
IF(Tickets[[#This Row],[Ticket Priority]]="High",48,
IF(Tickets[[#This Row],[Ticket Priority]]="Medium",120,168)))</f>
        <v>24</v>
      </c>
      <c r="P925" t="str">
        <f>IF(Tickets[[#This Row],[Resolution Duration Hours]] &lt;= Tickets[[#This Row],[SLA_Target_Hours]], "Yes", "No")</f>
        <v>Yes</v>
      </c>
    </row>
    <row r="926" spans="1:16">
      <c r="A926">
        <v>129</v>
      </c>
      <c r="B926" t="s">
        <v>142</v>
      </c>
      <c r="C926" t="s">
        <v>2112</v>
      </c>
      <c r="D926" t="s">
        <v>3989</v>
      </c>
      <c r="E926" s="1">
        <v>44664</v>
      </c>
      <c r="F926" t="s">
        <v>3998</v>
      </c>
      <c r="G926" t="s">
        <v>4008</v>
      </c>
      <c r="H926" t="s">
        <v>4020</v>
      </c>
      <c r="I926" t="s">
        <v>4024</v>
      </c>
      <c r="J926" t="s">
        <v>4028</v>
      </c>
      <c r="K926" s="2">
        <v>44752</v>
      </c>
      <c r="L926" s="2">
        <v>44760</v>
      </c>
      <c r="N926">
        <v>192</v>
      </c>
      <c r="O926">
        <f>IF(Tickets[[#This Row],[Ticket Priority]]="Critical",24,
IF(Tickets[[#This Row],[Ticket Priority]]="High",48,
IF(Tickets[[#This Row],[Ticket Priority]]="Medium",120,168)))</f>
        <v>168</v>
      </c>
      <c r="P926" t="str">
        <f>IF(Tickets[[#This Row],[Resolution Duration Hours]] &lt;= Tickets[[#This Row],[SLA_Target_Hours]], "Yes", "No")</f>
        <v>No</v>
      </c>
    </row>
    <row r="927" spans="1:16" hidden="1">
      <c r="A927">
        <v>926</v>
      </c>
      <c r="B927" t="s">
        <v>934</v>
      </c>
      <c r="C927" t="s">
        <v>2908</v>
      </c>
      <c r="D927" t="s">
        <v>3990</v>
      </c>
      <c r="E927" s="1">
        <v>45072</v>
      </c>
      <c r="F927" t="s">
        <v>4000</v>
      </c>
      <c r="G927" t="s">
        <v>4013</v>
      </c>
      <c r="H927" t="s">
        <v>4018</v>
      </c>
      <c r="I927" t="s">
        <v>4024</v>
      </c>
      <c r="J927" t="s">
        <v>4025</v>
      </c>
      <c r="K927" s="2">
        <v>45080</v>
      </c>
      <c r="L927" s="2">
        <v>45086</v>
      </c>
      <c r="M927">
        <v>3</v>
      </c>
      <c r="N927">
        <v>144</v>
      </c>
      <c r="O927">
        <f>IF(Tickets[[#This Row],[Ticket Priority]]="Critical",24,
IF(Tickets[[#This Row],[Ticket Priority]]="High",48,
IF(Tickets[[#This Row],[Ticket Priority]]="Medium",120,168)))</f>
        <v>168</v>
      </c>
      <c r="P927" t="str">
        <f>IF(Tickets[[#This Row],[Resolution Duration Hours]] &lt;= Tickets[[#This Row],[SLA_Target_Hours]], "Yes", "No")</f>
        <v>Yes</v>
      </c>
    </row>
    <row r="928" spans="1:16" hidden="1">
      <c r="A928">
        <v>927</v>
      </c>
      <c r="B928" t="s">
        <v>935</v>
      </c>
      <c r="C928" t="s">
        <v>2909</v>
      </c>
      <c r="D928" t="s">
        <v>3991</v>
      </c>
      <c r="E928" s="1">
        <v>44704</v>
      </c>
      <c r="F928" t="s">
        <v>4002</v>
      </c>
      <c r="G928" t="s">
        <v>4011</v>
      </c>
      <c r="H928" t="s">
        <v>4020</v>
      </c>
      <c r="I928" t="s">
        <v>4021</v>
      </c>
      <c r="J928" t="s">
        <v>4025</v>
      </c>
      <c r="K928" s="2">
        <v>44809</v>
      </c>
      <c r="L928" s="2">
        <v>44810</v>
      </c>
      <c r="N928">
        <v>24</v>
      </c>
      <c r="O928">
        <f>IF(Tickets[[#This Row],[Ticket Priority]]="Critical",24,
IF(Tickets[[#This Row],[Ticket Priority]]="High",48,
IF(Tickets[[#This Row],[Ticket Priority]]="Medium",120,168)))</f>
        <v>48</v>
      </c>
      <c r="P928" t="str">
        <f>IF(Tickets[[#This Row],[Resolution Duration Hours]] &lt;= Tickets[[#This Row],[SLA_Target_Hours]], "Yes", "No")</f>
        <v>Yes</v>
      </c>
    </row>
    <row r="929" spans="1:16" hidden="1">
      <c r="A929">
        <v>928</v>
      </c>
      <c r="B929" t="s">
        <v>936</v>
      </c>
      <c r="C929" t="s">
        <v>2910</v>
      </c>
      <c r="D929" t="s">
        <v>3993</v>
      </c>
      <c r="E929" s="1">
        <v>44931</v>
      </c>
      <c r="F929" t="s">
        <v>4002</v>
      </c>
      <c r="G929" t="s">
        <v>4009</v>
      </c>
      <c r="H929" t="s">
        <v>4018</v>
      </c>
      <c r="I929" t="s">
        <v>4024</v>
      </c>
      <c r="J929" t="s">
        <v>4027</v>
      </c>
      <c r="K929" s="2">
        <v>45153</v>
      </c>
      <c r="L929" s="2">
        <v>45157</v>
      </c>
      <c r="M929">
        <v>4</v>
      </c>
      <c r="N929">
        <v>96</v>
      </c>
      <c r="O929">
        <f>IF(Tickets[[#This Row],[Ticket Priority]]="Critical",24,
IF(Tickets[[#This Row],[Ticket Priority]]="High",48,
IF(Tickets[[#This Row],[Ticket Priority]]="Medium",120,168)))</f>
        <v>168</v>
      </c>
      <c r="P929" t="str">
        <f>IF(Tickets[[#This Row],[Resolution Duration Hours]] &lt;= Tickets[[#This Row],[SLA_Target_Hours]], "Yes", "No")</f>
        <v>Yes</v>
      </c>
    </row>
    <row r="930" spans="1:16" hidden="1">
      <c r="A930">
        <v>929</v>
      </c>
      <c r="B930" t="s">
        <v>937</v>
      </c>
      <c r="C930" t="s">
        <v>2911</v>
      </c>
      <c r="D930" t="s">
        <v>3982</v>
      </c>
      <c r="E930" s="1">
        <v>44022</v>
      </c>
      <c r="F930" t="s">
        <v>4002</v>
      </c>
      <c r="G930" t="s">
        <v>4003</v>
      </c>
      <c r="H930" t="s">
        <v>4018</v>
      </c>
      <c r="I930" t="s">
        <v>4023</v>
      </c>
      <c r="J930" t="s">
        <v>4026</v>
      </c>
      <c r="K930" s="2">
        <v>44353</v>
      </c>
      <c r="L930" s="2">
        <v>44357</v>
      </c>
      <c r="M930">
        <v>5</v>
      </c>
      <c r="N930">
        <v>96</v>
      </c>
      <c r="O930">
        <f>IF(Tickets[[#This Row],[Ticket Priority]]="Critical",24,
IF(Tickets[[#This Row],[Ticket Priority]]="High",48,
IF(Tickets[[#This Row],[Ticket Priority]]="Medium",120,168)))</f>
        <v>120</v>
      </c>
      <c r="P930" t="str">
        <f>IF(Tickets[[#This Row],[Resolution Duration Hours]] &lt;= Tickets[[#This Row],[SLA_Target_Hours]], "Yes", "No")</f>
        <v>Yes</v>
      </c>
    </row>
    <row r="931" spans="1:16" hidden="1">
      <c r="A931">
        <v>930</v>
      </c>
      <c r="B931" t="s">
        <v>924</v>
      </c>
      <c r="C931" t="s">
        <v>2912</v>
      </c>
      <c r="D931" t="s">
        <v>3984</v>
      </c>
      <c r="E931" s="1">
        <v>44276</v>
      </c>
      <c r="F931" t="s">
        <v>4000</v>
      </c>
      <c r="G931" t="s">
        <v>4000</v>
      </c>
      <c r="H931" t="s">
        <v>4020</v>
      </c>
      <c r="I931" t="s">
        <v>4021</v>
      </c>
      <c r="J931" t="s">
        <v>4028</v>
      </c>
      <c r="K931" s="2">
        <v>44607</v>
      </c>
      <c r="L931" s="2">
        <v>44609</v>
      </c>
      <c r="N931">
        <v>48</v>
      </c>
      <c r="O931">
        <f>IF(Tickets[[#This Row],[Ticket Priority]]="Critical",24,
IF(Tickets[[#This Row],[Ticket Priority]]="High",48,
IF(Tickets[[#This Row],[Ticket Priority]]="Medium",120,168)))</f>
        <v>48</v>
      </c>
      <c r="P931" t="str">
        <f>IF(Tickets[[#This Row],[Resolution Duration Hours]] &lt;= Tickets[[#This Row],[SLA_Target_Hours]], "Yes", "No")</f>
        <v>Yes</v>
      </c>
    </row>
    <row r="932" spans="1:16" hidden="1">
      <c r="A932">
        <v>931</v>
      </c>
      <c r="B932" t="s">
        <v>938</v>
      </c>
      <c r="C932" t="s">
        <v>2913</v>
      </c>
      <c r="D932" t="s">
        <v>3987</v>
      </c>
      <c r="E932" s="1">
        <v>44066</v>
      </c>
      <c r="F932" t="s">
        <v>4001</v>
      </c>
      <c r="G932" t="s">
        <v>4012</v>
      </c>
      <c r="H932" t="s">
        <v>4017</v>
      </c>
      <c r="I932" t="s">
        <v>4024</v>
      </c>
      <c r="J932" t="s">
        <v>4026</v>
      </c>
      <c r="K932" s="2">
        <v>44122</v>
      </c>
      <c r="L932" s="2">
        <v>44125</v>
      </c>
      <c r="N932">
        <v>72</v>
      </c>
      <c r="O932">
        <f>IF(Tickets[[#This Row],[Ticket Priority]]="Critical",24,
IF(Tickets[[#This Row],[Ticket Priority]]="High",48,
IF(Tickets[[#This Row],[Ticket Priority]]="Medium",120,168)))</f>
        <v>168</v>
      </c>
      <c r="P932" t="str">
        <f>IF(Tickets[[#This Row],[Resolution Duration Hours]] &lt;= Tickets[[#This Row],[SLA_Target_Hours]], "Yes", "No")</f>
        <v>Yes</v>
      </c>
    </row>
    <row r="933" spans="1:16">
      <c r="A933">
        <v>199</v>
      </c>
      <c r="B933" t="s">
        <v>212</v>
      </c>
      <c r="C933" t="s">
        <v>2182</v>
      </c>
      <c r="D933" t="s">
        <v>3997</v>
      </c>
      <c r="E933" s="1">
        <v>44906</v>
      </c>
      <c r="F933" t="s">
        <v>4002</v>
      </c>
      <c r="G933" t="s">
        <v>4011</v>
      </c>
      <c r="H933" t="s">
        <v>4018</v>
      </c>
      <c r="I933" t="s">
        <v>4024</v>
      </c>
      <c r="J933" t="s">
        <v>4026</v>
      </c>
      <c r="K933" s="2">
        <v>45266</v>
      </c>
      <c r="L933" s="2">
        <v>45274</v>
      </c>
      <c r="M933">
        <v>4</v>
      </c>
      <c r="N933">
        <v>192</v>
      </c>
      <c r="O933">
        <f>IF(Tickets[[#This Row],[Ticket Priority]]="Critical",24,
IF(Tickets[[#This Row],[Ticket Priority]]="High",48,
IF(Tickets[[#This Row],[Ticket Priority]]="Medium",120,168)))</f>
        <v>168</v>
      </c>
      <c r="P933" t="str">
        <f>IF(Tickets[[#This Row],[Resolution Duration Hours]] &lt;= Tickets[[#This Row],[SLA_Target_Hours]], "Yes", "No")</f>
        <v>No</v>
      </c>
    </row>
    <row r="934" spans="1:16">
      <c r="A934">
        <v>219</v>
      </c>
      <c r="B934" t="s">
        <v>232</v>
      </c>
      <c r="C934" t="s">
        <v>2202</v>
      </c>
      <c r="D934" t="s">
        <v>3983</v>
      </c>
      <c r="E934" s="1">
        <v>44828</v>
      </c>
      <c r="F934" t="s">
        <v>3998</v>
      </c>
      <c r="G934" t="s">
        <v>4009</v>
      </c>
      <c r="H934" t="s">
        <v>4017</v>
      </c>
      <c r="I934" t="s">
        <v>4024</v>
      </c>
      <c r="J934" t="s">
        <v>4028</v>
      </c>
      <c r="K934" s="2">
        <v>45039</v>
      </c>
      <c r="L934" s="2">
        <v>45047</v>
      </c>
      <c r="N934">
        <v>192</v>
      </c>
      <c r="O934">
        <f>IF(Tickets[[#This Row],[Ticket Priority]]="Critical",24,
IF(Tickets[[#This Row],[Ticket Priority]]="High",48,
IF(Tickets[[#This Row],[Ticket Priority]]="Medium",120,168)))</f>
        <v>168</v>
      </c>
      <c r="P934" t="str">
        <f>IF(Tickets[[#This Row],[Resolution Duration Hours]] &lt;= Tickets[[#This Row],[SLA_Target_Hours]], "Yes", "No")</f>
        <v>No</v>
      </c>
    </row>
    <row r="935" spans="1:16" hidden="1">
      <c r="A935">
        <v>934</v>
      </c>
      <c r="B935" t="s">
        <v>941</v>
      </c>
      <c r="C935" t="s">
        <v>2916</v>
      </c>
      <c r="D935" t="s">
        <v>3991</v>
      </c>
      <c r="E935" s="1">
        <v>44856</v>
      </c>
      <c r="F935" t="s">
        <v>4000</v>
      </c>
      <c r="G935" t="s">
        <v>4014</v>
      </c>
      <c r="H935" t="s">
        <v>4017</v>
      </c>
      <c r="I935" t="s">
        <v>4022</v>
      </c>
      <c r="J935" t="s">
        <v>4027</v>
      </c>
      <c r="K935" s="2">
        <v>44919</v>
      </c>
      <c r="L935" s="2">
        <v>44919</v>
      </c>
      <c r="N935">
        <v>0</v>
      </c>
      <c r="O935">
        <f>IF(Tickets[[#This Row],[Ticket Priority]]="Critical",24,
IF(Tickets[[#This Row],[Ticket Priority]]="High",48,
IF(Tickets[[#This Row],[Ticket Priority]]="Medium",120,168)))</f>
        <v>24</v>
      </c>
      <c r="P935" t="str">
        <f>IF(Tickets[[#This Row],[Resolution Duration Hours]] &lt;= Tickets[[#This Row],[SLA_Target_Hours]], "Yes", "No")</f>
        <v>Yes</v>
      </c>
    </row>
    <row r="936" spans="1:16" hidden="1">
      <c r="A936">
        <v>935</v>
      </c>
      <c r="B936" t="s">
        <v>942</v>
      </c>
      <c r="C936" t="s">
        <v>2917</v>
      </c>
      <c r="D936" t="s">
        <v>3987</v>
      </c>
      <c r="E936" s="1">
        <v>44984</v>
      </c>
      <c r="F936" t="s">
        <v>4000</v>
      </c>
      <c r="G936" t="s">
        <v>4013</v>
      </c>
      <c r="H936" t="s">
        <v>4018</v>
      </c>
      <c r="I936" t="s">
        <v>4023</v>
      </c>
      <c r="J936" t="s">
        <v>4027</v>
      </c>
      <c r="K936" s="2">
        <v>45098</v>
      </c>
      <c r="L936" s="2">
        <v>45102</v>
      </c>
      <c r="N936">
        <v>96</v>
      </c>
      <c r="O936">
        <f>IF(Tickets[[#This Row],[Ticket Priority]]="Critical",24,
IF(Tickets[[#This Row],[Ticket Priority]]="High",48,
IF(Tickets[[#This Row],[Ticket Priority]]="Medium",120,168)))</f>
        <v>120</v>
      </c>
      <c r="P936" t="str">
        <f>IF(Tickets[[#This Row],[Resolution Duration Hours]] &lt;= Tickets[[#This Row],[SLA_Target_Hours]], "Yes", "No")</f>
        <v>Yes</v>
      </c>
    </row>
    <row r="937" spans="1:16" hidden="1">
      <c r="A937">
        <v>936</v>
      </c>
      <c r="B937" t="s">
        <v>943</v>
      </c>
      <c r="C937" t="s">
        <v>2918</v>
      </c>
      <c r="D937" t="s">
        <v>3979</v>
      </c>
      <c r="E937" s="1">
        <v>44676</v>
      </c>
      <c r="F937" t="s">
        <v>4001</v>
      </c>
      <c r="G937" t="s">
        <v>4007</v>
      </c>
      <c r="H937" t="s">
        <v>4018</v>
      </c>
      <c r="I937" t="s">
        <v>4021</v>
      </c>
      <c r="J937" t="s">
        <v>4028</v>
      </c>
      <c r="K937" s="2">
        <v>44927</v>
      </c>
      <c r="L937" s="2">
        <v>44928</v>
      </c>
      <c r="N937">
        <v>24</v>
      </c>
      <c r="O937">
        <f>IF(Tickets[[#This Row],[Ticket Priority]]="Critical",24,
IF(Tickets[[#This Row],[Ticket Priority]]="High",48,
IF(Tickets[[#This Row],[Ticket Priority]]="Medium",120,168)))</f>
        <v>48</v>
      </c>
      <c r="P937" t="str">
        <f>IF(Tickets[[#This Row],[Resolution Duration Hours]] &lt;= Tickets[[#This Row],[SLA_Target_Hours]], "Yes", "No")</f>
        <v>Yes</v>
      </c>
    </row>
    <row r="938" spans="1:16" hidden="1">
      <c r="A938">
        <v>937</v>
      </c>
      <c r="B938" t="s">
        <v>944</v>
      </c>
      <c r="C938" t="s">
        <v>2919</v>
      </c>
      <c r="D938" t="s">
        <v>3988</v>
      </c>
      <c r="E938" s="1">
        <v>43961</v>
      </c>
      <c r="F938" t="s">
        <v>3999</v>
      </c>
      <c r="G938" t="s">
        <v>4009</v>
      </c>
      <c r="H938" t="s">
        <v>4018</v>
      </c>
      <c r="I938" t="s">
        <v>4021</v>
      </c>
      <c r="J938" t="s">
        <v>4026</v>
      </c>
      <c r="K938" s="2">
        <v>43983</v>
      </c>
      <c r="L938" s="2">
        <v>43985</v>
      </c>
      <c r="M938">
        <v>4</v>
      </c>
      <c r="N938">
        <v>48</v>
      </c>
      <c r="O938">
        <f>IF(Tickets[[#This Row],[Ticket Priority]]="Critical",24,
IF(Tickets[[#This Row],[Ticket Priority]]="High",48,
IF(Tickets[[#This Row],[Ticket Priority]]="Medium",120,168)))</f>
        <v>48</v>
      </c>
      <c r="P938" t="str">
        <f>IF(Tickets[[#This Row],[Resolution Duration Hours]] &lt;= Tickets[[#This Row],[SLA_Target_Hours]], "Yes", "No")</f>
        <v>Yes</v>
      </c>
    </row>
    <row r="939" spans="1:16" hidden="1">
      <c r="A939">
        <v>938</v>
      </c>
      <c r="B939" t="s">
        <v>945</v>
      </c>
      <c r="C939" t="s">
        <v>2920</v>
      </c>
      <c r="D939" t="s">
        <v>3981</v>
      </c>
      <c r="E939" s="1">
        <v>43975</v>
      </c>
      <c r="F939" t="s">
        <v>4001</v>
      </c>
      <c r="G939" t="s">
        <v>4016</v>
      </c>
      <c r="H939" t="s">
        <v>4020</v>
      </c>
      <c r="I939" t="s">
        <v>4023</v>
      </c>
      <c r="J939" t="s">
        <v>4025</v>
      </c>
      <c r="K939" s="2">
        <v>44028</v>
      </c>
      <c r="L939" s="2">
        <v>44032</v>
      </c>
      <c r="N939">
        <v>96</v>
      </c>
      <c r="O939">
        <f>IF(Tickets[[#This Row],[Ticket Priority]]="Critical",24,
IF(Tickets[[#This Row],[Ticket Priority]]="High",48,
IF(Tickets[[#This Row],[Ticket Priority]]="Medium",120,168)))</f>
        <v>120</v>
      </c>
      <c r="P939" t="str">
        <f>IF(Tickets[[#This Row],[Resolution Duration Hours]] &lt;= Tickets[[#This Row],[SLA_Target_Hours]], "Yes", "No")</f>
        <v>Yes</v>
      </c>
    </row>
    <row r="940" spans="1:16" hidden="1">
      <c r="A940">
        <v>939</v>
      </c>
      <c r="B940" t="s">
        <v>946</v>
      </c>
      <c r="C940" t="s">
        <v>2921</v>
      </c>
      <c r="D940" t="s">
        <v>3985</v>
      </c>
      <c r="E940" s="1">
        <v>44751</v>
      </c>
      <c r="F940" t="s">
        <v>4001</v>
      </c>
      <c r="G940" t="s">
        <v>4009</v>
      </c>
      <c r="H940" t="s">
        <v>4019</v>
      </c>
      <c r="I940" t="s">
        <v>4021</v>
      </c>
      <c r="J940" t="s">
        <v>4025</v>
      </c>
      <c r="K940" s="2">
        <v>45086</v>
      </c>
      <c r="L940" s="2">
        <v>45087</v>
      </c>
      <c r="M940">
        <v>4</v>
      </c>
      <c r="N940">
        <v>24</v>
      </c>
      <c r="O940">
        <f>IF(Tickets[[#This Row],[Ticket Priority]]="Critical",24,
IF(Tickets[[#This Row],[Ticket Priority]]="High",48,
IF(Tickets[[#This Row],[Ticket Priority]]="Medium",120,168)))</f>
        <v>48</v>
      </c>
      <c r="P940" t="str">
        <f>IF(Tickets[[#This Row],[Resolution Duration Hours]] &lt;= Tickets[[#This Row],[SLA_Target_Hours]], "Yes", "No")</f>
        <v>Yes</v>
      </c>
    </row>
    <row r="941" spans="1:16">
      <c r="A941">
        <v>222</v>
      </c>
      <c r="B941" t="s">
        <v>235</v>
      </c>
      <c r="C941" t="s">
        <v>2205</v>
      </c>
      <c r="D941" t="s">
        <v>3994</v>
      </c>
      <c r="E941" s="1">
        <v>44529</v>
      </c>
      <c r="F941" t="s">
        <v>4002</v>
      </c>
      <c r="G941" t="s">
        <v>4003</v>
      </c>
      <c r="H941" t="s">
        <v>4020</v>
      </c>
      <c r="I941" t="s">
        <v>4024</v>
      </c>
      <c r="J941" t="s">
        <v>4026</v>
      </c>
      <c r="K941" s="2">
        <v>44797</v>
      </c>
      <c r="L941" s="2">
        <v>44805</v>
      </c>
      <c r="N941">
        <v>192</v>
      </c>
      <c r="O941">
        <f>IF(Tickets[[#This Row],[Ticket Priority]]="Critical",24,
IF(Tickets[[#This Row],[Ticket Priority]]="High",48,
IF(Tickets[[#This Row],[Ticket Priority]]="Medium",120,168)))</f>
        <v>168</v>
      </c>
      <c r="P941" t="str">
        <f>IF(Tickets[[#This Row],[Resolution Duration Hours]] &lt;= Tickets[[#This Row],[SLA_Target_Hours]], "Yes", "No")</f>
        <v>No</v>
      </c>
    </row>
    <row r="942" spans="1:16">
      <c r="A942">
        <v>254</v>
      </c>
      <c r="B942" t="s">
        <v>267</v>
      </c>
      <c r="C942" t="s">
        <v>2237</v>
      </c>
      <c r="D942" t="s">
        <v>3981</v>
      </c>
      <c r="E942" s="1">
        <v>44611</v>
      </c>
      <c r="F942" t="s">
        <v>4002</v>
      </c>
      <c r="G942" t="s">
        <v>4007</v>
      </c>
      <c r="H942" t="s">
        <v>4018</v>
      </c>
      <c r="I942" t="s">
        <v>4024</v>
      </c>
      <c r="J942" t="s">
        <v>4026</v>
      </c>
      <c r="K942" s="2">
        <v>44845</v>
      </c>
      <c r="L942" s="2">
        <v>44853</v>
      </c>
      <c r="M942">
        <v>3</v>
      </c>
      <c r="N942">
        <v>192</v>
      </c>
      <c r="O942">
        <f>IF(Tickets[[#This Row],[Ticket Priority]]="Critical",24,
IF(Tickets[[#This Row],[Ticket Priority]]="High",48,
IF(Tickets[[#This Row],[Ticket Priority]]="Medium",120,168)))</f>
        <v>168</v>
      </c>
      <c r="P942" t="str">
        <f>IF(Tickets[[#This Row],[Resolution Duration Hours]] &lt;= Tickets[[#This Row],[SLA_Target_Hours]], "Yes", "No")</f>
        <v>No</v>
      </c>
    </row>
    <row r="943" spans="1:16" hidden="1">
      <c r="A943">
        <v>942</v>
      </c>
      <c r="B943" t="s">
        <v>949</v>
      </c>
      <c r="C943" t="s">
        <v>2924</v>
      </c>
      <c r="D943" t="s">
        <v>3996</v>
      </c>
      <c r="E943" s="1">
        <v>44941</v>
      </c>
      <c r="F943" t="s">
        <v>4002</v>
      </c>
      <c r="G943" t="s">
        <v>4007</v>
      </c>
      <c r="H943" t="s">
        <v>4018</v>
      </c>
      <c r="I943" t="s">
        <v>4023</v>
      </c>
      <c r="J943" t="s">
        <v>4025</v>
      </c>
      <c r="K943" s="2">
        <v>44983</v>
      </c>
      <c r="L943" s="2">
        <v>44987</v>
      </c>
      <c r="M943">
        <v>5</v>
      </c>
      <c r="N943">
        <v>96</v>
      </c>
      <c r="O943">
        <f>IF(Tickets[[#This Row],[Ticket Priority]]="Critical",24,
IF(Tickets[[#This Row],[Ticket Priority]]="High",48,
IF(Tickets[[#This Row],[Ticket Priority]]="Medium",120,168)))</f>
        <v>120</v>
      </c>
      <c r="P943" t="str">
        <f>IF(Tickets[[#This Row],[Resolution Duration Hours]] &lt;= Tickets[[#This Row],[SLA_Target_Hours]], "Yes", "No")</f>
        <v>Yes</v>
      </c>
    </row>
    <row r="944" spans="1:16" hidden="1">
      <c r="A944">
        <v>943</v>
      </c>
      <c r="B944" t="s">
        <v>950</v>
      </c>
      <c r="C944" t="s">
        <v>2925</v>
      </c>
      <c r="D944" t="s">
        <v>3987</v>
      </c>
      <c r="E944" s="1">
        <v>44720</v>
      </c>
      <c r="F944" t="s">
        <v>4002</v>
      </c>
      <c r="G944" t="s">
        <v>4012</v>
      </c>
      <c r="H944" t="s">
        <v>4017</v>
      </c>
      <c r="I944" t="s">
        <v>4024</v>
      </c>
      <c r="J944" t="s">
        <v>4026</v>
      </c>
      <c r="K944" s="2">
        <v>44905</v>
      </c>
      <c r="L944" s="2">
        <v>44908</v>
      </c>
      <c r="N944">
        <v>72</v>
      </c>
      <c r="O944">
        <f>IF(Tickets[[#This Row],[Ticket Priority]]="Critical",24,
IF(Tickets[[#This Row],[Ticket Priority]]="High",48,
IF(Tickets[[#This Row],[Ticket Priority]]="Medium",120,168)))</f>
        <v>168</v>
      </c>
      <c r="P944" t="str">
        <f>IF(Tickets[[#This Row],[Resolution Duration Hours]] &lt;= Tickets[[#This Row],[SLA_Target_Hours]], "Yes", "No")</f>
        <v>Yes</v>
      </c>
    </row>
    <row r="945" spans="1:16" hidden="1">
      <c r="A945">
        <v>944</v>
      </c>
      <c r="B945" t="s">
        <v>951</v>
      </c>
      <c r="C945" t="s">
        <v>2926</v>
      </c>
      <c r="D945" t="s">
        <v>3984</v>
      </c>
      <c r="E945" s="1">
        <v>45040</v>
      </c>
      <c r="F945" t="s">
        <v>4002</v>
      </c>
      <c r="G945" t="s">
        <v>4003</v>
      </c>
      <c r="H945" t="s">
        <v>4018</v>
      </c>
      <c r="I945" t="s">
        <v>4023</v>
      </c>
      <c r="J945" t="s">
        <v>4026</v>
      </c>
      <c r="K945" s="2">
        <v>45113</v>
      </c>
      <c r="L945" s="2">
        <v>45114</v>
      </c>
      <c r="N945">
        <v>24</v>
      </c>
      <c r="O945">
        <f>IF(Tickets[[#This Row],[Ticket Priority]]="Critical",24,
IF(Tickets[[#This Row],[Ticket Priority]]="High",48,
IF(Tickets[[#This Row],[Ticket Priority]]="Medium",120,168)))</f>
        <v>120</v>
      </c>
      <c r="P945" t="str">
        <f>IF(Tickets[[#This Row],[Resolution Duration Hours]] &lt;= Tickets[[#This Row],[SLA_Target_Hours]], "Yes", "No")</f>
        <v>Yes</v>
      </c>
    </row>
    <row r="946" spans="1:16" hidden="1">
      <c r="A946">
        <v>945</v>
      </c>
      <c r="B946" t="s">
        <v>952</v>
      </c>
      <c r="C946" t="s">
        <v>2927</v>
      </c>
      <c r="D946" t="s">
        <v>3985</v>
      </c>
      <c r="E946" s="1">
        <v>44033</v>
      </c>
      <c r="F946" t="s">
        <v>3998</v>
      </c>
      <c r="G946" t="s">
        <v>4003</v>
      </c>
      <c r="H946" t="s">
        <v>4017</v>
      </c>
      <c r="I946" t="s">
        <v>4024</v>
      </c>
      <c r="J946" t="s">
        <v>4026</v>
      </c>
      <c r="K946" s="2">
        <v>44226</v>
      </c>
      <c r="L946" s="2">
        <v>44228</v>
      </c>
      <c r="N946">
        <v>48</v>
      </c>
      <c r="O946">
        <f>IF(Tickets[[#This Row],[Ticket Priority]]="Critical",24,
IF(Tickets[[#This Row],[Ticket Priority]]="High",48,
IF(Tickets[[#This Row],[Ticket Priority]]="Medium",120,168)))</f>
        <v>168</v>
      </c>
      <c r="P946" t="str">
        <f>IF(Tickets[[#This Row],[Resolution Duration Hours]] &lt;= Tickets[[#This Row],[SLA_Target_Hours]], "Yes", "No")</f>
        <v>Yes</v>
      </c>
    </row>
    <row r="947" spans="1:16" hidden="1">
      <c r="A947">
        <v>946</v>
      </c>
      <c r="B947" t="s">
        <v>953</v>
      </c>
      <c r="C947" t="s">
        <v>2928</v>
      </c>
      <c r="D947" t="s">
        <v>3992</v>
      </c>
      <c r="E947" s="1">
        <v>44240</v>
      </c>
      <c r="F947" t="s">
        <v>3998</v>
      </c>
      <c r="G947" t="s">
        <v>4016</v>
      </c>
      <c r="H947" t="s">
        <v>4017</v>
      </c>
      <c r="I947" t="s">
        <v>4022</v>
      </c>
      <c r="J947" t="s">
        <v>4026</v>
      </c>
      <c r="K947" s="2">
        <v>44544</v>
      </c>
      <c r="L947" s="2">
        <v>44545</v>
      </c>
      <c r="N947">
        <v>24</v>
      </c>
      <c r="O947">
        <f>IF(Tickets[[#This Row],[Ticket Priority]]="Critical",24,
IF(Tickets[[#This Row],[Ticket Priority]]="High",48,
IF(Tickets[[#This Row],[Ticket Priority]]="Medium",120,168)))</f>
        <v>24</v>
      </c>
      <c r="P947" t="str">
        <f>IF(Tickets[[#This Row],[Resolution Duration Hours]] &lt;= Tickets[[#This Row],[SLA_Target_Hours]], "Yes", "No")</f>
        <v>Yes</v>
      </c>
    </row>
    <row r="948" spans="1:16" hidden="1">
      <c r="A948">
        <v>947</v>
      </c>
      <c r="B948" t="s">
        <v>954</v>
      </c>
      <c r="C948" t="s">
        <v>2929</v>
      </c>
      <c r="D948" t="s">
        <v>3995</v>
      </c>
      <c r="E948" s="1">
        <v>44055</v>
      </c>
      <c r="F948" t="s">
        <v>3999</v>
      </c>
      <c r="G948" t="s">
        <v>4011</v>
      </c>
      <c r="H948" t="s">
        <v>4019</v>
      </c>
      <c r="I948" t="s">
        <v>4023</v>
      </c>
      <c r="J948" t="s">
        <v>4028</v>
      </c>
      <c r="K948" s="2">
        <v>44131</v>
      </c>
      <c r="L948" s="2">
        <v>44134</v>
      </c>
      <c r="M948">
        <v>5</v>
      </c>
      <c r="N948">
        <v>72</v>
      </c>
      <c r="O948">
        <f>IF(Tickets[[#This Row],[Ticket Priority]]="Critical",24,
IF(Tickets[[#This Row],[Ticket Priority]]="High",48,
IF(Tickets[[#This Row],[Ticket Priority]]="Medium",120,168)))</f>
        <v>120</v>
      </c>
      <c r="P948" t="str">
        <f>IF(Tickets[[#This Row],[Resolution Duration Hours]] &lt;= Tickets[[#This Row],[SLA_Target_Hours]], "Yes", "No")</f>
        <v>Yes</v>
      </c>
    </row>
    <row r="949" spans="1:16" hidden="1">
      <c r="A949">
        <v>948</v>
      </c>
      <c r="B949" t="s">
        <v>955</v>
      </c>
      <c r="C949" t="s">
        <v>2930</v>
      </c>
      <c r="D949" t="s">
        <v>3987</v>
      </c>
      <c r="E949" s="1">
        <v>44990</v>
      </c>
      <c r="F949" t="s">
        <v>4000</v>
      </c>
      <c r="G949" t="s">
        <v>4016</v>
      </c>
      <c r="H949" t="s">
        <v>4018</v>
      </c>
      <c r="I949" t="s">
        <v>4022</v>
      </c>
      <c r="J949" t="s">
        <v>4026</v>
      </c>
      <c r="K949" s="2">
        <v>45136</v>
      </c>
      <c r="L949" s="2">
        <v>45136</v>
      </c>
      <c r="M949">
        <v>4</v>
      </c>
      <c r="N949">
        <v>0</v>
      </c>
      <c r="O949">
        <f>IF(Tickets[[#This Row],[Ticket Priority]]="Critical",24,
IF(Tickets[[#This Row],[Ticket Priority]]="High",48,
IF(Tickets[[#This Row],[Ticket Priority]]="Medium",120,168)))</f>
        <v>24</v>
      </c>
      <c r="P949" t="str">
        <f>IF(Tickets[[#This Row],[Resolution Duration Hours]] &lt;= Tickets[[#This Row],[SLA_Target_Hours]], "Yes", "No")</f>
        <v>Yes</v>
      </c>
    </row>
    <row r="950" spans="1:16">
      <c r="A950">
        <v>264</v>
      </c>
      <c r="B950" t="s">
        <v>277</v>
      </c>
      <c r="C950" t="s">
        <v>2247</v>
      </c>
      <c r="D950" t="s">
        <v>3993</v>
      </c>
      <c r="E950" s="1">
        <v>44665</v>
      </c>
      <c r="F950" t="s">
        <v>3999</v>
      </c>
      <c r="G950" t="s">
        <v>4013</v>
      </c>
      <c r="H950" t="s">
        <v>4018</v>
      </c>
      <c r="I950" t="s">
        <v>4024</v>
      </c>
      <c r="J950" t="s">
        <v>4028</v>
      </c>
      <c r="K950" s="2">
        <v>44739</v>
      </c>
      <c r="L950" s="2">
        <v>44747</v>
      </c>
      <c r="M950">
        <v>5</v>
      </c>
      <c r="N950">
        <v>192</v>
      </c>
      <c r="O950">
        <f>IF(Tickets[[#This Row],[Ticket Priority]]="Critical",24,
IF(Tickets[[#This Row],[Ticket Priority]]="High",48,
IF(Tickets[[#This Row],[Ticket Priority]]="Medium",120,168)))</f>
        <v>168</v>
      </c>
      <c r="P950" t="str">
        <f>IF(Tickets[[#This Row],[Resolution Duration Hours]] &lt;= Tickets[[#This Row],[SLA_Target_Hours]], "Yes", "No")</f>
        <v>No</v>
      </c>
    </row>
    <row r="951" spans="1:16" hidden="1">
      <c r="A951">
        <v>950</v>
      </c>
      <c r="B951" t="s">
        <v>957</v>
      </c>
      <c r="C951" t="s">
        <v>2932</v>
      </c>
      <c r="D951" t="s">
        <v>3985</v>
      </c>
      <c r="E951" s="1">
        <v>44585</v>
      </c>
      <c r="F951" t="s">
        <v>4001</v>
      </c>
      <c r="G951" t="s">
        <v>4016</v>
      </c>
      <c r="H951" t="s">
        <v>4019</v>
      </c>
      <c r="I951" t="s">
        <v>4022</v>
      </c>
      <c r="J951" t="s">
        <v>4028</v>
      </c>
      <c r="K951" s="2">
        <v>44693</v>
      </c>
      <c r="L951" s="2">
        <v>44694</v>
      </c>
      <c r="M951">
        <v>5</v>
      </c>
      <c r="N951">
        <v>24</v>
      </c>
      <c r="O951">
        <f>IF(Tickets[[#This Row],[Ticket Priority]]="Critical",24,
IF(Tickets[[#This Row],[Ticket Priority]]="High",48,
IF(Tickets[[#This Row],[Ticket Priority]]="Medium",120,168)))</f>
        <v>24</v>
      </c>
      <c r="P951" t="str">
        <f>IF(Tickets[[#This Row],[Resolution Duration Hours]] &lt;= Tickets[[#This Row],[SLA_Target_Hours]], "Yes", "No")</f>
        <v>Yes</v>
      </c>
    </row>
    <row r="952" spans="1:16" hidden="1">
      <c r="A952">
        <v>951</v>
      </c>
      <c r="B952" t="s">
        <v>958</v>
      </c>
      <c r="C952" t="s">
        <v>2933</v>
      </c>
      <c r="D952" t="s">
        <v>3992</v>
      </c>
      <c r="E952" s="1">
        <v>44165</v>
      </c>
      <c r="F952" t="s">
        <v>4000</v>
      </c>
      <c r="G952" t="s">
        <v>4005</v>
      </c>
      <c r="H952" t="s">
        <v>4017</v>
      </c>
      <c r="I952" t="s">
        <v>4023</v>
      </c>
      <c r="J952" t="s">
        <v>4026</v>
      </c>
      <c r="K952" s="2">
        <v>44325</v>
      </c>
      <c r="L952" s="2">
        <v>44330</v>
      </c>
      <c r="N952">
        <v>120</v>
      </c>
      <c r="O952">
        <f>IF(Tickets[[#This Row],[Ticket Priority]]="Critical",24,
IF(Tickets[[#This Row],[Ticket Priority]]="High",48,
IF(Tickets[[#This Row],[Ticket Priority]]="Medium",120,168)))</f>
        <v>120</v>
      </c>
      <c r="P952" t="str">
        <f>IF(Tickets[[#This Row],[Resolution Duration Hours]] &lt;= Tickets[[#This Row],[SLA_Target_Hours]], "Yes", "No")</f>
        <v>Yes</v>
      </c>
    </row>
    <row r="953" spans="1:16" hidden="1">
      <c r="A953">
        <v>952</v>
      </c>
      <c r="B953" t="s">
        <v>959</v>
      </c>
      <c r="C953" t="s">
        <v>2934</v>
      </c>
      <c r="D953" t="s">
        <v>3990</v>
      </c>
      <c r="E953" s="1">
        <v>44721</v>
      </c>
      <c r="F953" t="s">
        <v>4001</v>
      </c>
      <c r="G953" t="s">
        <v>4003</v>
      </c>
      <c r="H953" t="s">
        <v>4018</v>
      </c>
      <c r="I953" t="s">
        <v>4023</v>
      </c>
      <c r="J953" t="s">
        <v>4026</v>
      </c>
      <c r="K953" s="2">
        <v>44776</v>
      </c>
      <c r="L953" s="2">
        <v>44780</v>
      </c>
      <c r="M953">
        <v>5</v>
      </c>
      <c r="N953">
        <v>96</v>
      </c>
      <c r="O953">
        <f>IF(Tickets[[#This Row],[Ticket Priority]]="Critical",24,
IF(Tickets[[#This Row],[Ticket Priority]]="High",48,
IF(Tickets[[#This Row],[Ticket Priority]]="Medium",120,168)))</f>
        <v>120</v>
      </c>
      <c r="P953" t="str">
        <f>IF(Tickets[[#This Row],[Resolution Duration Hours]] &lt;= Tickets[[#This Row],[SLA_Target_Hours]], "Yes", "No")</f>
        <v>Yes</v>
      </c>
    </row>
    <row r="954" spans="1:16" hidden="1">
      <c r="A954">
        <v>953</v>
      </c>
      <c r="B954" t="s">
        <v>960</v>
      </c>
      <c r="C954" t="s">
        <v>2935</v>
      </c>
      <c r="D954" t="s">
        <v>3987</v>
      </c>
      <c r="E954" s="1">
        <v>44037</v>
      </c>
      <c r="F954" t="s">
        <v>4001</v>
      </c>
      <c r="G954" t="s">
        <v>4009</v>
      </c>
      <c r="H954" t="s">
        <v>4018</v>
      </c>
      <c r="I954" t="s">
        <v>4021</v>
      </c>
      <c r="J954" t="s">
        <v>4028</v>
      </c>
      <c r="K954" s="2">
        <v>44195</v>
      </c>
      <c r="L954" s="2">
        <v>44196</v>
      </c>
      <c r="N954">
        <v>24</v>
      </c>
      <c r="O954">
        <f>IF(Tickets[[#This Row],[Ticket Priority]]="Critical",24,
IF(Tickets[[#This Row],[Ticket Priority]]="High",48,
IF(Tickets[[#This Row],[Ticket Priority]]="Medium",120,168)))</f>
        <v>48</v>
      </c>
      <c r="P954" t="str">
        <f>IF(Tickets[[#This Row],[Resolution Duration Hours]] &lt;= Tickets[[#This Row],[SLA_Target_Hours]], "Yes", "No")</f>
        <v>Yes</v>
      </c>
    </row>
    <row r="955" spans="1:16" hidden="1">
      <c r="A955">
        <v>954</v>
      </c>
      <c r="B955" t="s">
        <v>961</v>
      </c>
      <c r="C955" t="s">
        <v>2936</v>
      </c>
      <c r="D955" t="s">
        <v>3992</v>
      </c>
      <c r="E955" s="1">
        <v>44336</v>
      </c>
      <c r="F955" t="s">
        <v>3998</v>
      </c>
      <c r="G955" t="s">
        <v>4005</v>
      </c>
      <c r="H955" t="s">
        <v>4020</v>
      </c>
      <c r="I955" t="s">
        <v>4021</v>
      </c>
      <c r="J955" t="s">
        <v>4027</v>
      </c>
      <c r="K955" s="2">
        <v>44359</v>
      </c>
      <c r="L955" s="2">
        <v>44360</v>
      </c>
      <c r="N955">
        <v>24</v>
      </c>
      <c r="O955">
        <f>IF(Tickets[[#This Row],[Ticket Priority]]="Critical",24,
IF(Tickets[[#This Row],[Ticket Priority]]="High",48,
IF(Tickets[[#This Row],[Ticket Priority]]="Medium",120,168)))</f>
        <v>48</v>
      </c>
      <c r="P955" t="str">
        <f>IF(Tickets[[#This Row],[Resolution Duration Hours]] &lt;= Tickets[[#This Row],[SLA_Target_Hours]], "Yes", "No")</f>
        <v>Yes</v>
      </c>
    </row>
    <row r="956" spans="1:16" hidden="1">
      <c r="A956">
        <v>955</v>
      </c>
      <c r="B956" t="s">
        <v>962</v>
      </c>
      <c r="C956" t="s">
        <v>2937</v>
      </c>
      <c r="D956" t="s">
        <v>3983</v>
      </c>
      <c r="E956" s="1">
        <v>44671</v>
      </c>
      <c r="F956" t="s">
        <v>3998</v>
      </c>
      <c r="G956" t="s">
        <v>4003</v>
      </c>
      <c r="H956" t="s">
        <v>4017</v>
      </c>
      <c r="I956" t="s">
        <v>4024</v>
      </c>
      <c r="J956" t="s">
        <v>4026</v>
      </c>
      <c r="K956" s="2">
        <v>44871</v>
      </c>
      <c r="L956" s="2">
        <v>44877</v>
      </c>
      <c r="N956">
        <v>144</v>
      </c>
      <c r="O956">
        <f>IF(Tickets[[#This Row],[Ticket Priority]]="Critical",24,
IF(Tickets[[#This Row],[Ticket Priority]]="High",48,
IF(Tickets[[#This Row],[Ticket Priority]]="Medium",120,168)))</f>
        <v>168</v>
      </c>
      <c r="P956" t="str">
        <f>IF(Tickets[[#This Row],[Resolution Duration Hours]] &lt;= Tickets[[#This Row],[SLA_Target_Hours]], "Yes", "No")</f>
        <v>Yes</v>
      </c>
    </row>
    <row r="957" spans="1:16" hidden="1">
      <c r="A957">
        <v>956</v>
      </c>
      <c r="B957" t="s">
        <v>963</v>
      </c>
      <c r="C957" t="s">
        <v>2938</v>
      </c>
      <c r="D957" t="s">
        <v>3997</v>
      </c>
      <c r="E957" s="1">
        <v>44809</v>
      </c>
      <c r="F957" t="s">
        <v>4000</v>
      </c>
      <c r="G957" t="s">
        <v>4003</v>
      </c>
      <c r="H957" t="s">
        <v>4017</v>
      </c>
      <c r="I957" t="s">
        <v>4024</v>
      </c>
      <c r="J957" t="s">
        <v>4026</v>
      </c>
      <c r="K957" s="2">
        <v>44885</v>
      </c>
      <c r="L957" s="2">
        <v>44891</v>
      </c>
      <c r="N957">
        <v>144</v>
      </c>
      <c r="O957">
        <f>IF(Tickets[[#This Row],[Ticket Priority]]="Critical",24,
IF(Tickets[[#This Row],[Ticket Priority]]="High",48,
IF(Tickets[[#This Row],[Ticket Priority]]="Medium",120,168)))</f>
        <v>168</v>
      </c>
      <c r="P957" t="str">
        <f>IF(Tickets[[#This Row],[Resolution Duration Hours]] &lt;= Tickets[[#This Row],[SLA_Target_Hours]], "Yes", "No")</f>
        <v>Yes</v>
      </c>
    </row>
    <row r="958" spans="1:16" hidden="1">
      <c r="A958">
        <v>957</v>
      </c>
      <c r="B958" t="s">
        <v>964</v>
      </c>
      <c r="C958" t="s">
        <v>2939</v>
      </c>
      <c r="D958" t="s">
        <v>3988</v>
      </c>
      <c r="E958" s="1">
        <v>44672</v>
      </c>
      <c r="F958" t="s">
        <v>3998</v>
      </c>
      <c r="G958" t="s">
        <v>4015</v>
      </c>
      <c r="H958" t="s">
        <v>4018</v>
      </c>
      <c r="I958" t="s">
        <v>4024</v>
      </c>
      <c r="J958" t="s">
        <v>4027</v>
      </c>
      <c r="K958" s="2">
        <v>44790</v>
      </c>
      <c r="L958" s="2">
        <v>44795</v>
      </c>
      <c r="M958">
        <v>5</v>
      </c>
      <c r="N958">
        <v>120</v>
      </c>
      <c r="O958">
        <f>IF(Tickets[[#This Row],[Ticket Priority]]="Critical",24,
IF(Tickets[[#This Row],[Ticket Priority]]="High",48,
IF(Tickets[[#This Row],[Ticket Priority]]="Medium",120,168)))</f>
        <v>168</v>
      </c>
      <c r="P958" t="str">
        <f>IF(Tickets[[#This Row],[Resolution Duration Hours]] &lt;= Tickets[[#This Row],[SLA_Target_Hours]], "Yes", "No")</f>
        <v>Yes</v>
      </c>
    </row>
    <row r="959" spans="1:16" hidden="1">
      <c r="A959">
        <v>958</v>
      </c>
      <c r="B959" t="s">
        <v>965</v>
      </c>
      <c r="C959" t="s">
        <v>2940</v>
      </c>
      <c r="D959" t="s">
        <v>3997</v>
      </c>
      <c r="E959" s="1">
        <v>44017</v>
      </c>
      <c r="F959" t="s">
        <v>4000</v>
      </c>
      <c r="G959" t="s">
        <v>4005</v>
      </c>
      <c r="H959" t="s">
        <v>4019</v>
      </c>
      <c r="I959" t="s">
        <v>4021</v>
      </c>
      <c r="J959" t="s">
        <v>4026</v>
      </c>
      <c r="K959" s="2">
        <v>44191</v>
      </c>
      <c r="L959" s="2">
        <v>44193</v>
      </c>
      <c r="M959">
        <v>4</v>
      </c>
      <c r="N959">
        <v>48</v>
      </c>
      <c r="O959">
        <f>IF(Tickets[[#This Row],[Ticket Priority]]="Critical",24,
IF(Tickets[[#This Row],[Ticket Priority]]="High",48,
IF(Tickets[[#This Row],[Ticket Priority]]="Medium",120,168)))</f>
        <v>48</v>
      </c>
      <c r="P959" t="str">
        <f>IF(Tickets[[#This Row],[Resolution Duration Hours]] &lt;= Tickets[[#This Row],[SLA_Target_Hours]], "Yes", "No")</f>
        <v>Yes</v>
      </c>
    </row>
    <row r="960" spans="1:16">
      <c r="A960">
        <v>273</v>
      </c>
      <c r="B960" t="s">
        <v>286</v>
      </c>
      <c r="C960" t="s">
        <v>2256</v>
      </c>
      <c r="D960" t="s">
        <v>3979</v>
      </c>
      <c r="E960" s="1">
        <v>43920</v>
      </c>
      <c r="F960" t="s">
        <v>4002</v>
      </c>
      <c r="G960" t="s">
        <v>4003</v>
      </c>
      <c r="H960" t="s">
        <v>4020</v>
      </c>
      <c r="I960" t="s">
        <v>4024</v>
      </c>
      <c r="J960" t="s">
        <v>4026</v>
      </c>
      <c r="K960" s="2">
        <v>43972</v>
      </c>
      <c r="L960" s="2">
        <v>43980</v>
      </c>
      <c r="N960">
        <v>192</v>
      </c>
      <c r="O960">
        <f>IF(Tickets[[#This Row],[Ticket Priority]]="Critical",24,
IF(Tickets[[#This Row],[Ticket Priority]]="High",48,
IF(Tickets[[#This Row],[Ticket Priority]]="Medium",120,168)))</f>
        <v>168</v>
      </c>
      <c r="P960" t="str">
        <f>IF(Tickets[[#This Row],[Resolution Duration Hours]] &lt;= Tickets[[#This Row],[SLA_Target_Hours]], "Yes", "No")</f>
        <v>No</v>
      </c>
    </row>
    <row r="961" spans="1:16" hidden="1">
      <c r="A961">
        <v>960</v>
      </c>
      <c r="B961" t="s">
        <v>967</v>
      </c>
      <c r="C961" t="s">
        <v>2942</v>
      </c>
      <c r="D961" t="s">
        <v>3988</v>
      </c>
      <c r="E961" s="1">
        <v>44509</v>
      </c>
      <c r="F961" t="s">
        <v>4001</v>
      </c>
      <c r="G961" t="s">
        <v>4003</v>
      </c>
      <c r="H961" t="s">
        <v>4018</v>
      </c>
      <c r="I961" t="s">
        <v>4023</v>
      </c>
      <c r="J961" t="s">
        <v>4026</v>
      </c>
      <c r="K961" s="2">
        <v>44764</v>
      </c>
      <c r="L961" s="2">
        <v>44766</v>
      </c>
      <c r="M961">
        <v>4</v>
      </c>
      <c r="N961">
        <v>48</v>
      </c>
      <c r="O961">
        <f>IF(Tickets[[#This Row],[Ticket Priority]]="Critical",24,
IF(Tickets[[#This Row],[Ticket Priority]]="High",48,
IF(Tickets[[#This Row],[Ticket Priority]]="Medium",120,168)))</f>
        <v>120</v>
      </c>
      <c r="P961" t="str">
        <f>IF(Tickets[[#This Row],[Resolution Duration Hours]] &lt;= Tickets[[#This Row],[SLA_Target_Hours]], "Yes", "No")</f>
        <v>Yes</v>
      </c>
    </row>
    <row r="962" spans="1:16" hidden="1">
      <c r="A962">
        <v>961</v>
      </c>
      <c r="B962" t="s">
        <v>968</v>
      </c>
      <c r="C962" t="s">
        <v>2943</v>
      </c>
      <c r="D962" t="s">
        <v>3984</v>
      </c>
      <c r="E962" s="1">
        <v>44672</v>
      </c>
      <c r="F962" t="s">
        <v>3998</v>
      </c>
      <c r="G962" t="s">
        <v>4011</v>
      </c>
      <c r="H962" t="s">
        <v>4020</v>
      </c>
      <c r="I962" t="s">
        <v>4024</v>
      </c>
      <c r="J962" t="s">
        <v>4027</v>
      </c>
      <c r="K962" s="2">
        <v>44805</v>
      </c>
      <c r="L962" s="2">
        <v>44809</v>
      </c>
      <c r="N962">
        <v>96</v>
      </c>
      <c r="O962">
        <f>IF(Tickets[[#This Row],[Ticket Priority]]="Critical",24,
IF(Tickets[[#This Row],[Ticket Priority]]="High",48,
IF(Tickets[[#This Row],[Ticket Priority]]="Medium",120,168)))</f>
        <v>168</v>
      </c>
      <c r="P962" t="str">
        <f>IF(Tickets[[#This Row],[Resolution Duration Hours]] &lt;= Tickets[[#This Row],[SLA_Target_Hours]], "Yes", "No")</f>
        <v>Yes</v>
      </c>
    </row>
    <row r="963" spans="1:16" hidden="1">
      <c r="A963">
        <v>962</v>
      </c>
      <c r="B963" t="s">
        <v>969</v>
      </c>
      <c r="C963" t="s">
        <v>2944</v>
      </c>
      <c r="D963" t="s">
        <v>3994</v>
      </c>
      <c r="E963" s="1">
        <v>44093</v>
      </c>
      <c r="F963" t="s">
        <v>3998</v>
      </c>
      <c r="G963" t="s">
        <v>4007</v>
      </c>
      <c r="H963" t="s">
        <v>4018</v>
      </c>
      <c r="I963" t="s">
        <v>4023</v>
      </c>
      <c r="J963" t="s">
        <v>4026</v>
      </c>
      <c r="K963" s="2">
        <v>44279</v>
      </c>
      <c r="L963" s="2">
        <v>44280</v>
      </c>
      <c r="M963">
        <v>4</v>
      </c>
      <c r="N963">
        <v>24</v>
      </c>
      <c r="O963">
        <f>IF(Tickets[[#This Row],[Ticket Priority]]="Critical",24,
IF(Tickets[[#This Row],[Ticket Priority]]="High",48,
IF(Tickets[[#This Row],[Ticket Priority]]="Medium",120,168)))</f>
        <v>120</v>
      </c>
      <c r="P963" t="str">
        <f>IF(Tickets[[#This Row],[Resolution Duration Hours]] &lt;= Tickets[[#This Row],[SLA_Target_Hours]], "Yes", "No")</f>
        <v>Yes</v>
      </c>
    </row>
    <row r="964" spans="1:16" hidden="1">
      <c r="A964">
        <v>963</v>
      </c>
      <c r="B964" t="s">
        <v>970</v>
      </c>
      <c r="C964" t="s">
        <v>2945</v>
      </c>
      <c r="D964" t="s">
        <v>3995</v>
      </c>
      <c r="E964" s="1">
        <v>44472</v>
      </c>
      <c r="F964" t="s">
        <v>4001</v>
      </c>
      <c r="G964" t="s">
        <v>4015</v>
      </c>
      <c r="H964" t="s">
        <v>4017</v>
      </c>
      <c r="I964" t="s">
        <v>4024</v>
      </c>
      <c r="J964" t="s">
        <v>4027</v>
      </c>
      <c r="K964" s="2">
        <v>44731</v>
      </c>
      <c r="L964" s="2">
        <v>44737</v>
      </c>
      <c r="N964">
        <v>144</v>
      </c>
      <c r="O964">
        <f>IF(Tickets[[#This Row],[Ticket Priority]]="Critical",24,
IF(Tickets[[#This Row],[Ticket Priority]]="High",48,
IF(Tickets[[#This Row],[Ticket Priority]]="Medium",120,168)))</f>
        <v>168</v>
      </c>
      <c r="P964" t="str">
        <f>IF(Tickets[[#This Row],[Resolution Duration Hours]] &lt;= Tickets[[#This Row],[SLA_Target_Hours]], "Yes", "No")</f>
        <v>Yes</v>
      </c>
    </row>
    <row r="965" spans="1:16" hidden="1">
      <c r="A965">
        <v>964</v>
      </c>
      <c r="B965" t="s">
        <v>971</v>
      </c>
      <c r="C965" t="s">
        <v>2946</v>
      </c>
      <c r="D965" t="s">
        <v>3993</v>
      </c>
      <c r="E965" s="1">
        <v>44741</v>
      </c>
      <c r="F965" t="s">
        <v>4001</v>
      </c>
      <c r="G965" t="s">
        <v>4005</v>
      </c>
      <c r="H965" t="s">
        <v>4018</v>
      </c>
      <c r="I965" t="s">
        <v>4022</v>
      </c>
      <c r="J965" t="s">
        <v>4026</v>
      </c>
      <c r="K965" s="2">
        <v>45099</v>
      </c>
      <c r="L965" s="2">
        <v>45100</v>
      </c>
      <c r="M965">
        <v>5</v>
      </c>
      <c r="N965">
        <v>24</v>
      </c>
      <c r="O965">
        <f>IF(Tickets[[#This Row],[Ticket Priority]]="Critical",24,
IF(Tickets[[#This Row],[Ticket Priority]]="High",48,
IF(Tickets[[#This Row],[Ticket Priority]]="Medium",120,168)))</f>
        <v>24</v>
      </c>
      <c r="P965" t="str">
        <f>IF(Tickets[[#This Row],[Resolution Duration Hours]] &lt;= Tickets[[#This Row],[SLA_Target_Hours]], "Yes", "No")</f>
        <v>Yes</v>
      </c>
    </row>
    <row r="966" spans="1:16" hidden="1">
      <c r="A966">
        <v>965</v>
      </c>
      <c r="B966" t="s">
        <v>972</v>
      </c>
      <c r="C966" t="s">
        <v>2947</v>
      </c>
      <c r="D966" t="s">
        <v>3984</v>
      </c>
      <c r="E966" s="1">
        <v>44463</v>
      </c>
      <c r="F966" t="s">
        <v>4001</v>
      </c>
      <c r="G966" t="s">
        <v>4006</v>
      </c>
      <c r="H966" t="s">
        <v>4018</v>
      </c>
      <c r="I966" t="s">
        <v>4023</v>
      </c>
      <c r="J966" t="s">
        <v>4026</v>
      </c>
      <c r="K966" s="2">
        <v>44805</v>
      </c>
      <c r="L966" s="2">
        <v>44807</v>
      </c>
      <c r="N966">
        <v>48</v>
      </c>
      <c r="O966">
        <f>IF(Tickets[[#This Row],[Ticket Priority]]="Critical",24,
IF(Tickets[[#This Row],[Ticket Priority]]="High",48,
IF(Tickets[[#This Row],[Ticket Priority]]="Medium",120,168)))</f>
        <v>120</v>
      </c>
      <c r="P966" t="str">
        <f>IF(Tickets[[#This Row],[Resolution Duration Hours]] &lt;= Tickets[[#This Row],[SLA_Target_Hours]], "Yes", "No")</f>
        <v>Yes</v>
      </c>
    </row>
    <row r="967" spans="1:16">
      <c r="A967">
        <v>288</v>
      </c>
      <c r="B967" t="s">
        <v>301</v>
      </c>
      <c r="C967" t="s">
        <v>2271</v>
      </c>
      <c r="D967" t="s">
        <v>3982</v>
      </c>
      <c r="E967" s="1">
        <v>44246</v>
      </c>
      <c r="F967" t="s">
        <v>3999</v>
      </c>
      <c r="G967" t="s">
        <v>4008</v>
      </c>
      <c r="H967" t="s">
        <v>4017</v>
      </c>
      <c r="I967" t="s">
        <v>4024</v>
      </c>
      <c r="J967" t="s">
        <v>4028</v>
      </c>
      <c r="K967" s="2">
        <v>44360</v>
      </c>
      <c r="L967" s="2">
        <v>44368</v>
      </c>
      <c r="N967">
        <v>192</v>
      </c>
      <c r="O967">
        <f>IF(Tickets[[#This Row],[Ticket Priority]]="Critical",24,
IF(Tickets[[#This Row],[Ticket Priority]]="High",48,
IF(Tickets[[#This Row],[Ticket Priority]]="Medium",120,168)))</f>
        <v>168</v>
      </c>
      <c r="P967" t="str">
        <f>IF(Tickets[[#This Row],[Resolution Duration Hours]] &lt;= Tickets[[#This Row],[SLA_Target_Hours]], "Yes", "No")</f>
        <v>No</v>
      </c>
    </row>
    <row r="968" spans="1:16" hidden="1">
      <c r="A968">
        <v>967</v>
      </c>
      <c r="B968" t="s">
        <v>974</v>
      </c>
      <c r="C968" t="s">
        <v>2949</v>
      </c>
      <c r="D968" t="s">
        <v>3994</v>
      </c>
      <c r="E968" s="1">
        <v>44608</v>
      </c>
      <c r="F968" t="s">
        <v>4000</v>
      </c>
      <c r="G968" t="s">
        <v>4010</v>
      </c>
      <c r="H968" t="s">
        <v>4017</v>
      </c>
      <c r="I968" t="s">
        <v>4023</v>
      </c>
      <c r="J968" t="s">
        <v>4028</v>
      </c>
      <c r="K968" s="2">
        <v>44887</v>
      </c>
      <c r="L968" s="2">
        <v>44891</v>
      </c>
      <c r="N968">
        <v>96</v>
      </c>
      <c r="O968">
        <f>IF(Tickets[[#This Row],[Ticket Priority]]="Critical",24,
IF(Tickets[[#This Row],[Ticket Priority]]="High",48,
IF(Tickets[[#This Row],[Ticket Priority]]="Medium",120,168)))</f>
        <v>120</v>
      </c>
      <c r="P968" t="str">
        <f>IF(Tickets[[#This Row],[Resolution Duration Hours]] &lt;= Tickets[[#This Row],[SLA_Target_Hours]], "Yes", "No")</f>
        <v>Yes</v>
      </c>
    </row>
    <row r="969" spans="1:16" hidden="1">
      <c r="A969">
        <v>968</v>
      </c>
      <c r="B969" t="s">
        <v>975</v>
      </c>
      <c r="C969" t="s">
        <v>2950</v>
      </c>
      <c r="D969" t="s">
        <v>3981</v>
      </c>
      <c r="E969" s="1">
        <v>44693</v>
      </c>
      <c r="F969" t="s">
        <v>4000</v>
      </c>
      <c r="G969" t="s">
        <v>4012</v>
      </c>
      <c r="H969" t="s">
        <v>4017</v>
      </c>
      <c r="I969" t="s">
        <v>4021</v>
      </c>
      <c r="J969" t="s">
        <v>4025</v>
      </c>
      <c r="K969" s="2">
        <v>44914</v>
      </c>
      <c r="L969" s="2">
        <v>44915</v>
      </c>
      <c r="N969">
        <v>24</v>
      </c>
      <c r="O969">
        <f>IF(Tickets[[#This Row],[Ticket Priority]]="Critical",24,
IF(Tickets[[#This Row],[Ticket Priority]]="High",48,
IF(Tickets[[#This Row],[Ticket Priority]]="Medium",120,168)))</f>
        <v>48</v>
      </c>
      <c r="P969" t="str">
        <f>IF(Tickets[[#This Row],[Resolution Duration Hours]] &lt;= Tickets[[#This Row],[SLA_Target_Hours]], "Yes", "No")</f>
        <v>Yes</v>
      </c>
    </row>
    <row r="970" spans="1:16" hidden="1">
      <c r="A970">
        <v>969</v>
      </c>
      <c r="B970" t="s">
        <v>976</v>
      </c>
      <c r="C970" t="s">
        <v>2951</v>
      </c>
      <c r="D970" t="s">
        <v>3990</v>
      </c>
      <c r="E970" s="1">
        <v>44580</v>
      </c>
      <c r="F970" t="s">
        <v>4000</v>
      </c>
      <c r="G970" t="s">
        <v>4016</v>
      </c>
      <c r="H970" t="s">
        <v>4017</v>
      </c>
      <c r="I970" t="s">
        <v>4021</v>
      </c>
      <c r="J970" t="s">
        <v>4027</v>
      </c>
      <c r="K970" s="2">
        <v>44905</v>
      </c>
      <c r="L970" s="2">
        <v>44906</v>
      </c>
      <c r="N970">
        <v>24</v>
      </c>
      <c r="O970">
        <f>IF(Tickets[[#This Row],[Ticket Priority]]="Critical",24,
IF(Tickets[[#This Row],[Ticket Priority]]="High",48,
IF(Tickets[[#This Row],[Ticket Priority]]="Medium",120,168)))</f>
        <v>48</v>
      </c>
      <c r="P970" t="str">
        <f>IF(Tickets[[#This Row],[Resolution Duration Hours]] &lt;= Tickets[[#This Row],[SLA_Target_Hours]], "Yes", "No")</f>
        <v>Yes</v>
      </c>
    </row>
    <row r="971" spans="1:16" hidden="1">
      <c r="A971">
        <v>970</v>
      </c>
      <c r="B971" t="s">
        <v>977</v>
      </c>
      <c r="C971" t="s">
        <v>2952</v>
      </c>
      <c r="D971" t="s">
        <v>3995</v>
      </c>
      <c r="E971" s="1">
        <v>44268</v>
      </c>
      <c r="F971" t="s">
        <v>4000</v>
      </c>
      <c r="G971" t="s">
        <v>4007</v>
      </c>
      <c r="H971" t="s">
        <v>4017</v>
      </c>
      <c r="I971" t="s">
        <v>4024</v>
      </c>
      <c r="J971" t="s">
        <v>4027</v>
      </c>
      <c r="K971" s="2">
        <v>44536</v>
      </c>
      <c r="L971" s="2">
        <v>44541</v>
      </c>
      <c r="N971">
        <v>120</v>
      </c>
      <c r="O971">
        <f>IF(Tickets[[#This Row],[Ticket Priority]]="Critical",24,
IF(Tickets[[#This Row],[Ticket Priority]]="High",48,
IF(Tickets[[#This Row],[Ticket Priority]]="Medium",120,168)))</f>
        <v>168</v>
      </c>
      <c r="P971" t="str">
        <f>IF(Tickets[[#This Row],[Resolution Duration Hours]] &lt;= Tickets[[#This Row],[SLA_Target_Hours]], "Yes", "No")</f>
        <v>Yes</v>
      </c>
    </row>
    <row r="972" spans="1:16">
      <c r="A972">
        <v>297</v>
      </c>
      <c r="B972" t="s">
        <v>310</v>
      </c>
      <c r="C972" t="s">
        <v>2280</v>
      </c>
      <c r="D972" t="s">
        <v>3994</v>
      </c>
      <c r="E972" s="1">
        <v>44414</v>
      </c>
      <c r="F972" t="s">
        <v>3999</v>
      </c>
      <c r="G972" t="s">
        <v>4012</v>
      </c>
      <c r="H972" t="s">
        <v>4018</v>
      </c>
      <c r="I972" t="s">
        <v>4023</v>
      </c>
      <c r="J972" t="s">
        <v>4028</v>
      </c>
      <c r="K972" s="2">
        <v>44524</v>
      </c>
      <c r="L972" s="2">
        <v>44532</v>
      </c>
      <c r="M972">
        <v>5</v>
      </c>
      <c r="N972">
        <v>192</v>
      </c>
      <c r="O972">
        <f>IF(Tickets[[#This Row],[Ticket Priority]]="Critical",24,
IF(Tickets[[#This Row],[Ticket Priority]]="High",48,
IF(Tickets[[#This Row],[Ticket Priority]]="Medium",120,168)))</f>
        <v>120</v>
      </c>
      <c r="P972" t="str">
        <f>IF(Tickets[[#This Row],[Resolution Duration Hours]] &lt;= Tickets[[#This Row],[SLA_Target_Hours]], "Yes", "No")</f>
        <v>No</v>
      </c>
    </row>
    <row r="973" spans="1:16">
      <c r="A973">
        <v>340</v>
      </c>
      <c r="B973" t="s">
        <v>353</v>
      </c>
      <c r="C973" t="s">
        <v>2323</v>
      </c>
      <c r="D973" t="s">
        <v>3990</v>
      </c>
      <c r="E973" s="1">
        <v>44339</v>
      </c>
      <c r="F973" t="s">
        <v>3998</v>
      </c>
      <c r="G973" t="s">
        <v>4000</v>
      </c>
      <c r="H973" t="s">
        <v>4018</v>
      </c>
      <c r="I973" t="s">
        <v>4024</v>
      </c>
      <c r="J973" t="s">
        <v>4028</v>
      </c>
      <c r="K973" s="2">
        <v>44555</v>
      </c>
      <c r="L973" s="2">
        <v>44563</v>
      </c>
      <c r="M973">
        <v>4</v>
      </c>
      <c r="N973">
        <v>192</v>
      </c>
      <c r="O973">
        <f>IF(Tickets[[#This Row],[Ticket Priority]]="Critical",24,
IF(Tickets[[#This Row],[Ticket Priority]]="High",48,
IF(Tickets[[#This Row],[Ticket Priority]]="Medium",120,168)))</f>
        <v>168</v>
      </c>
      <c r="P973" t="str">
        <f>IF(Tickets[[#This Row],[Resolution Duration Hours]] &lt;= Tickets[[#This Row],[SLA_Target_Hours]], "Yes", "No")</f>
        <v>No</v>
      </c>
    </row>
    <row r="974" spans="1:16" hidden="1">
      <c r="A974">
        <v>973</v>
      </c>
      <c r="B974" t="s">
        <v>980</v>
      </c>
      <c r="C974" t="s">
        <v>2955</v>
      </c>
      <c r="D974" t="s">
        <v>3983</v>
      </c>
      <c r="E974" s="1">
        <v>44776</v>
      </c>
      <c r="F974" t="s">
        <v>4000</v>
      </c>
      <c r="G974" t="s">
        <v>4012</v>
      </c>
      <c r="H974" t="s">
        <v>4018</v>
      </c>
      <c r="I974" t="s">
        <v>4023</v>
      </c>
      <c r="J974" t="s">
        <v>4027</v>
      </c>
      <c r="K974" s="2">
        <v>44783</v>
      </c>
      <c r="L974" s="2">
        <v>44786</v>
      </c>
      <c r="M974">
        <v>3</v>
      </c>
      <c r="N974">
        <v>72</v>
      </c>
      <c r="O974">
        <f>IF(Tickets[[#This Row],[Ticket Priority]]="Critical",24,
IF(Tickets[[#This Row],[Ticket Priority]]="High",48,
IF(Tickets[[#This Row],[Ticket Priority]]="Medium",120,168)))</f>
        <v>120</v>
      </c>
      <c r="P974" t="str">
        <f>IF(Tickets[[#This Row],[Resolution Duration Hours]] &lt;= Tickets[[#This Row],[SLA_Target_Hours]], "Yes", "No")</f>
        <v>Yes</v>
      </c>
    </row>
    <row r="975" spans="1:16" hidden="1">
      <c r="A975">
        <v>974</v>
      </c>
      <c r="B975" t="s">
        <v>981</v>
      </c>
      <c r="C975" t="s">
        <v>2956</v>
      </c>
      <c r="D975" t="s">
        <v>3987</v>
      </c>
      <c r="E975" s="1">
        <v>44590</v>
      </c>
      <c r="F975" t="s">
        <v>4002</v>
      </c>
      <c r="G975" t="s">
        <v>4000</v>
      </c>
      <c r="H975" t="s">
        <v>4018</v>
      </c>
      <c r="I975" t="s">
        <v>4024</v>
      </c>
      <c r="J975" t="s">
        <v>4026</v>
      </c>
      <c r="K975" s="2">
        <v>44820</v>
      </c>
      <c r="L975" s="2">
        <v>44827</v>
      </c>
      <c r="M975">
        <v>3</v>
      </c>
      <c r="N975">
        <v>168</v>
      </c>
      <c r="O975">
        <f>IF(Tickets[[#This Row],[Ticket Priority]]="Critical",24,
IF(Tickets[[#This Row],[Ticket Priority]]="High",48,
IF(Tickets[[#This Row],[Ticket Priority]]="Medium",120,168)))</f>
        <v>168</v>
      </c>
      <c r="P975" t="str">
        <f>IF(Tickets[[#This Row],[Resolution Duration Hours]] &lt;= Tickets[[#This Row],[SLA_Target_Hours]], "Yes", "No")</f>
        <v>Yes</v>
      </c>
    </row>
    <row r="976" spans="1:16" hidden="1">
      <c r="A976">
        <v>975</v>
      </c>
      <c r="B976" t="s">
        <v>982</v>
      </c>
      <c r="C976" t="s">
        <v>2957</v>
      </c>
      <c r="D976" t="s">
        <v>3982</v>
      </c>
      <c r="E976" s="1">
        <v>44522</v>
      </c>
      <c r="F976" t="s">
        <v>3999</v>
      </c>
      <c r="G976" t="s">
        <v>4010</v>
      </c>
      <c r="H976" t="s">
        <v>4018</v>
      </c>
      <c r="I976" t="s">
        <v>4023</v>
      </c>
      <c r="J976" t="s">
        <v>4026</v>
      </c>
      <c r="K976" s="2">
        <v>44829</v>
      </c>
      <c r="L976" s="2">
        <v>44833</v>
      </c>
      <c r="M976">
        <v>4</v>
      </c>
      <c r="N976">
        <v>96</v>
      </c>
      <c r="O976">
        <f>IF(Tickets[[#This Row],[Ticket Priority]]="Critical",24,
IF(Tickets[[#This Row],[Ticket Priority]]="High",48,
IF(Tickets[[#This Row],[Ticket Priority]]="Medium",120,168)))</f>
        <v>120</v>
      </c>
      <c r="P976" t="str">
        <f>IF(Tickets[[#This Row],[Resolution Duration Hours]] &lt;= Tickets[[#This Row],[SLA_Target_Hours]], "Yes", "No")</f>
        <v>Yes</v>
      </c>
    </row>
    <row r="977" spans="1:16" hidden="1">
      <c r="A977">
        <v>976</v>
      </c>
      <c r="B977" t="s">
        <v>983</v>
      </c>
      <c r="C977" t="s">
        <v>2958</v>
      </c>
      <c r="D977" t="s">
        <v>3986</v>
      </c>
      <c r="E977" s="1">
        <v>44406</v>
      </c>
      <c r="F977" t="s">
        <v>3998</v>
      </c>
      <c r="G977" t="s">
        <v>4000</v>
      </c>
      <c r="H977" t="s">
        <v>4018</v>
      </c>
      <c r="I977" t="s">
        <v>4021</v>
      </c>
      <c r="J977" t="s">
        <v>4026</v>
      </c>
      <c r="K977" s="2">
        <v>44663</v>
      </c>
      <c r="L977" s="2">
        <v>44664</v>
      </c>
      <c r="M977">
        <v>3</v>
      </c>
      <c r="N977">
        <v>24</v>
      </c>
      <c r="O977">
        <f>IF(Tickets[[#This Row],[Ticket Priority]]="Critical",24,
IF(Tickets[[#This Row],[Ticket Priority]]="High",48,
IF(Tickets[[#This Row],[Ticket Priority]]="Medium",120,168)))</f>
        <v>48</v>
      </c>
      <c r="P977" t="str">
        <f>IF(Tickets[[#This Row],[Resolution Duration Hours]] &lt;= Tickets[[#This Row],[SLA_Target_Hours]], "Yes", "No")</f>
        <v>Yes</v>
      </c>
    </row>
    <row r="978" spans="1:16" hidden="1">
      <c r="A978">
        <v>977</v>
      </c>
      <c r="B978" t="s">
        <v>984</v>
      </c>
      <c r="C978" t="s">
        <v>2959</v>
      </c>
      <c r="D978" t="s">
        <v>3983</v>
      </c>
      <c r="E978" s="1">
        <v>44386</v>
      </c>
      <c r="F978" t="s">
        <v>3999</v>
      </c>
      <c r="G978" t="s">
        <v>4016</v>
      </c>
      <c r="H978" t="s">
        <v>4018</v>
      </c>
      <c r="I978" t="s">
        <v>4023</v>
      </c>
      <c r="J978" t="s">
        <v>4026</v>
      </c>
      <c r="K978" s="2">
        <v>44444</v>
      </c>
      <c r="L978" s="2">
        <v>44448</v>
      </c>
      <c r="M978">
        <v>4</v>
      </c>
      <c r="N978">
        <v>96</v>
      </c>
      <c r="O978">
        <f>IF(Tickets[[#This Row],[Ticket Priority]]="Critical",24,
IF(Tickets[[#This Row],[Ticket Priority]]="High",48,
IF(Tickets[[#This Row],[Ticket Priority]]="Medium",120,168)))</f>
        <v>120</v>
      </c>
      <c r="P978" t="str">
        <f>IF(Tickets[[#This Row],[Resolution Duration Hours]] &lt;= Tickets[[#This Row],[SLA_Target_Hours]], "Yes", "No")</f>
        <v>Yes</v>
      </c>
    </row>
    <row r="979" spans="1:16" hidden="1">
      <c r="A979">
        <v>978</v>
      </c>
      <c r="B979" t="s">
        <v>985</v>
      </c>
      <c r="C979" t="s">
        <v>2960</v>
      </c>
      <c r="D979" t="s">
        <v>3995</v>
      </c>
      <c r="E979" s="1">
        <v>43888</v>
      </c>
      <c r="F979" t="s">
        <v>4001</v>
      </c>
      <c r="G979" t="s">
        <v>4003</v>
      </c>
      <c r="H979" t="s">
        <v>4019</v>
      </c>
      <c r="I979" t="s">
        <v>4023</v>
      </c>
      <c r="J979" t="s">
        <v>4025</v>
      </c>
      <c r="K979" s="2">
        <v>44212</v>
      </c>
      <c r="L979" s="2">
        <v>44214</v>
      </c>
      <c r="M979">
        <v>2</v>
      </c>
      <c r="N979">
        <v>48</v>
      </c>
      <c r="O979">
        <f>IF(Tickets[[#This Row],[Ticket Priority]]="Critical",24,
IF(Tickets[[#This Row],[Ticket Priority]]="High",48,
IF(Tickets[[#This Row],[Ticket Priority]]="Medium",120,168)))</f>
        <v>120</v>
      </c>
      <c r="P979" t="str">
        <f>IF(Tickets[[#This Row],[Resolution Duration Hours]] &lt;= Tickets[[#This Row],[SLA_Target_Hours]], "Yes", "No")</f>
        <v>Yes</v>
      </c>
    </row>
    <row r="980" spans="1:16" hidden="1">
      <c r="A980">
        <v>979</v>
      </c>
      <c r="B980" t="s">
        <v>986</v>
      </c>
      <c r="C980" t="s">
        <v>2961</v>
      </c>
      <c r="D980" t="s">
        <v>3995</v>
      </c>
      <c r="E980" s="1">
        <v>44446</v>
      </c>
      <c r="F980" t="s">
        <v>3998</v>
      </c>
      <c r="G980" t="s">
        <v>4008</v>
      </c>
      <c r="H980" t="s">
        <v>4017</v>
      </c>
      <c r="I980" t="s">
        <v>4024</v>
      </c>
      <c r="J980" t="s">
        <v>4026</v>
      </c>
      <c r="K980" s="2">
        <v>44499</v>
      </c>
      <c r="L980" s="2">
        <v>44505</v>
      </c>
      <c r="N980">
        <v>144</v>
      </c>
      <c r="O980">
        <f>IF(Tickets[[#This Row],[Ticket Priority]]="Critical",24,
IF(Tickets[[#This Row],[Ticket Priority]]="High",48,
IF(Tickets[[#This Row],[Ticket Priority]]="Medium",120,168)))</f>
        <v>168</v>
      </c>
      <c r="P980" t="str">
        <f>IF(Tickets[[#This Row],[Resolution Duration Hours]] &lt;= Tickets[[#This Row],[SLA_Target_Hours]], "Yes", "No")</f>
        <v>Yes</v>
      </c>
    </row>
    <row r="981" spans="1:16">
      <c r="A981">
        <v>341</v>
      </c>
      <c r="B981" t="s">
        <v>354</v>
      </c>
      <c r="C981" t="s">
        <v>2324</v>
      </c>
      <c r="D981" t="s">
        <v>3987</v>
      </c>
      <c r="E981" s="1">
        <v>44914</v>
      </c>
      <c r="F981" t="s">
        <v>4001</v>
      </c>
      <c r="G981" t="s">
        <v>4011</v>
      </c>
      <c r="H981" t="s">
        <v>4018</v>
      </c>
      <c r="I981" t="s">
        <v>4024</v>
      </c>
      <c r="J981" t="s">
        <v>4026</v>
      </c>
      <c r="K981" s="2">
        <v>45177</v>
      </c>
      <c r="L981" s="2">
        <v>45185</v>
      </c>
      <c r="M981">
        <v>4</v>
      </c>
      <c r="N981">
        <v>192</v>
      </c>
      <c r="O981">
        <f>IF(Tickets[[#This Row],[Ticket Priority]]="Critical",24,
IF(Tickets[[#This Row],[Ticket Priority]]="High",48,
IF(Tickets[[#This Row],[Ticket Priority]]="Medium",120,168)))</f>
        <v>168</v>
      </c>
      <c r="P981" t="str">
        <f>IF(Tickets[[#This Row],[Resolution Duration Hours]] &lt;= Tickets[[#This Row],[SLA_Target_Hours]], "Yes", "No")</f>
        <v>No</v>
      </c>
    </row>
    <row r="982" spans="1:16" hidden="1">
      <c r="A982">
        <v>981</v>
      </c>
      <c r="B982" t="s">
        <v>988</v>
      </c>
      <c r="C982" t="s">
        <v>2963</v>
      </c>
      <c r="D982" t="s">
        <v>3984</v>
      </c>
      <c r="E982" s="1">
        <v>44185</v>
      </c>
      <c r="F982" t="s">
        <v>3998</v>
      </c>
      <c r="G982" t="s">
        <v>4012</v>
      </c>
      <c r="H982" t="s">
        <v>4019</v>
      </c>
      <c r="I982" t="s">
        <v>4023</v>
      </c>
      <c r="J982" t="s">
        <v>4025</v>
      </c>
      <c r="K982" s="2">
        <v>44396</v>
      </c>
      <c r="L982" s="2">
        <v>44399</v>
      </c>
      <c r="M982">
        <v>4</v>
      </c>
      <c r="N982">
        <v>72</v>
      </c>
      <c r="O982">
        <f>IF(Tickets[[#This Row],[Ticket Priority]]="Critical",24,
IF(Tickets[[#This Row],[Ticket Priority]]="High",48,
IF(Tickets[[#This Row],[Ticket Priority]]="Medium",120,168)))</f>
        <v>120</v>
      </c>
      <c r="P982" t="str">
        <f>IF(Tickets[[#This Row],[Resolution Duration Hours]] &lt;= Tickets[[#This Row],[SLA_Target_Hours]], "Yes", "No")</f>
        <v>Yes</v>
      </c>
    </row>
    <row r="983" spans="1:16">
      <c r="A983">
        <v>361</v>
      </c>
      <c r="B983" t="s">
        <v>374</v>
      </c>
      <c r="C983" t="s">
        <v>2344</v>
      </c>
      <c r="D983" t="s">
        <v>3989</v>
      </c>
      <c r="E983" s="1">
        <v>44103</v>
      </c>
      <c r="F983" t="s">
        <v>4002</v>
      </c>
      <c r="G983" t="s">
        <v>4003</v>
      </c>
      <c r="H983" t="s">
        <v>4020</v>
      </c>
      <c r="I983" t="s">
        <v>4023</v>
      </c>
      <c r="J983" t="s">
        <v>4028</v>
      </c>
      <c r="K983" s="2">
        <v>44455</v>
      </c>
      <c r="L983" s="2">
        <v>44463</v>
      </c>
      <c r="N983">
        <v>192</v>
      </c>
      <c r="O983">
        <f>IF(Tickets[[#This Row],[Ticket Priority]]="Critical",24,
IF(Tickets[[#This Row],[Ticket Priority]]="High",48,
IF(Tickets[[#This Row],[Ticket Priority]]="Medium",120,168)))</f>
        <v>120</v>
      </c>
      <c r="P983" t="str">
        <f>IF(Tickets[[#This Row],[Resolution Duration Hours]] &lt;= Tickets[[#This Row],[SLA_Target_Hours]], "Yes", "No")</f>
        <v>No</v>
      </c>
    </row>
    <row r="984" spans="1:16" hidden="1">
      <c r="A984">
        <v>983</v>
      </c>
      <c r="B984" t="s">
        <v>990</v>
      </c>
      <c r="C984" t="s">
        <v>2965</v>
      </c>
      <c r="D984" t="s">
        <v>3985</v>
      </c>
      <c r="E984" s="1">
        <v>44332</v>
      </c>
      <c r="F984" t="s">
        <v>4000</v>
      </c>
      <c r="G984" t="s">
        <v>4005</v>
      </c>
      <c r="H984" t="s">
        <v>4018</v>
      </c>
      <c r="I984" t="s">
        <v>4023</v>
      </c>
      <c r="J984" t="s">
        <v>4028</v>
      </c>
      <c r="K984" s="2">
        <v>44523</v>
      </c>
      <c r="L984" s="2">
        <v>44525</v>
      </c>
      <c r="M984">
        <v>4</v>
      </c>
      <c r="N984">
        <v>48</v>
      </c>
      <c r="O984">
        <f>IF(Tickets[[#This Row],[Ticket Priority]]="Critical",24,
IF(Tickets[[#This Row],[Ticket Priority]]="High",48,
IF(Tickets[[#This Row],[Ticket Priority]]="Medium",120,168)))</f>
        <v>120</v>
      </c>
      <c r="P984" t="str">
        <f>IF(Tickets[[#This Row],[Resolution Duration Hours]] &lt;= Tickets[[#This Row],[SLA_Target_Hours]], "Yes", "No")</f>
        <v>Yes</v>
      </c>
    </row>
    <row r="985" spans="1:16" hidden="1">
      <c r="A985">
        <v>984</v>
      </c>
      <c r="B985" t="s">
        <v>991</v>
      </c>
      <c r="C985" t="s">
        <v>2966</v>
      </c>
      <c r="D985" t="s">
        <v>3996</v>
      </c>
      <c r="E985" s="1">
        <v>44951</v>
      </c>
      <c r="F985" t="s">
        <v>4000</v>
      </c>
      <c r="G985" t="s">
        <v>4015</v>
      </c>
      <c r="H985" t="s">
        <v>4018</v>
      </c>
      <c r="I985" t="s">
        <v>4023</v>
      </c>
      <c r="J985" t="s">
        <v>4027</v>
      </c>
      <c r="K985" s="2">
        <v>45049</v>
      </c>
      <c r="L985" s="2">
        <v>45054</v>
      </c>
      <c r="M985">
        <v>5</v>
      </c>
      <c r="N985">
        <v>120</v>
      </c>
      <c r="O985">
        <f>IF(Tickets[[#This Row],[Ticket Priority]]="Critical",24,
IF(Tickets[[#This Row],[Ticket Priority]]="High",48,
IF(Tickets[[#This Row],[Ticket Priority]]="Medium",120,168)))</f>
        <v>120</v>
      </c>
      <c r="P985" t="str">
        <f>IF(Tickets[[#This Row],[Resolution Duration Hours]] &lt;= Tickets[[#This Row],[SLA_Target_Hours]], "Yes", "No")</f>
        <v>Yes</v>
      </c>
    </row>
    <row r="986" spans="1:16" hidden="1">
      <c r="A986">
        <v>985</v>
      </c>
      <c r="B986" t="s">
        <v>992</v>
      </c>
      <c r="C986" t="s">
        <v>2967</v>
      </c>
      <c r="D986" t="s">
        <v>3983</v>
      </c>
      <c r="E986" s="1">
        <v>44350</v>
      </c>
      <c r="F986" t="s">
        <v>3998</v>
      </c>
      <c r="G986" t="s">
        <v>4008</v>
      </c>
      <c r="H986" t="s">
        <v>4017</v>
      </c>
      <c r="I986" t="s">
        <v>4021</v>
      </c>
      <c r="J986" t="s">
        <v>4026</v>
      </c>
      <c r="K986" s="2">
        <v>44614</v>
      </c>
      <c r="L986" s="2">
        <v>44615</v>
      </c>
      <c r="N986">
        <v>24</v>
      </c>
      <c r="O986">
        <f>IF(Tickets[[#This Row],[Ticket Priority]]="Critical",24,
IF(Tickets[[#This Row],[Ticket Priority]]="High",48,
IF(Tickets[[#This Row],[Ticket Priority]]="Medium",120,168)))</f>
        <v>48</v>
      </c>
      <c r="P986" t="str">
        <f>IF(Tickets[[#This Row],[Resolution Duration Hours]] &lt;= Tickets[[#This Row],[SLA_Target_Hours]], "Yes", "No")</f>
        <v>Yes</v>
      </c>
    </row>
    <row r="987" spans="1:16" hidden="1">
      <c r="A987">
        <v>986</v>
      </c>
      <c r="B987" t="s">
        <v>993</v>
      </c>
      <c r="C987" t="s">
        <v>2968</v>
      </c>
      <c r="D987" t="s">
        <v>3996</v>
      </c>
      <c r="E987" s="1">
        <v>44219</v>
      </c>
      <c r="F987" t="s">
        <v>4001</v>
      </c>
      <c r="G987" t="s">
        <v>4013</v>
      </c>
      <c r="H987" t="s">
        <v>4018</v>
      </c>
      <c r="I987" t="s">
        <v>4024</v>
      </c>
      <c r="J987" t="s">
        <v>4026</v>
      </c>
      <c r="K987" s="2">
        <v>44540</v>
      </c>
      <c r="L987" s="2">
        <v>44546</v>
      </c>
      <c r="M987">
        <v>3</v>
      </c>
      <c r="N987">
        <v>144</v>
      </c>
      <c r="O987">
        <f>IF(Tickets[[#This Row],[Ticket Priority]]="Critical",24,
IF(Tickets[[#This Row],[Ticket Priority]]="High",48,
IF(Tickets[[#This Row],[Ticket Priority]]="Medium",120,168)))</f>
        <v>168</v>
      </c>
      <c r="P987" t="str">
        <f>IF(Tickets[[#This Row],[Resolution Duration Hours]] &lt;= Tickets[[#This Row],[SLA_Target_Hours]], "Yes", "No")</f>
        <v>Yes</v>
      </c>
    </row>
    <row r="988" spans="1:16" hidden="1">
      <c r="A988">
        <v>987</v>
      </c>
      <c r="B988" t="s">
        <v>994</v>
      </c>
      <c r="C988" t="s">
        <v>2969</v>
      </c>
      <c r="D988" t="s">
        <v>3985</v>
      </c>
      <c r="E988" s="1">
        <v>44751</v>
      </c>
      <c r="F988" t="s">
        <v>4000</v>
      </c>
      <c r="G988" t="s">
        <v>4013</v>
      </c>
      <c r="H988" t="s">
        <v>4017</v>
      </c>
      <c r="I988" t="s">
        <v>4023</v>
      </c>
      <c r="J988" t="s">
        <v>4025</v>
      </c>
      <c r="K988" s="2">
        <v>44765</v>
      </c>
      <c r="L988" s="2">
        <v>44767</v>
      </c>
      <c r="N988">
        <v>48</v>
      </c>
      <c r="O988">
        <f>IF(Tickets[[#This Row],[Ticket Priority]]="Critical",24,
IF(Tickets[[#This Row],[Ticket Priority]]="High",48,
IF(Tickets[[#This Row],[Ticket Priority]]="Medium",120,168)))</f>
        <v>120</v>
      </c>
      <c r="P988" t="str">
        <f>IF(Tickets[[#This Row],[Resolution Duration Hours]] &lt;= Tickets[[#This Row],[SLA_Target_Hours]], "Yes", "No")</f>
        <v>Yes</v>
      </c>
    </row>
    <row r="989" spans="1:16" hidden="1">
      <c r="A989">
        <v>988</v>
      </c>
      <c r="B989" t="s">
        <v>995</v>
      </c>
      <c r="C989" t="s">
        <v>2970</v>
      </c>
      <c r="D989" t="s">
        <v>3981</v>
      </c>
      <c r="E989" s="1">
        <v>43915</v>
      </c>
      <c r="F989" t="s">
        <v>4000</v>
      </c>
      <c r="G989" t="s">
        <v>4008</v>
      </c>
      <c r="H989" t="s">
        <v>4018</v>
      </c>
      <c r="I989" t="s">
        <v>4024</v>
      </c>
      <c r="J989" t="s">
        <v>4025</v>
      </c>
      <c r="K989" s="2">
        <v>44010</v>
      </c>
      <c r="L989" s="2">
        <v>44016</v>
      </c>
      <c r="M989">
        <v>4</v>
      </c>
      <c r="N989">
        <v>144</v>
      </c>
      <c r="O989">
        <f>IF(Tickets[[#This Row],[Ticket Priority]]="Critical",24,
IF(Tickets[[#This Row],[Ticket Priority]]="High",48,
IF(Tickets[[#This Row],[Ticket Priority]]="Medium",120,168)))</f>
        <v>168</v>
      </c>
      <c r="P989" t="str">
        <f>IF(Tickets[[#This Row],[Resolution Duration Hours]] &lt;= Tickets[[#This Row],[SLA_Target_Hours]], "Yes", "No")</f>
        <v>Yes</v>
      </c>
    </row>
    <row r="990" spans="1:16" hidden="1">
      <c r="A990">
        <v>989</v>
      </c>
      <c r="B990" t="s">
        <v>996</v>
      </c>
      <c r="C990" t="s">
        <v>2971</v>
      </c>
      <c r="D990" t="s">
        <v>3994</v>
      </c>
      <c r="E990" s="1">
        <v>44802</v>
      </c>
      <c r="F990" t="s">
        <v>3998</v>
      </c>
      <c r="G990" t="s">
        <v>4003</v>
      </c>
      <c r="H990" t="s">
        <v>4020</v>
      </c>
      <c r="I990" t="s">
        <v>4021</v>
      </c>
      <c r="J990" t="s">
        <v>4026</v>
      </c>
      <c r="K990" s="2">
        <v>44942</v>
      </c>
      <c r="L990" s="2">
        <v>44944</v>
      </c>
      <c r="N990">
        <v>48</v>
      </c>
      <c r="O990">
        <f>IF(Tickets[[#This Row],[Ticket Priority]]="Critical",24,
IF(Tickets[[#This Row],[Ticket Priority]]="High",48,
IF(Tickets[[#This Row],[Ticket Priority]]="Medium",120,168)))</f>
        <v>48</v>
      </c>
      <c r="P990" t="str">
        <f>IF(Tickets[[#This Row],[Resolution Duration Hours]] &lt;= Tickets[[#This Row],[SLA_Target_Hours]], "Yes", "No")</f>
        <v>Yes</v>
      </c>
    </row>
    <row r="991" spans="1:16" hidden="1">
      <c r="A991">
        <v>990</v>
      </c>
      <c r="B991" t="s">
        <v>997</v>
      </c>
      <c r="C991" t="s">
        <v>2972</v>
      </c>
      <c r="D991" t="s">
        <v>3979</v>
      </c>
      <c r="E991" s="1">
        <v>43932</v>
      </c>
      <c r="F991" t="s">
        <v>4000</v>
      </c>
      <c r="G991" t="s">
        <v>4003</v>
      </c>
      <c r="H991" t="s">
        <v>4018</v>
      </c>
      <c r="I991" t="s">
        <v>4024</v>
      </c>
      <c r="J991" t="s">
        <v>4025</v>
      </c>
      <c r="K991" s="2">
        <v>44004</v>
      </c>
      <c r="L991" s="2">
        <v>44008</v>
      </c>
      <c r="M991">
        <v>5</v>
      </c>
      <c r="N991">
        <v>96</v>
      </c>
      <c r="O991">
        <f>IF(Tickets[[#This Row],[Ticket Priority]]="Critical",24,
IF(Tickets[[#This Row],[Ticket Priority]]="High",48,
IF(Tickets[[#This Row],[Ticket Priority]]="Medium",120,168)))</f>
        <v>168</v>
      </c>
      <c r="P991" t="str">
        <f>IF(Tickets[[#This Row],[Resolution Duration Hours]] &lt;= Tickets[[#This Row],[SLA_Target_Hours]], "Yes", "No")</f>
        <v>Yes</v>
      </c>
    </row>
    <row r="992" spans="1:16" hidden="1">
      <c r="A992">
        <v>991</v>
      </c>
      <c r="B992" t="s">
        <v>998</v>
      </c>
      <c r="C992" t="s">
        <v>2973</v>
      </c>
      <c r="D992" t="s">
        <v>3987</v>
      </c>
      <c r="E992" s="1">
        <v>43989</v>
      </c>
      <c r="F992" t="s">
        <v>4000</v>
      </c>
      <c r="G992" t="s">
        <v>4008</v>
      </c>
      <c r="H992" t="s">
        <v>4018</v>
      </c>
      <c r="I992" t="s">
        <v>4024</v>
      </c>
      <c r="J992" t="s">
        <v>4026</v>
      </c>
      <c r="K992" s="2">
        <v>44200</v>
      </c>
      <c r="L992" s="2">
        <v>44206</v>
      </c>
      <c r="M992">
        <v>4</v>
      </c>
      <c r="N992">
        <v>144</v>
      </c>
      <c r="O992">
        <f>IF(Tickets[[#This Row],[Ticket Priority]]="Critical",24,
IF(Tickets[[#This Row],[Ticket Priority]]="High",48,
IF(Tickets[[#This Row],[Ticket Priority]]="Medium",120,168)))</f>
        <v>168</v>
      </c>
      <c r="P992" t="str">
        <f>IF(Tickets[[#This Row],[Resolution Duration Hours]] &lt;= Tickets[[#This Row],[SLA_Target_Hours]], "Yes", "No")</f>
        <v>Yes</v>
      </c>
    </row>
    <row r="993" spans="1:16" hidden="1">
      <c r="A993">
        <v>992</v>
      </c>
      <c r="B993" t="s">
        <v>999</v>
      </c>
      <c r="C993" t="s">
        <v>2974</v>
      </c>
      <c r="D993" t="s">
        <v>3986</v>
      </c>
      <c r="E993" s="1">
        <v>44193</v>
      </c>
      <c r="F993" t="s">
        <v>3999</v>
      </c>
      <c r="G993" t="s">
        <v>4011</v>
      </c>
      <c r="H993" t="s">
        <v>4018</v>
      </c>
      <c r="I993" t="s">
        <v>4024</v>
      </c>
      <c r="J993" t="s">
        <v>4026</v>
      </c>
      <c r="K993" s="2">
        <v>44198</v>
      </c>
      <c r="L993" s="2">
        <v>44202</v>
      </c>
      <c r="N993">
        <v>96</v>
      </c>
      <c r="O993">
        <f>IF(Tickets[[#This Row],[Ticket Priority]]="Critical",24,
IF(Tickets[[#This Row],[Ticket Priority]]="High",48,
IF(Tickets[[#This Row],[Ticket Priority]]="Medium",120,168)))</f>
        <v>168</v>
      </c>
      <c r="P993" t="str">
        <f>IF(Tickets[[#This Row],[Resolution Duration Hours]] &lt;= Tickets[[#This Row],[SLA_Target_Hours]], "Yes", "No")</f>
        <v>Yes</v>
      </c>
    </row>
    <row r="994" spans="1:16" hidden="1">
      <c r="A994">
        <v>993</v>
      </c>
      <c r="B994" t="s">
        <v>1000</v>
      </c>
      <c r="C994" t="s">
        <v>2975</v>
      </c>
      <c r="D994" t="s">
        <v>3991</v>
      </c>
      <c r="E994" s="1">
        <v>44794</v>
      </c>
      <c r="F994" t="s">
        <v>3998</v>
      </c>
      <c r="G994" t="s">
        <v>4008</v>
      </c>
      <c r="H994" t="s">
        <v>4017</v>
      </c>
      <c r="I994" t="s">
        <v>4024</v>
      </c>
      <c r="J994" t="s">
        <v>4026</v>
      </c>
      <c r="K994" s="2">
        <v>44796</v>
      </c>
      <c r="L994" s="2">
        <v>44796</v>
      </c>
      <c r="N994">
        <v>0</v>
      </c>
      <c r="O994">
        <f>IF(Tickets[[#This Row],[Ticket Priority]]="Critical",24,
IF(Tickets[[#This Row],[Ticket Priority]]="High",48,
IF(Tickets[[#This Row],[Ticket Priority]]="Medium",120,168)))</f>
        <v>168</v>
      </c>
      <c r="P994" t="str">
        <f>IF(Tickets[[#This Row],[Resolution Duration Hours]] &lt;= Tickets[[#This Row],[SLA_Target_Hours]], "Yes", "No")</f>
        <v>Yes</v>
      </c>
    </row>
    <row r="995" spans="1:16" hidden="1">
      <c r="A995">
        <v>994</v>
      </c>
      <c r="B995" t="s">
        <v>1001</v>
      </c>
      <c r="C995" t="s">
        <v>2976</v>
      </c>
      <c r="D995" t="s">
        <v>3985</v>
      </c>
      <c r="E995" s="1">
        <v>43998</v>
      </c>
      <c r="F995" t="s">
        <v>4002</v>
      </c>
      <c r="G995" t="s">
        <v>4012</v>
      </c>
      <c r="H995" t="s">
        <v>4018</v>
      </c>
      <c r="I995" t="s">
        <v>4021</v>
      </c>
      <c r="J995" t="s">
        <v>4025</v>
      </c>
      <c r="K995" s="2">
        <v>44108</v>
      </c>
      <c r="L995" s="2">
        <v>44110</v>
      </c>
      <c r="M995">
        <v>5</v>
      </c>
      <c r="N995">
        <v>48</v>
      </c>
      <c r="O995">
        <f>IF(Tickets[[#This Row],[Ticket Priority]]="Critical",24,
IF(Tickets[[#This Row],[Ticket Priority]]="High",48,
IF(Tickets[[#This Row],[Ticket Priority]]="Medium",120,168)))</f>
        <v>48</v>
      </c>
      <c r="P995" t="str">
        <f>IF(Tickets[[#This Row],[Resolution Duration Hours]] &lt;= Tickets[[#This Row],[SLA_Target_Hours]], "Yes", "No")</f>
        <v>Yes</v>
      </c>
    </row>
    <row r="996" spans="1:16" hidden="1">
      <c r="A996">
        <v>995</v>
      </c>
      <c r="B996" t="s">
        <v>1002</v>
      </c>
      <c r="C996" t="s">
        <v>2977</v>
      </c>
      <c r="D996" t="s">
        <v>3989</v>
      </c>
      <c r="E996" s="1">
        <v>44229</v>
      </c>
      <c r="F996" t="s">
        <v>4000</v>
      </c>
      <c r="G996" t="s">
        <v>4006</v>
      </c>
      <c r="H996" t="s">
        <v>4018</v>
      </c>
      <c r="I996" t="s">
        <v>4023</v>
      </c>
      <c r="J996" t="s">
        <v>4028</v>
      </c>
      <c r="K996" s="2">
        <v>44276</v>
      </c>
      <c r="L996" s="2">
        <v>44279</v>
      </c>
      <c r="M996">
        <v>4</v>
      </c>
      <c r="N996">
        <v>72</v>
      </c>
      <c r="O996">
        <f>IF(Tickets[[#This Row],[Ticket Priority]]="Critical",24,
IF(Tickets[[#This Row],[Ticket Priority]]="High",48,
IF(Tickets[[#This Row],[Ticket Priority]]="Medium",120,168)))</f>
        <v>120</v>
      </c>
      <c r="P996" t="str">
        <f>IF(Tickets[[#This Row],[Resolution Duration Hours]] &lt;= Tickets[[#This Row],[SLA_Target_Hours]], "Yes", "No")</f>
        <v>Yes</v>
      </c>
    </row>
    <row r="997" spans="1:16">
      <c r="A997">
        <v>365</v>
      </c>
      <c r="B997" t="s">
        <v>378</v>
      </c>
      <c r="C997" t="s">
        <v>2348</v>
      </c>
      <c r="D997" t="s">
        <v>3984</v>
      </c>
      <c r="E997" s="1">
        <v>44185</v>
      </c>
      <c r="F997" t="s">
        <v>4002</v>
      </c>
      <c r="G997" t="s">
        <v>4015</v>
      </c>
      <c r="H997" t="s">
        <v>4020</v>
      </c>
      <c r="I997" t="s">
        <v>4024</v>
      </c>
      <c r="J997" t="s">
        <v>4026</v>
      </c>
      <c r="K997" s="2">
        <v>44324</v>
      </c>
      <c r="L997" s="2">
        <v>44332</v>
      </c>
      <c r="N997">
        <v>192</v>
      </c>
      <c r="O997">
        <f>IF(Tickets[[#This Row],[Ticket Priority]]="Critical",24,
IF(Tickets[[#This Row],[Ticket Priority]]="High",48,
IF(Tickets[[#This Row],[Ticket Priority]]="Medium",120,168)))</f>
        <v>168</v>
      </c>
      <c r="P997" t="str">
        <f>IF(Tickets[[#This Row],[Resolution Duration Hours]] &lt;= Tickets[[#This Row],[SLA_Target_Hours]], "Yes", "No")</f>
        <v>No</v>
      </c>
    </row>
    <row r="998" spans="1:16" hidden="1">
      <c r="A998">
        <v>997</v>
      </c>
      <c r="B998" t="s">
        <v>1004</v>
      </c>
      <c r="C998" t="s">
        <v>2979</v>
      </c>
      <c r="D998" t="s">
        <v>3992</v>
      </c>
      <c r="E998" s="1">
        <v>44560</v>
      </c>
      <c r="F998" t="s">
        <v>4000</v>
      </c>
      <c r="G998" t="s">
        <v>4005</v>
      </c>
      <c r="H998" t="s">
        <v>4018</v>
      </c>
      <c r="I998" t="s">
        <v>4023</v>
      </c>
      <c r="J998" t="s">
        <v>4028</v>
      </c>
      <c r="K998" s="2">
        <v>44781</v>
      </c>
      <c r="L998" s="2">
        <v>44784</v>
      </c>
      <c r="M998">
        <v>5</v>
      </c>
      <c r="N998">
        <v>72</v>
      </c>
      <c r="O998">
        <f>IF(Tickets[[#This Row],[Ticket Priority]]="Critical",24,
IF(Tickets[[#This Row],[Ticket Priority]]="High",48,
IF(Tickets[[#This Row],[Ticket Priority]]="Medium",120,168)))</f>
        <v>120</v>
      </c>
      <c r="P998" t="str">
        <f>IF(Tickets[[#This Row],[Resolution Duration Hours]] &lt;= Tickets[[#This Row],[SLA_Target_Hours]], "Yes", "No")</f>
        <v>Yes</v>
      </c>
    </row>
    <row r="999" spans="1:16" hidden="1">
      <c r="A999">
        <v>998</v>
      </c>
      <c r="B999" t="s">
        <v>1005</v>
      </c>
      <c r="C999" t="s">
        <v>2980</v>
      </c>
      <c r="D999" t="s">
        <v>3981</v>
      </c>
      <c r="E999" s="1">
        <v>43920</v>
      </c>
      <c r="F999" t="s">
        <v>3998</v>
      </c>
      <c r="G999" t="s">
        <v>4016</v>
      </c>
      <c r="H999" t="s">
        <v>4018</v>
      </c>
      <c r="I999" t="s">
        <v>4023</v>
      </c>
      <c r="J999" t="s">
        <v>4026</v>
      </c>
      <c r="K999" s="2">
        <v>44243</v>
      </c>
      <c r="L999" s="2">
        <v>44244</v>
      </c>
      <c r="N999">
        <v>24</v>
      </c>
      <c r="O999">
        <f>IF(Tickets[[#This Row],[Ticket Priority]]="Critical",24,
IF(Tickets[[#This Row],[Ticket Priority]]="High",48,
IF(Tickets[[#This Row],[Ticket Priority]]="Medium",120,168)))</f>
        <v>120</v>
      </c>
      <c r="P999" t="str">
        <f>IF(Tickets[[#This Row],[Resolution Duration Hours]] &lt;= Tickets[[#This Row],[SLA_Target_Hours]], "Yes", "No")</f>
        <v>Yes</v>
      </c>
    </row>
    <row r="1000" spans="1:16" hidden="1">
      <c r="A1000">
        <v>999</v>
      </c>
      <c r="B1000" t="s">
        <v>1006</v>
      </c>
      <c r="C1000" t="s">
        <v>2981</v>
      </c>
      <c r="D1000" t="s">
        <v>3997</v>
      </c>
      <c r="E1000" s="1">
        <v>44826</v>
      </c>
      <c r="F1000" t="s">
        <v>4002</v>
      </c>
      <c r="G1000" t="s">
        <v>4013</v>
      </c>
      <c r="H1000" t="s">
        <v>4018</v>
      </c>
      <c r="I1000" t="s">
        <v>4021</v>
      </c>
      <c r="J1000" t="s">
        <v>4026</v>
      </c>
      <c r="K1000" s="2">
        <v>45006</v>
      </c>
      <c r="L1000" s="2">
        <v>45008</v>
      </c>
      <c r="M1000">
        <v>3</v>
      </c>
      <c r="N1000">
        <v>48</v>
      </c>
      <c r="O1000">
        <f>IF(Tickets[[#This Row],[Ticket Priority]]="Critical",24,
IF(Tickets[[#This Row],[Ticket Priority]]="High",48,
IF(Tickets[[#This Row],[Ticket Priority]]="Medium",120,168)))</f>
        <v>48</v>
      </c>
      <c r="P1000" t="str">
        <f>IF(Tickets[[#This Row],[Resolution Duration Hours]] &lt;= Tickets[[#This Row],[SLA_Target_Hours]], "Yes", "No")</f>
        <v>Yes</v>
      </c>
    </row>
    <row r="1001" spans="1:16">
      <c r="A1001">
        <v>432</v>
      </c>
      <c r="B1001" t="s">
        <v>445</v>
      </c>
      <c r="C1001" t="s">
        <v>2415</v>
      </c>
      <c r="D1001" t="s">
        <v>3981</v>
      </c>
      <c r="E1001" s="1">
        <v>44719</v>
      </c>
      <c r="F1001" t="s">
        <v>3998</v>
      </c>
      <c r="G1001" t="s">
        <v>4010</v>
      </c>
      <c r="H1001" t="s">
        <v>4018</v>
      </c>
      <c r="I1001" t="s">
        <v>4024</v>
      </c>
      <c r="J1001" t="s">
        <v>4026</v>
      </c>
      <c r="K1001" s="2">
        <v>44759</v>
      </c>
      <c r="L1001" s="2">
        <v>44767</v>
      </c>
      <c r="N1001">
        <v>192</v>
      </c>
      <c r="O1001">
        <f>IF(Tickets[[#This Row],[Ticket Priority]]="Critical",24,
IF(Tickets[[#This Row],[Ticket Priority]]="High",48,
IF(Tickets[[#This Row],[Ticket Priority]]="Medium",120,168)))</f>
        <v>168</v>
      </c>
      <c r="P1001" t="str">
        <f>IF(Tickets[[#This Row],[Resolution Duration Hours]] &lt;= Tickets[[#This Row],[SLA_Target_Hours]], "Yes", "No")</f>
        <v>No</v>
      </c>
    </row>
    <row r="1002" spans="1:16" hidden="1">
      <c r="A1002">
        <v>1001</v>
      </c>
      <c r="B1002" t="s">
        <v>1008</v>
      </c>
      <c r="C1002" t="s">
        <v>2983</v>
      </c>
      <c r="D1002" t="s">
        <v>3986</v>
      </c>
      <c r="E1002" s="1">
        <v>45056</v>
      </c>
      <c r="F1002" t="s">
        <v>4001</v>
      </c>
      <c r="G1002" t="s">
        <v>4009</v>
      </c>
      <c r="H1002" t="s">
        <v>4019</v>
      </c>
      <c r="I1002" t="s">
        <v>4021</v>
      </c>
      <c r="J1002" t="s">
        <v>4025</v>
      </c>
      <c r="K1002" s="2">
        <v>45364</v>
      </c>
      <c r="L1002" s="2">
        <v>45364</v>
      </c>
      <c r="N1002">
        <v>0</v>
      </c>
      <c r="O1002">
        <f>IF(Tickets[[#This Row],[Ticket Priority]]="Critical",24,
IF(Tickets[[#This Row],[Ticket Priority]]="High",48,
IF(Tickets[[#This Row],[Ticket Priority]]="Medium",120,168)))</f>
        <v>48</v>
      </c>
      <c r="P1002" t="str">
        <f>IF(Tickets[[#This Row],[Resolution Duration Hours]] &lt;= Tickets[[#This Row],[SLA_Target_Hours]], "Yes", "No")</f>
        <v>Yes</v>
      </c>
    </row>
    <row r="1003" spans="1:16" hidden="1">
      <c r="A1003">
        <v>1002</v>
      </c>
      <c r="B1003" t="s">
        <v>1009</v>
      </c>
      <c r="C1003" t="s">
        <v>2984</v>
      </c>
      <c r="D1003" t="s">
        <v>3995</v>
      </c>
      <c r="E1003" s="1">
        <v>44202</v>
      </c>
      <c r="F1003" t="s">
        <v>3999</v>
      </c>
      <c r="G1003" t="s">
        <v>4000</v>
      </c>
      <c r="H1003" t="s">
        <v>4020</v>
      </c>
      <c r="I1003" t="s">
        <v>4023</v>
      </c>
      <c r="J1003" t="s">
        <v>4028</v>
      </c>
      <c r="K1003" s="2">
        <v>44551</v>
      </c>
      <c r="L1003" s="2">
        <v>44556</v>
      </c>
      <c r="N1003">
        <v>120</v>
      </c>
      <c r="O1003">
        <f>IF(Tickets[[#This Row],[Ticket Priority]]="Critical",24,
IF(Tickets[[#This Row],[Ticket Priority]]="High",48,
IF(Tickets[[#This Row],[Ticket Priority]]="Medium",120,168)))</f>
        <v>120</v>
      </c>
      <c r="P1003" t="str">
        <f>IF(Tickets[[#This Row],[Resolution Duration Hours]] &lt;= Tickets[[#This Row],[SLA_Target_Hours]], "Yes", "No")</f>
        <v>Yes</v>
      </c>
    </row>
    <row r="1004" spans="1:16" hidden="1">
      <c r="A1004">
        <v>1003</v>
      </c>
      <c r="B1004" t="s">
        <v>1010</v>
      </c>
      <c r="C1004" t="s">
        <v>2985</v>
      </c>
      <c r="D1004" t="s">
        <v>3979</v>
      </c>
      <c r="E1004" s="1">
        <v>44394</v>
      </c>
      <c r="F1004" t="s">
        <v>3998</v>
      </c>
      <c r="G1004" t="s">
        <v>4010</v>
      </c>
      <c r="H1004" t="s">
        <v>4017</v>
      </c>
      <c r="I1004" t="s">
        <v>4023</v>
      </c>
      <c r="J1004" t="s">
        <v>4026</v>
      </c>
      <c r="K1004" s="2">
        <v>44457</v>
      </c>
      <c r="L1004" s="2">
        <v>44459</v>
      </c>
      <c r="N1004">
        <v>48</v>
      </c>
      <c r="O1004">
        <f>IF(Tickets[[#This Row],[Ticket Priority]]="Critical",24,
IF(Tickets[[#This Row],[Ticket Priority]]="High",48,
IF(Tickets[[#This Row],[Ticket Priority]]="Medium",120,168)))</f>
        <v>120</v>
      </c>
      <c r="P1004" t="str">
        <f>IF(Tickets[[#This Row],[Resolution Duration Hours]] &lt;= Tickets[[#This Row],[SLA_Target_Hours]], "Yes", "No")</f>
        <v>Yes</v>
      </c>
    </row>
    <row r="1005" spans="1:16" hidden="1">
      <c r="A1005">
        <v>1004</v>
      </c>
      <c r="B1005" t="s">
        <v>1011</v>
      </c>
      <c r="C1005" t="s">
        <v>2986</v>
      </c>
      <c r="D1005" t="s">
        <v>3984</v>
      </c>
      <c r="E1005" s="1">
        <v>45020</v>
      </c>
      <c r="F1005" t="s">
        <v>4001</v>
      </c>
      <c r="G1005" t="s">
        <v>4003</v>
      </c>
      <c r="H1005" t="s">
        <v>4018</v>
      </c>
      <c r="I1005" t="s">
        <v>4024</v>
      </c>
      <c r="J1005" t="s">
        <v>4026</v>
      </c>
      <c r="K1005" s="2">
        <v>45165</v>
      </c>
      <c r="L1005" s="2">
        <v>45169</v>
      </c>
      <c r="M1005">
        <v>4</v>
      </c>
      <c r="N1005">
        <v>96</v>
      </c>
      <c r="O1005">
        <f>IF(Tickets[[#This Row],[Ticket Priority]]="Critical",24,
IF(Tickets[[#This Row],[Ticket Priority]]="High",48,
IF(Tickets[[#This Row],[Ticket Priority]]="Medium",120,168)))</f>
        <v>168</v>
      </c>
      <c r="P1005" t="str">
        <f>IF(Tickets[[#This Row],[Resolution Duration Hours]] &lt;= Tickets[[#This Row],[SLA_Target_Hours]], "Yes", "No")</f>
        <v>Yes</v>
      </c>
    </row>
    <row r="1006" spans="1:16">
      <c r="A1006">
        <v>474</v>
      </c>
      <c r="B1006" t="s">
        <v>486</v>
      </c>
      <c r="C1006" t="s">
        <v>2457</v>
      </c>
      <c r="D1006" t="s">
        <v>3989</v>
      </c>
      <c r="E1006" s="1">
        <v>44457</v>
      </c>
      <c r="F1006" t="s">
        <v>3999</v>
      </c>
      <c r="G1006" t="s">
        <v>4004</v>
      </c>
      <c r="H1006" t="s">
        <v>4018</v>
      </c>
      <c r="I1006" t="s">
        <v>4023</v>
      </c>
      <c r="J1006" t="s">
        <v>4026</v>
      </c>
      <c r="K1006" s="2">
        <v>44467</v>
      </c>
      <c r="L1006" s="2">
        <v>44475</v>
      </c>
      <c r="M1006">
        <v>4</v>
      </c>
      <c r="N1006">
        <v>192</v>
      </c>
      <c r="O1006">
        <f>IF(Tickets[[#This Row],[Ticket Priority]]="Critical",24,
IF(Tickets[[#This Row],[Ticket Priority]]="High",48,
IF(Tickets[[#This Row],[Ticket Priority]]="Medium",120,168)))</f>
        <v>120</v>
      </c>
      <c r="P1006" t="str">
        <f>IF(Tickets[[#This Row],[Resolution Duration Hours]] &lt;= Tickets[[#This Row],[SLA_Target_Hours]], "Yes", "No")</f>
        <v>No</v>
      </c>
    </row>
    <row r="1007" spans="1:16" hidden="1">
      <c r="A1007">
        <v>1006</v>
      </c>
      <c r="B1007" t="s">
        <v>1013</v>
      </c>
      <c r="C1007" t="s">
        <v>2988</v>
      </c>
      <c r="D1007" t="s">
        <v>3984</v>
      </c>
      <c r="E1007" s="1">
        <v>44848</v>
      </c>
      <c r="F1007" t="s">
        <v>4001</v>
      </c>
      <c r="G1007" t="s">
        <v>4016</v>
      </c>
      <c r="H1007" t="s">
        <v>4018</v>
      </c>
      <c r="I1007" t="s">
        <v>4024</v>
      </c>
      <c r="J1007" t="s">
        <v>4026</v>
      </c>
      <c r="K1007" s="2">
        <v>45100</v>
      </c>
      <c r="L1007" s="2">
        <v>45107</v>
      </c>
      <c r="M1007">
        <v>4</v>
      </c>
      <c r="N1007">
        <v>168</v>
      </c>
      <c r="O1007">
        <f>IF(Tickets[[#This Row],[Ticket Priority]]="Critical",24,
IF(Tickets[[#This Row],[Ticket Priority]]="High",48,
IF(Tickets[[#This Row],[Ticket Priority]]="Medium",120,168)))</f>
        <v>168</v>
      </c>
      <c r="P1007" t="str">
        <f>IF(Tickets[[#This Row],[Resolution Duration Hours]] &lt;= Tickets[[#This Row],[SLA_Target_Hours]], "Yes", "No")</f>
        <v>Yes</v>
      </c>
    </row>
    <row r="1008" spans="1:16">
      <c r="A1008">
        <v>479</v>
      </c>
      <c r="B1008" t="s">
        <v>491</v>
      </c>
      <c r="C1008" t="s">
        <v>2462</v>
      </c>
      <c r="D1008" t="s">
        <v>3982</v>
      </c>
      <c r="E1008" s="1">
        <v>43997</v>
      </c>
      <c r="F1008" t="s">
        <v>3998</v>
      </c>
      <c r="G1008" t="s">
        <v>4009</v>
      </c>
      <c r="H1008" t="s">
        <v>4020</v>
      </c>
      <c r="I1008" t="s">
        <v>4023</v>
      </c>
      <c r="J1008" t="s">
        <v>4028</v>
      </c>
      <c r="K1008" s="2">
        <v>44013</v>
      </c>
      <c r="L1008" s="2">
        <v>44021</v>
      </c>
      <c r="N1008">
        <v>192</v>
      </c>
      <c r="O1008">
        <f>IF(Tickets[[#This Row],[Ticket Priority]]="Critical",24,
IF(Tickets[[#This Row],[Ticket Priority]]="High",48,
IF(Tickets[[#This Row],[Ticket Priority]]="Medium",120,168)))</f>
        <v>120</v>
      </c>
      <c r="P1008" t="str">
        <f>IF(Tickets[[#This Row],[Resolution Duration Hours]] &lt;= Tickets[[#This Row],[SLA_Target_Hours]], "Yes", "No")</f>
        <v>No</v>
      </c>
    </row>
    <row r="1009" spans="1:16" hidden="1">
      <c r="A1009">
        <v>1008</v>
      </c>
      <c r="B1009" t="s">
        <v>1015</v>
      </c>
      <c r="C1009" t="s">
        <v>2990</v>
      </c>
      <c r="D1009" t="s">
        <v>3991</v>
      </c>
      <c r="E1009" s="1">
        <v>44055</v>
      </c>
      <c r="F1009" t="s">
        <v>4001</v>
      </c>
      <c r="G1009" t="s">
        <v>4012</v>
      </c>
      <c r="H1009" t="s">
        <v>4018</v>
      </c>
      <c r="I1009" t="s">
        <v>4024</v>
      </c>
      <c r="J1009" t="s">
        <v>4027</v>
      </c>
      <c r="K1009" s="2">
        <v>44057</v>
      </c>
      <c r="L1009" s="2">
        <v>44064</v>
      </c>
      <c r="M1009">
        <v>4</v>
      </c>
      <c r="N1009">
        <v>168</v>
      </c>
      <c r="O1009">
        <f>IF(Tickets[[#This Row],[Ticket Priority]]="Critical",24,
IF(Tickets[[#This Row],[Ticket Priority]]="High",48,
IF(Tickets[[#This Row],[Ticket Priority]]="Medium",120,168)))</f>
        <v>168</v>
      </c>
      <c r="P1009" t="str">
        <f>IF(Tickets[[#This Row],[Resolution Duration Hours]] &lt;= Tickets[[#This Row],[SLA_Target_Hours]], "Yes", "No")</f>
        <v>Yes</v>
      </c>
    </row>
    <row r="1010" spans="1:16" hidden="1">
      <c r="A1010">
        <v>1009</v>
      </c>
      <c r="B1010" t="s">
        <v>1016</v>
      </c>
      <c r="C1010" t="s">
        <v>2991</v>
      </c>
      <c r="D1010" t="s">
        <v>3996</v>
      </c>
      <c r="E1010" s="1">
        <v>44498</v>
      </c>
      <c r="F1010" t="s">
        <v>4002</v>
      </c>
      <c r="G1010" t="s">
        <v>4008</v>
      </c>
      <c r="H1010" t="s">
        <v>4017</v>
      </c>
      <c r="I1010" t="s">
        <v>4024</v>
      </c>
      <c r="J1010" t="s">
        <v>4026</v>
      </c>
      <c r="K1010" s="2">
        <v>44636</v>
      </c>
      <c r="L1010" s="2">
        <v>44640</v>
      </c>
      <c r="N1010">
        <v>96</v>
      </c>
      <c r="O1010">
        <f>IF(Tickets[[#This Row],[Ticket Priority]]="Critical",24,
IF(Tickets[[#This Row],[Ticket Priority]]="High",48,
IF(Tickets[[#This Row],[Ticket Priority]]="Medium",120,168)))</f>
        <v>168</v>
      </c>
      <c r="P1010" t="str">
        <f>IF(Tickets[[#This Row],[Resolution Duration Hours]] &lt;= Tickets[[#This Row],[SLA_Target_Hours]], "Yes", "No")</f>
        <v>Yes</v>
      </c>
    </row>
    <row r="1011" spans="1:16" hidden="1">
      <c r="A1011">
        <v>1010</v>
      </c>
      <c r="B1011" t="s">
        <v>1017</v>
      </c>
      <c r="C1011" t="s">
        <v>2992</v>
      </c>
      <c r="D1011" t="s">
        <v>3980</v>
      </c>
      <c r="E1011" s="1">
        <v>44340</v>
      </c>
      <c r="F1011" t="s">
        <v>3999</v>
      </c>
      <c r="G1011" t="s">
        <v>4007</v>
      </c>
      <c r="H1011" t="s">
        <v>4018</v>
      </c>
      <c r="I1011" t="s">
        <v>4024</v>
      </c>
      <c r="J1011" t="s">
        <v>4028</v>
      </c>
      <c r="K1011" s="2">
        <v>44551</v>
      </c>
      <c r="L1011" s="2">
        <v>44558</v>
      </c>
      <c r="M1011">
        <v>3</v>
      </c>
      <c r="N1011">
        <v>168</v>
      </c>
      <c r="O1011">
        <f>IF(Tickets[[#This Row],[Ticket Priority]]="Critical",24,
IF(Tickets[[#This Row],[Ticket Priority]]="High",48,
IF(Tickets[[#This Row],[Ticket Priority]]="Medium",120,168)))</f>
        <v>168</v>
      </c>
      <c r="P1011" t="str">
        <f>IF(Tickets[[#This Row],[Resolution Duration Hours]] &lt;= Tickets[[#This Row],[SLA_Target_Hours]], "Yes", "No")</f>
        <v>Yes</v>
      </c>
    </row>
    <row r="1012" spans="1:16" hidden="1">
      <c r="A1012">
        <v>1011</v>
      </c>
      <c r="B1012" t="s">
        <v>1018</v>
      </c>
      <c r="C1012" t="s">
        <v>2993</v>
      </c>
      <c r="D1012" t="s">
        <v>3992</v>
      </c>
      <c r="E1012" s="1">
        <v>44156</v>
      </c>
      <c r="F1012" t="s">
        <v>4002</v>
      </c>
      <c r="G1012" t="s">
        <v>4015</v>
      </c>
      <c r="H1012" t="s">
        <v>4020</v>
      </c>
      <c r="I1012" t="s">
        <v>4024</v>
      </c>
      <c r="J1012" t="s">
        <v>4026</v>
      </c>
      <c r="K1012" s="2">
        <v>44271</v>
      </c>
      <c r="L1012" s="2">
        <v>44271</v>
      </c>
      <c r="N1012">
        <v>0</v>
      </c>
      <c r="O1012">
        <f>IF(Tickets[[#This Row],[Ticket Priority]]="Critical",24,
IF(Tickets[[#This Row],[Ticket Priority]]="High",48,
IF(Tickets[[#This Row],[Ticket Priority]]="Medium",120,168)))</f>
        <v>168</v>
      </c>
      <c r="P1012" t="str">
        <f>IF(Tickets[[#This Row],[Resolution Duration Hours]] &lt;= Tickets[[#This Row],[SLA_Target_Hours]], "Yes", "No")</f>
        <v>Yes</v>
      </c>
    </row>
    <row r="1013" spans="1:16">
      <c r="A1013">
        <v>486</v>
      </c>
      <c r="B1013" t="s">
        <v>497</v>
      </c>
      <c r="C1013" t="s">
        <v>2469</v>
      </c>
      <c r="D1013" t="s">
        <v>3989</v>
      </c>
      <c r="E1013" s="1">
        <v>44156</v>
      </c>
      <c r="F1013" t="s">
        <v>4001</v>
      </c>
      <c r="G1013" t="s">
        <v>4012</v>
      </c>
      <c r="H1013" t="s">
        <v>4018</v>
      </c>
      <c r="I1013" t="s">
        <v>4024</v>
      </c>
      <c r="J1013" t="s">
        <v>4026</v>
      </c>
      <c r="K1013" s="2">
        <v>44348</v>
      </c>
      <c r="L1013" s="2">
        <v>44356</v>
      </c>
      <c r="M1013">
        <v>3</v>
      </c>
      <c r="N1013">
        <v>192</v>
      </c>
      <c r="O1013">
        <f>IF(Tickets[[#This Row],[Ticket Priority]]="Critical",24,
IF(Tickets[[#This Row],[Ticket Priority]]="High",48,
IF(Tickets[[#This Row],[Ticket Priority]]="Medium",120,168)))</f>
        <v>168</v>
      </c>
      <c r="P1013" t="str">
        <f>IF(Tickets[[#This Row],[Resolution Duration Hours]] &lt;= Tickets[[#This Row],[SLA_Target_Hours]], "Yes", "No")</f>
        <v>No</v>
      </c>
    </row>
    <row r="1014" spans="1:16" hidden="1">
      <c r="A1014">
        <v>1013</v>
      </c>
      <c r="B1014" t="s">
        <v>1020</v>
      </c>
      <c r="C1014" t="s">
        <v>2995</v>
      </c>
      <c r="D1014" t="s">
        <v>3997</v>
      </c>
      <c r="E1014" s="1">
        <v>44599</v>
      </c>
      <c r="F1014" t="s">
        <v>4002</v>
      </c>
      <c r="G1014" t="s">
        <v>4005</v>
      </c>
      <c r="H1014" t="s">
        <v>4018</v>
      </c>
      <c r="I1014" t="s">
        <v>4024</v>
      </c>
      <c r="J1014" t="s">
        <v>4028</v>
      </c>
      <c r="K1014" s="2">
        <v>44862</v>
      </c>
      <c r="L1014" s="2">
        <v>44862</v>
      </c>
      <c r="N1014">
        <v>0</v>
      </c>
      <c r="O1014">
        <f>IF(Tickets[[#This Row],[Ticket Priority]]="Critical",24,
IF(Tickets[[#This Row],[Ticket Priority]]="High",48,
IF(Tickets[[#This Row],[Ticket Priority]]="Medium",120,168)))</f>
        <v>168</v>
      </c>
      <c r="P1014" t="str">
        <f>IF(Tickets[[#This Row],[Resolution Duration Hours]] &lt;= Tickets[[#This Row],[SLA_Target_Hours]], "Yes", "No")</f>
        <v>Yes</v>
      </c>
    </row>
    <row r="1015" spans="1:16" hidden="1">
      <c r="A1015">
        <v>1014</v>
      </c>
      <c r="B1015" t="s">
        <v>1021</v>
      </c>
      <c r="C1015" t="s">
        <v>2996</v>
      </c>
      <c r="D1015" t="s">
        <v>3996</v>
      </c>
      <c r="E1015" s="1">
        <v>44195</v>
      </c>
      <c r="F1015" t="s">
        <v>3999</v>
      </c>
      <c r="G1015" t="s">
        <v>4016</v>
      </c>
      <c r="H1015" t="s">
        <v>4018</v>
      </c>
      <c r="I1015" t="s">
        <v>4023</v>
      </c>
      <c r="J1015" t="s">
        <v>4026</v>
      </c>
      <c r="K1015" s="2">
        <v>44426</v>
      </c>
      <c r="L1015" s="2">
        <v>44428</v>
      </c>
      <c r="M1015">
        <v>4</v>
      </c>
      <c r="N1015">
        <v>48</v>
      </c>
      <c r="O1015">
        <f>IF(Tickets[[#This Row],[Ticket Priority]]="Critical",24,
IF(Tickets[[#This Row],[Ticket Priority]]="High",48,
IF(Tickets[[#This Row],[Ticket Priority]]="Medium",120,168)))</f>
        <v>120</v>
      </c>
      <c r="P1015" t="str">
        <f>IF(Tickets[[#This Row],[Resolution Duration Hours]] &lt;= Tickets[[#This Row],[SLA_Target_Hours]], "Yes", "No")</f>
        <v>Yes</v>
      </c>
    </row>
    <row r="1016" spans="1:16">
      <c r="A1016">
        <v>491</v>
      </c>
      <c r="B1016" t="s">
        <v>502</v>
      </c>
      <c r="C1016" t="s">
        <v>2474</v>
      </c>
      <c r="D1016" t="s">
        <v>3996</v>
      </c>
      <c r="E1016" s="1">
        <v>44534</v>
      </c>
      <c r="F1016" t="s">
        <v>4001</v>
      </c>
      <c r="G1016" t="s">
        <v>4016</v>
      </c>
      <c r="H1016" t="s">
        <v>4018</v>
      </c>
      <c r="I1016" t="s">
        <v>4024</v>
      </c>
      <c r="J1016" t="s">
        <v>4027</v>
      </c>
      <c r="K1016" s="2">
        <v>44574</v>
      </c>
      <c r="L1016" s="2">
        <v>44582</v>
      </c>
      <c r="M1016">
        <v>4</v>
      </c>
      <c r="N1016">
        <v>192</v>
      </c>
      <c r="O1016">
        <f>IF(Tickets[[#This Row],[Ticket Priority]]="Critical",24,
IF(Tickets[[#This Row],[Ticket Priority]]="High",48,
IF(Tickets[[#This Row],[Ticket Priority]]="Medium",120,168)))</f>
        <v>168</v>
      </c>
      <c r="P1016" t="str">
        <f>IF(Tickets[[#This Row],[Resolution Duration Hours]] &lt;= Tickets[[#This Row],[SLA_Target_Hours]], "Yes", "No")</f>
        <v>No</v>
      </c>
    </row>
    <row r="1017" spans="1:16" hidden="1">
      <c r="A1017">
        <v>1016</v>
      </c>
      <c r="B1017" t="s">
        <v>1023</v>
      </c>
      <c r="C1017" t="s">
        <v>2998</v>
      </c>
      <c r="D1017" t="s">
        <v>3992</v>
      </c>
      <c r="E1017" s="1">
        <v>44795</v>
      </c>
      <c r="F1017" t="s">
        <v>4000</v>
      </c>
      <c r="G1017" t="s">
        <v>4004</v>
      </c>
      <c r="H1017" t="s">
        <v>4018</v>
      </c>
      <c r="I1017" t="s">
        <v>4023</v>
      </c>
      <c r="J1017" t="s">
        <v>4026</v>
      </c>
      <c r="K1017" s="2">
        <v>45133</v>
      </c>
      <c r="L1017" s="2">
        <v>45137</v>
      </c>
      <c r="M1017">
        <v>3</v>
      </c>
      <c r="N1017">
        <v>96</v>
      </c>
      <c r="O1017">
        <f>IF(Tickets[[#This Row],[Ticket Priority]]="Critical",24,
IF(Tickets[[#This Row],[Ticket Priority]]="High",48,
IF(Tickets[[#This Row],[Ticket Priority]]="Medium",120,168)))</f>
        <v>120</v>
      </c>
      <c r="P1017" t="str">
        <f>IF(Tickets[[#This Row],[Resolution Duration Hours]] &lt;= Tickets[[#This Row],[SLA_Target_Hours]], "Yes", "No")</f>
        <v>Yes</v>
      </c>
    </row>
    <row r="1018" spans="1:16" hidden="1">
      <c r="A1018">
        <v>1017</v>
      </c>
      <c r="B1018" t="s">
        <v>1024</v>
      </c>
      <c r="C1018" t="s">
        <v>2999</v>
      </c>
      <c r="D1018" t="s">
        <v>3983</v>
      </c>
      <c r="E1018" s="1">
        <v>43869</v>
      </c>
      <c r="F1018" t="s">
        <v>4002</v>
      </c>
      <c r="G1018" t="s">
        <v>4000</v>
      </c>
      <c r="H1018" t="s">
        <v>4020</v>
      </c>
      <c r="I1018" t="s">
        <v>4023</v>
      </c>
      <c r="J1018" t="s">
        <v>4026</v>
      </c>
      <c r="K1018" s="2">
        <v>43896</v>
      </c>
      <c r="L1018" s="2">
        <v>43899</v>
      </c>
      <c r="N1018">
        <v>72</v>
      </c>
      <c r="O1018">
        <f>IF(Tickets[[#This Row],[Ticket Priority]]="Critical",24,
IF(Tickets[[#This Row],[Ticket Priority]]="High",48,
IF(Tickets[[#This Row],[Ticket Priority]]="Medium",120,168)))</f>
        <v>120</v>
      </c>
      <c r="P1018" t="str">
        <f>IF(Tickets[[#This Row],[Resolution Duration Hours]] &lt;= Tickets[[#This Row],[SLA_Target_Hours]], "Yes", "No")</f>
        <v>Yes</v>
      </c>
    </row>
    <row r="1019" spans="1:16">
      <c r="A1019">
        <v>537</v>
      </c>
      <c r="B1019" t="s">
        <v>547</v>
      </c>
      <c r="C1019" t="s">
        <v>2520</v>
      </c>
      <c r="D1019" t="s">
        <v>3986</v>
      </c>
      <c r="E1019" s="1">
        <v>44799</v>
      </c>
      <c r="F1019" t="s">
        <v>3999</v>
      </c>
      <c r="G1019" t="s">
        <v>4011</v>
      </c>
      <c r="H1019" t="s">
        <v>4017</v>
      </c>
      <c r="I1019" t="s">
        <v>4024</v>
      </c>
      <c r="J1019" t="s">
        <v>4027</v>
      </c>
      <c r="K1019" s="2">
        <v>45160</v>
      </c>
      <c r="L1019" s="2">
        <v>45168</v>
      </c>
      <c r="N1019">
        <v>192</v>
      </c>
      <c r="O1019">
        <f>IF(Tickets[[#This Row],[Ticket Priority]]="Critical",24,
IF(Tickets[[#This Row],[Ticket Priority]]="High",48,
IF(Tickets[[#This Row],[Ticket Priority]]="Medium",120,168)))</f>
        <v>168</v>
      </c>
      <c r="P1019" t="str">
        <f>IF(Tickets[[#This Row],[Resolution Duration Hours]] &lt;= Tickets[[#This Row],[SLA_Target_Hours]], "Yes", "No")</f>
        <v>No</v>
      </c>
    </row>
    <row r="1020" spans="1:16" hidden="1">
      <c r="A1020">
        <v>1019</v>
      </c>
      <c r="B1020" t="s">
        <v>1026</v>
      </c>
      <c r="C1020" t="s">
        <v>3001</v>
      </c>
      <c r="D1020" t="s">
        <v>3993</v>
      </c>
      <c r="E1020" s="1">
        <v>44142</v>
      </c>
      <c r="F1020" t="s">
        <v>4002</v>
      </c>
      <c r="G1020" t="s">
        <v>4006</v>
      </c>
      <c r="H1020" t="s">
        <v>4017</v>
      </c>
      <c r="I1020" t="s">
        <v>4022</v>
      </c>
      <c r="J1020" t="s">
        <v>4026</v>
      </c>
      <c r="K1020" s="2">
        <v>44200</v>
      </c>
      <c r="L1020" s="2">
        <v>44200</v>
      </c>
      <c r="N1020">
        <v>0</v>
      </c>
      <c r="O1020">
        <f>IF(Tickets[[#This Row],[Ticket Priority]]="Critical",24,
IF(Tickets[[#This Row],[Ticket Priority]]="High",48,
IF(Tickets[[#This Row],[Ticket Priority]]="Medium",120,168)))</f>
        <v>24</v>
      </c>
      <c r="P1020" t="str">
        <f>IF(Tickets[[#This Row],[Resolution Duration Hours]] &lt;= Tickets[[#This Row],[SLA_Target_Hours]], "Yes", "No")</f>
        <v>Yes</v>
      </c>
    </row>
    <row r="1021" spans="1:16" hidden="1">
      <c r="A1021">
        <v>1020</v>
      </c>
      <c r="B1021" t="s">
        <v>1027</v>
      </c>
      <c r="C1021" t="s">
        <v>3002</v>
      </c>
      <c r="D1021" t="s">
        <v>3996</v>
      </c>
      <c r="E1021" s="1">
        <v>44980</v>
      </c>
      <c r="F1021" t="s">
        <v>4002</v>
      </c>
      <c r="G1021" t="s">
        <v>4007</v>
      </c>
      <c r="H1021" t="s">
        <v>4018</v>
      </c>
      <c r="I1021" t="s">
        <v>4021</v>
      </c>
      <c r="J1021" t="s">
        <v>4026</v>
      </c>
      <c r="K1021" s="2">
        <v>45180</v>
      </c>
      <c r="L1021" s="2">
        <v>45181</v>
      </c>
      <c r="M1021">
        <v>4</v>
      </c>
      <c r="N1021">
        <v>24</v>
      </c>
      <c r="O1021">
        <f>IF(Tickets[[#This Row],[Ticket Priority]]="Critical",24,
IF(Tickets[[#This Row],[Ticket Priority]]="High",48,
IF(Tickets[[#This Row],[Ticket Priority]]="Medium",120,168)))</f>
        <v>48</v>
      </c>
      <c r="P1021" t="str">
        <f>IF(Tickets[[#This Row],[Resolution Duration Hours]] &lt;= Tickets[[#This Row],[SLA_Target_Hours]], "Yes", "No")</f>
        <v>Yes</v>
      </c>
    </row>
    <row r="1022" spans="1:16" hidden="1">
      <c r="A1022">
        <v>1021</v>
      </c>
      <c r="B1022" t="s">
        <v>1028</v>
      </c>
      <c r="C1022" t="s">
        <v>3003</v>
      </c>
      <c r="D1022" t="s">
        <v>3986</v>
      </c>
      <c r="E1022" s="1">
        <v>45008</v>
      </c>
      <c r="F1022" t="s">
        <v>4002</v>
      </c>
      <c r="G1022" t="s">
        <v>4014</v>
      </c>
      <c r="H1022" t="s">
        <v>4018</v>
      </c>
      <c r="I1022" t="s">
        <v>4023</v>
      </c>
      <c r="J1022" t="s">
        <v>4027</v>
      </c>
      <c r="K1022" s="2">
        <v>45009</v>
      </c>
      <c r="L1022" s="2">
        <v>45011</v>
      </c>
      <c r="M1022">
        <v>4</v>
      </c>
      <c r="N1022">
        <v>48</v>
      </c>
      <c r="O1022">
        <f>IF(Tickets[[#This Row],[Ticket Priority]]="Critical",24,
IF(Tickets[[#This Row],[Ticket Priority]]="High",48,
IF(Tickets[[#This Row],[Ticket Priority]]="Medium",120,168)))</f>
        <v>120</v>
      </c>
      <c r="P1022" t="str">
        <f>IF(Tickets[[#This Row],[Resolution Duration Hours]] &lt;= Tickets[[#This Row],[SLA_Target_Hours]], "Yes", "No")</f>
        <v>Yes</v>
      </c>
    </row>
    <row r="1023" spans="1:16">
      <c r="A1023">
        <v>539</v>
      </c>
      <c r="B1023" t="s">
        <v>549</v>
      </c>
      <c r="C1023" t="s">
        <v>2522</v>
      </c>
      <c r="D1023" t="s">
        <v>3997</v>
      </c>
      <c r="E1023" s="1">
        <v>44106</v>
      </c>
      <c r="F1023" t="s">
        <v>3999</v>
      </c>
      <c r="G1023" t="s">
        <v>4008</v>
      </c>
      <c r="H1023" t="s">
        <v>4018</v>
      </c>
      <c r="I1023" t="s">
        <v>4024</v>
      </c>
      <c r="J1023" t="s">
        <v>4027</v>
      </c>
      <c r="K1023" s="2">
        <v>44118</v>
      </c>
      <c r="L1023" s="2">
        <v>44126</v>
      </c>
      <c r="M1023">
        <v>4</v>
      </c>
      <c r="N1023">
        <v>192</v>
      </c>
      <c r="O1023">
        <f>IF(Tickets[[#This Row],[Ticket Priority]]="Critical",24,
IF(Tickets[[#This Row],[Ticket Priority]]="High",48,
IF(Tickets[[#This Row],[Ticket Priority]]="Medium",120,168)))</f>
        <v>168</v>
      </c>
      <c r="P1023" t="str">
        <f>IF(Tickets[[#This Row],[Resolution Duration Hours]] &lt;= Tickets[[#This Row],[SLA_Target_Hours]], "Yes", "No")</f>
        <v>No</v>
      </c>
    </row>
    <row r="1024" spans="1:16" hidden="1">
      <c r="A1024">
        <v>1023</v>
      </c>
      <c r="B1024" t="s">
        <v>1030</v>
      </c>
      <c r="C1024" t="s">
        <v>3005</v>
      </c>
      <c r="D1024" t="s">
        <v>3982</v>
      </c>
      <c r="E1024" s="1">
        <v>45061</v>
      </c>
      <c r="F1024" t="s">
        <v>4000</v>
      </c>
      <c r="G1024" t="s">
        <v>4009</v>
      </c>
      <c r="H1024" t="s">
        <v>4017</v>
      </c>
      <c r="I1024" t="s">
        <v>4021</v>
      </c>
      <c r="J1024" t="s">
        <v>4026</v>
      </c>
      <c r="K1024" s="2">
        <v>45196</v>
      </c>
      <c r="L1024" s="2">
        <v>45198</v>
      </c>
      <c r="N1024">
        <v>48</v>
      </c>
      <c r="O1024">
        <f>IF(Tickets[[#This Row],[Ticket Priority]]="Critical",24,
IF(Tickets[[#This Row],[Ticket Priority]]="High",48,
IF(Tickets[[#This Row],[Ticket Priority]]="Medium",120,168)))</f>
        <v>48</v>
      </c>
      <c r="P1024" t="str">
        <f>IF(Tickets[[#This Row],[Resolution Duration Hours]] &lt;= Tickets[[#This Row],[SLA_Target_Hours]], "Yes", "No")</f>
        <v>Yes</v>
      </c>
    </row>
    <row r="1025" spans="1:16" hidden="1">
      <c r="A1025">
        <v>1024</v>
      </c>
      <c r="B1025" t="s">
        <v>1031</v>
      </c>
      <c r="C1025" t="s">
        <v>3006</v>
      </c>
      <c r="D1025" t="s">
        <v>3987</v>
      </c>
      <c r="E1025" s="1">
        <v>43877</v>
      </c>
      <c r="F1025" t="s">
        <v>3999</v>
      </c>
      <c r="G1025" t="s">
        <v>4016</v>
      </c>
      <c r="H1025" t="s">
        <v>4017</v>
      </c>
      <c r="I1025" t="s">
        <v>4023</v>
      </c>
      <c r="J1025" t="s">
        <v>4028</v>
      </c>
      <c r="K1025" s="2">
        <v>44127</v>
      </c>
      <c r="L1025" s="2">
        <v>44130</v>
      </c>
      <c r="N1025">
        <v>72</v>
      </c>
      <c r="O1025">
        <f>IF(Tickets[[#This Row],[Ticket Priority]]="Critical",24,
IF(Tickets[[#This Row],[Ticket Priority]]="High",48,
IF(Tickets[[#This Row],[Ticket Priority]]="Medium",120,168)))</f>
        <v>120</v>
      </c>
      <c r="P1025" t="str">
        <f>IF(Tickets[[#This Row],[Resolution Duration Hours]] &lt;= Tickets[[#This Row],[SLA_Target_Hours]], "Yes", "No")</f>
        <v>Yes</v>
      </c>
    </row>
    <row r="1026" spans="1:16" hidden="1">
      <c r="A1026">
        <v>1025</v>
      </c>
      <c r="B1026" t="s">
        <v>1032</v>
      </c>
      <c r="C1026" t="s">
        <v>3007</v>
      </c>
      <c r="D1026" t="s">
        <v>3993</v>
      </c>
      <c r="E1026" s="1">
        <v>44358</v>
      </c>
      <c r="F1026" t="s">
        <v>3999</v>
      </c>
      <c r="G1026" t="s">
        <v>4011</v>
      </c>
      <c r="H1026" t="s">
        <v>4017</v>
      </c>
      <c r="I1026" t="s">
        <v>4024</v>
      </c>
      <c r="J1026" t="s">
        <v>4025</v>
      </c>
      <c r="K1026" s="2">
        <v>44626</v>
      </c>
      <c r="L1026" s="2">
        <v>44632</v>
      </c>
      <c r="N1026">
        <v>144</v>
      </c>
      <c r="O1026">
        <f>IF(Tickets[[#This Row],[Ticket Priority]]="Critical",24,
IF(Tickets[[#This Row],[Ticket Priority]]="High",48,
IF(Tickets[[#This Row],[Ticket Priority]]="Medium",120,168)))</f>
        <v>168</v>
      </c>
      <c r="P1026" t="str">
        <f>IF(Tickets[[#This Row],[Resolution Duration Hours]] &lt;= Tickets[[#This Row],[SLA_Target_Hours]], "Yes", "No")</f>
        <v>Yes</v>
      </c>
    </row>
    <row r="1027" spans="1:16" hidden="1">
      <c r="A1027">
        <v>1026</v>
      </c>
      <c r="B1027" t="s">
        <v>1033</v>
      </c>
      <c r="C1027" t="s">
        <v>3008</v>
      </c>
      <c r="D1027" t="s">
        <v>3992</v>
      </c>
      <c r="E1027" s="1">
        <v>44047</v>
      </c>
      <c r="F1027" t="s">
        <v>3999</v>
      </c>
      <c r="G1027" t="s">
        <v>4006</v>
      </c>
      <c r="H1027" t="s">
        <v>4017</v>
      </c>
      <c r="I1027" t="s">
        <v>4023</v>
      </c>
      <c r="J1027" t="s">
        <v>4026</v>
      </c>
      <c r="K1027" s="2">
        <v>44227</v>
      </c>
      <c r="L1027" s="2">
        <v>44228</v>
      </c>
      <c r="N1027">
        <v>24</v>
      </c>
      <c r="O1027">
        <f>IF(Tickets[[#This Row],[Ticket Priority]]="Critical",24,
IF(Tickets[[#This Row],[Ticket Priority]]="High",48,
IF(Tickets[[#This Row],[Ticket Priority]]="Medium",120,168)))</f>
        <v>120</v>
      </c>
      <c r="P1027" t="str">
        <f>IF(Tickets[[#This Row],[Resolution Duration Hours]] &lt;= Tickets[[#This Row],[SLA_Target_Hours]], "Yes", "No")</f>
        <v>Yes</v>
      </c>
    </row>
    <row r="1028" spans="1:16">
      <c r="A1028">
        <v>555</v>
      </c>
      <c r="B1028" t="s">
        <v>565</v>
      </c>
      <c r="C1028" t="s">
        <v>2538</v>
      </c>
      <c r="D1028" t="s">
        <v>3983</v>
      </c>
      <c r="E1028" s="1">
        <v>44133</v>
      </c>
      <c r="F1028" t="s">
        <v>3999</v>
      </c>
      <c r="G1028" t="s">
        <v>4003</v>
      </c>
      <c r="H1028" t="s">
        <v>4018</v>
      </c>
      <c r="I1028" t="s">
        <v>4024</v>
      </c>
      <c r="J1028" t="s">
        <v>4027</v>
      </c>
      <c r="K1028" s="2">
        <v>44286</v>
      </c>
      <c r="L1028" s="2">
        <v>44294</v>
      </c>
      <c r="M1028">
        <v>5</v>
      </c>
      <c r="N1028">
        <v>192</v>
      </c>
      <c r="O1028">
        <f>IF(Tickets[[#This Row],[Ticket Priority]]="Critical",24,
IF(Tickets[[#This Row],[Ticket Priority]]="High",48,
IF(Tickets[[#This Row],[Ticket Priority]]="Medium",120,168)))</f>
        <v>168</v>
      </c>
      <c r="P1028" t="str">
        <f>IF(Tickets[[#This Row],[Resolution Duration Hours]] &lt;= Tickets[[#This Row],[SLA_Target_Hours]], "Yes", "No")</f>
        <v>No</v>
      </c>
    </row>
    <row r="1029" spans="1:16" hidden="1">
      <c r="A1029">
        <v>1028</v>
      </c>
      <c r="B1029" t="s">
        <v>1035</v>
      </c>
      <c r="C1029" t="s">
        <v>3010</v>
      </c>
      <c r="D1029" t="s">
        <v>3995</v>
      </c>
      <c r="E1029" s="1">
        <v>44097</v>
      </c>
      <c r="F1029" t="s">
        <v>3999</v>
      </c>
      <c r="G1029" t="s">
        <v>4005</v>
      </c>
      <c r="H1029" t="s">
        <v>4018</v>
      </c>
      <c r="I1029" t="s">
        <v>4021</v>
      </c>
      <c r="J1029" t="s">
        <v>4027</v>
      </c>
      <c r="K1029" s="2">
        <v>44209</v>
      </c>
      <c r="L1029" s="2">
        <v>44210</v>
      </c>
      <c r="M1029">
        <v>4</v>
      </c>
      <c r="N1029">
        <v>24</v>
      </c>
      <c r="O1029">
        <f>IF(Tickets[[#This Row],[Ticket Priority]]="Critical",24,
IF(Tickets[[#This Row],[Ticket Priority]]="High",48,
IF(Tickets[[#This Row],[Ticket Priority]]="Medium",120,168)))</f>
        <v>48</v>
      </c>
      <c r="P1029" t="str">
        <f>IF(Tickets[[#This Row],[Resolution Duration Hours]] &lt;= Tickets[[#This Row],[SLA_Target_Hours]], "Yes", "No")</f>
        <v>Yes</v>
      </c>
    </row>
    <row r="1030" spans="1:16">
      <c r="A1030">
        <v>556</v>
      </c>
      <c r="B1030" t="s">
        <v>566</v>
      </c>
      <c r="C1030" t="s">
        <v>2539</v>
      </c>
      <c r="D1030" t="s">
        <v>3997</v>
      </c>
      <c r="E1030" s="1">
        <v>44612</v>
      </c>
      <c r="F1030" t="s">
        <v>3998</v>
      </c>
      <c r="G1030" t="s">
        <v>4016</v>
      </c>
      <c r="H1030" t="s">
        <v>4019</v>
      </c>
      <c r="I1030" t="s">
        <v>4024</v>
      </c>
      <c r="J1030" t="s">
        <v>4026</v>
      </c>
      <c r="K1030" s="2">
        <v>44818</v>
      </c>
      <c r="L1030" s="2">
        <v>44826</v>
      </c>
      <c r="N1030">
        <v>192</v>
      </c>
      <c r="O1030">
        <f>IF(Tickets[[#This Row],[Ticket Priority]]="Critical",24,
IF(Tickets[[#This Row],[Ticket Priority]]="High",48,
IF(Tickets[[#This Row],[Ticket Priority]]="Medium",120,168)))</f>
        <v>168</v>
      </c>
      <c r="P1030" t="str">
        <f>IF(Tickets[[#This Row],[Resolution Duration Hours]] &lt;= Tickets[[#This Row],[SLA_Target_Hours]], "Yes", "No")</f>
        <v>No</v>
      </c>
    </row>
    <row r="1031" spans="1:16" hidden="1">
      <c r="A1031">
        <v>1030</v>
      </c>
      <c r="B1031" t="s">
        <v>1037</v>
      </c>
      <c r="C1031" t="s">
        <v>3011</v>
      </c>
      <c r="D1031" t="s">
        <v>3990</v>
      </c>
      <c r="E1031" s="1">
        <v>44097</v>
      </c>
      <c r="F1031" t="s">
        <v>3998</v>
      </c>
      <c r="G1031" t="s">
        <v>4004</v>
      </c>
      <c r="H1031" t="s">
        <v>4018</v>
      </c>
      <c r="I1031" t="s">
        <v>4023</v>
      </c>
      <c r="J1031" t="s">
        <v>4026</v>
      </c>
      <c r="K1031" s="2">
        <v>44444</v>
      </c>
      <c r="L1031" s="2">
        <v>44448</v>
      </c>
      <c r="M1031">
        <v>3</v>
      </c>
      <c r="N1031">
        <v>96</v>
      </c>
      <c r="O1031">
        <f>IF(Tickets[[#This Row],[Ticket Priority]]="Critical",24,
IF(Tickets[[#This Row],[Ticket Priority]]="High",48,
IF(Tickets[[#This Row],[Ticket Priority]]="Medium",120,168)))</f>
        <v>120</v>
      </c>
      <c r="P1031" t="str">
        <f>IF(Tickets[[#This Row],[Resolution Duration Hours]] &lt;= Tickets[[#This Row],[SLA_Target_Hours]], "Yes", "No")</f>
        <v>Yes</v>
      </c>
    </row>
    <row r="1032" spans="1:16" hidden="1">
      <c r="A1032">
        <v>1031</v>
      </c>
      <c r="B1032" t="s">
        <v>1038</v>
      </c>
      <c r="C1032" t="s">
        <v>3012</v>
      </c>
      <c r="D1032" t="s">
        <v>3979</v>
      </c>
      <c r="E1032" s="1">
        <v>43937</v>
      </c>
      <c r="F1032" t="s">
        <v>4002</v>
      </c>
      <c r="G1032" t="s">
        <v>4011</v>
      </c>
      <c r="H1032" t="s">
        <v>4018</v>
      </c>
      <c r="I1032" t="s">
        <v>4023</v>
      </c>
      <c r="J1032" t="s">
        <v>4026</v>
      </c>
      <c r="K1032" s="2">
        <v>44158</v>
      </c>
      <c r="L1032" s="2">
        <v>44161</v>
      </c>
      <c r="M1032">
        <v>5</v>
      </c>
      <c r="N1032">
        <v>72</v>
      </c>
      <c r="O1032">
        <f>IF(Tickets[[#This Row],[Ticket Priority]]="Critical",24,
IF(Tickets[[#This Row],[Ticket Priority]]="High",48,
IF(Tickets[[#This Row],[Ticket Priority]]="Medium",120,168)))</f>
        <v>120</v>
      </c>
      <c r="P1032" t="str">
        <f>IF(Tickets[[#This Row],[Resolution Duration Hours]] &lt;= Tickets[[#This Row],[SLA_Target_Hours]], "Yes", "No")</f>
        <v>Yes</v>
      </c>
    </row>
    <row r="1033" spans="1:16" hidden="1">
      <c r="A1033">
        <v>1032</v>
      </c>
      <c r="B1033" t="s">
        <v>1039</v>
      </c>
      <c r="C1033" t="s">
        <v>3013</v>
      </c>
      <c r="D1033" t="s">
        <v>3997</v>
      </c>
      <c r="E1033" s="1">
        <v>44568</v>
      </c>
      <c r="F1033" t="s">
        <v>4001</v>
      </c>
      <c r="G1033" t="s">
        <v>4005</v>
      </c>
      <c r="H1033" t="s">
        <v>4020</v>
      </c>
      <c r="I1033" t="s">
        <v>4024</v>
      </c>
      <c r="J1033" t="s">
        <v>4026</v>
      </c>
      <c r="K1033" s="2">
        <v>44716</v>
      </c>
      <c r="L1033" s="2">
        <v>44723</v>
      </c>
      <c r="N1033">
        <v>168</v>
      </c>
      <c r="O1033">
        <f>IF(Tickets[[#This Row],[Ticket Priority]]="Critical",24,
IF(Tickets[[#This Row],[Ticket Priority]]="High",48,
IF(Tickets[[#This Row],[Ticket Priority]]="Medium",120,168)))</f>
        <v>168</v>
      </c>
      <c r="P1033" t="str">
        <f>IF(Tickets[[#This Row],[Resolution Duration Hours]] &lt;= Tickets[[#This Row],[SLA_Target_Hours]], "Yes", "No")</f>
        <v>Yes</v>
      </c>
    </row>
    <row r="1034" spans="1:16">
      <c r="A1034">
        <v>576</v>
      </c>
      <c r="B1034" t="s">
        <v>586</v>
      </c>
      <c r="C1034" t="s">
        <v>2559</v>
      </c>
      <c r="D1034" t="s">
        <v>3989</v>
      </c>
      <c r="E1034" s="1">
        <v>44876</v>
      </c>
      <c r="F1034" t="s">
        <v>3998</v>
      </c>
      <c r="G1034" t="s">
        <v>4008</v>
      </c>
      <c r="H1034" t="s">
        <v>4018</v>
      </c>
      <c r="I1034" t="s">
        <v>4024</v>
      </c>
      <c r="J1034" t="s">
        <v>4028</v>
      </c>
      <c r="K1034" s="2">
        <v>45182</v>
      </c>
      <c r="L1034" s="2">
        <v>45190</v>
      </c>
      <c r="N1034">
        <v>192</v>
      </c>
      <c r="O1034">
        <f>IF(Tickets[[#This Row],[Ticket Priority]]="Critical",24,
IF(Tickets[[#This Row],[Ticket Priority]]="High",48,
IF(Tickets[[#This Row],[Ticket Priority]]="Medium",120,168)))</f>
        <v>168</v>
      </c>
      <c r="P1034" t="str">
        <f>IF(Tickets[[#This Row],[Resolution Duration Hours]] &lt;= Tickets[[#This Row],[SLA_Target_Hours]], "Yes", "No")</f>
        <v>No</v>
      </c>
    </row>
    <row r="1035" spans="1:16">
      <c r="A1035">
        <v>588</v>
      </c>
      <c r="B1035" t="s">
        <v>598</v>
      </c>
      <c r="C1035" t="s">
        <v>2571</v>
      </c>
      <c r="D1035" t="s">
        <v>3997</v>
      </c>
      <c r="E1035" s="1">
        <v>44899</v>
      </c>
      <c r="F1035" t="s">
        <v>4002</v>
      </c>
      <c r="G1035" t="s">
        <v>4011</v>
      </c>
      <c r="H1035" t="s">
        <v>4018</v>
      </c>
      <c r="I1035" t="s">
        <v>4024</v>
      </c>
      <c r="J1035" t="s">
        <v>4026</v>
      </c>
      <c r="K1035" s="2">
        <v>45133</v>
      </c>
      <c r="L1035" s="2">
        <v>45141</v>
      </c>
      <c r="M1035">
        <v>4</v>
      </c>
      <c r="N1035">
        <v>192</v>
      </c>
      <c r="O1035">
        <f>IF(Tickets[[#This Row],[Ticket Priority]]="Critical",24,
IF(Tickets[[#This Row],[Ticket Priority]]="High",48,
IF(Tickets[[#This Row],[Ticket Priority]]="Medium",120,168)))</f>
        <v>168</v>
      </c>
      <c r="P1035" t="str">
        <f>IF(Tickets[[#This Row],[Resolution Duration Hours]] &lt;= Tickets[[#This Row],[SLA_Target_Hours]], "Yes", "No")</f>
        <v>No</v>
      </c>
    </row>
    <row r="1036" spans="1:16" hidden="1">
      <c r="A1036">
        <v>1035</v>
      </c>
      <c r="B1036" t="s">
        <v>1042</v>
      </c>
      <c r="C1036" t="s">
        <v>3016</v>
      </c>
      <c r="D1036" t="s">
        <v>3980</v>
      </c>
      <c r="E1036" s="1">
        <v>44369</v>
      </c>
      <c r="F1036" t="s">
        <v>4000</v>
      </c>
      <c r="G1036" t="s">
        <v>4006</v>
      </c>
      <c r="H1036" t="s">
        <v>4018</v>
      </c>
      <c r="I1036" t="s">
        <v>4022</v>
      </c>
      <c r="J1036" t="s">
        <v>4026</v>
      </c>
      <c r="K1036" s="2">
        <v>44410</v>
      </c>
      <c r="L1036" s="2">
        <v>44410</v>
      </c>
      <c r="M1036">
        <v>5</v>
      </c>
      <c r="N1036">
        <v>0</v>
      </c>
      <c r="O1036">
        <f>IF(Tickets[[#This Row],[Ticket Priority]]="Critical",24,
IF(Tickets[[#This Row],[Ticket Priority]]="High",48,
IF(Tickets[[#This Row],[Ticket Priority]]="Medium",120,168)))</f>
        <v>24</v>
      </c>
      <c r="P1036" t="str">
        <f>IF(Tickets[[#This Row],[Resolution Duration Hours]] &lt;= Tickets[[#This Row],[SLA_Target_Hours]], "Yes", "No")</f>
        <v>Yes</v>
      </c>
    </row>
    <row r="1037" spans="1:16" hidden="1">
      <c r="A1037">
        <v>1036</v>
      </c>
      <c r="B1037" t="s">
        <v>1043</v>
      </c>
      <c r="C1037" t="s">
        <v>3017</v>
      </c>
      <c r="D1037" t="s">
        <v>3990</v>
      </c>
      <c r="E1037" s="1">
        <v>44970</v>
      </c>
      <c r="F1037" t="s">
        <v>4002</v>
      </c>
      <c r="G1037" t="s">
        <v>4012</v>
      </c>
      <c r="H1037" t="s">
        <v>4020</v>
      </c>
      <c r="I1037" t="s">
        <v>4021</v>
      </c>
      <c r="J1037" t="s">
        <v>4026</v>
      </c>
      <c r="K1037" s="2">
        <v>45124</v>
      </c>
      <c r="L1037" s="2">
        <v>45126</v>
      </c>
      <c r="N1037">
        <v>48</v>
      </c>
      <c r="O1037">
        <f>IF(Tickets[[#This Row],[Ticket Priority]]="Critical",24,
IF(Tickets[[#This Row],[Ticket Priority]]="High",48,
IF(Tickets[[#This Row],[Ticket Priority]]="Medium",120,168)))</f>
        <v>48</v>
      </c>
      <c r="P1037" t="str">
        <f>IF(Tickets[[#This Row],[Resolution Duration Hours]] &lt;= Tickets[[#This Row],[SLA_Target_Hours]], "Yes", "No")</f>
        <v>Yes</v>
      </c>
    </row>
    <row r="1038" spans="1:16" hidden="1">
      <c r="A1038">
        <v>1037</v>
      </c>
      <c r="B1038" t="s">
        <v>1044</v>
      </c>
      <c r="C1038" t="s">
        <v>3018</v>
      </c>
      <c r="D1038" t="s">
        <v>3985</v>
      </c>
      <c r="E1038" s="1">
        <v>44076</v>
      </c>
      <c r="F1038" t="s">
        <v>4000</v>
      </c>
      <c r="G1038" t="s">
        <v>4008</v>
      </c>
      <c r="H1038" t="s">
        <v>4018</v>
      </c>
      <c r="I1038" t="s">
        <v>4023</v>
      </c>
      <c r="J1038" t="s">
        <v>4028</v>
      </c>
      <c r="K1038" s="2">
        <v>44289</v>
      </c>
      <c r="L1038" s="2">
        <v>44292</v>
      </c>
      <c r="N1038">
        <v>72</v>
      </c>
      <c r="O1038">
        <f>IF(Tickets[[#This Row],[Ticket Priority]]="Critical",24,
IF(Tickets[[#This Row],[Ticket Priority]]="High",48,
IF(Tickets[[#This Row],[Ticket Priority]]="Medium",120,168)))</f>
        <v>120</v>
      </c>
      <c r="P1038" t="str">
        <f>IF(Tickets[[#This Row],[Resolution Duration Hours]] &lt;= Tickets[[#This Row],[SLA_Target_Hours]], "Yes", "No")</f>
        <v>Yes</v>
      </c>
    </row>
    <row r="1039" spans="1:16">
      <c r="A1039">
        <v>590</v>
      </c>
      <c r="B1039" t="s">
        <v>600</v>
      </c>
      <c r="C1039" t="s">
        <v>2573</v>
      </c>
      <c r="D1039" t="s">
        <v>3982</v>
      </c>
      <c r="E1039" s="1">
        <v>44976</v>
      </c>
      <c r="F1039" t="s">
        <v>4002</v>
      </c>
      <c r="G1039" t="s">
        <v>4000</v>
      </c>
      <c r="H1039" t="s">
        <v>4018</v>
      </c>
      <c r="I1039" t="s">
        <v>4024</v>
      </c>
      <c r="J1039" t="s">
        <v>4026</v>
      </c>
      <c r="K1039" s="2">
        <v>45278</v>
      </c>
      <c r="L1039" s="2">
        <v>45286</v>
      </c>
      <c r="M1039">
        <v>4</v>
      </c>
      <c r="N1039">
        <v>192</v>
      </c>
      <c r="O1039">
        <f>IF(Tickets[[#This Row],[Ticket Priority]]="Critical",24,
IF(Tickets[[#This Row],[Ticket Priority]]="High",48,
IF(Tickets[[#This Row],[Ticket Priority]]="Medium",120,168)))</f>
        <v>168</v>
      </c>
      <c r="P1039" t="str">
        <f>IF(Tickets[[#This Row],[Resolution Duration Hours]] &lt;= Tickets[[#This Row],[SLA_Target_Hours]], "Yes", "No")</f>
        <v>No</v>
      </c>
    </row>
    <row r="1040" spans="1:16" hidden="1">
      <c r="A1040">
        <v>1039</v>
      </c>
      <c r="B1040" t="s">
        <v>1046</v>
      </c>
      <c r="C1040" t="s">
        <v>3020</v>
      </c>
      <c r="D1040" t="s">
        <v>3995</v>
      </c>
      <c r="E1040" s="1">
        <v>44468</v>
      </c>
      <c r="F1040" t="s">
        <v>3999</v>
      </c>
      <c r="G1040" t="s">
        <v>4008</v>
      </c>
      <c r="H1040" t="s">
        <v>4020</v>
      </c>
      <c r="I1040" t="s">
        <v>4023</v>
      </c>
      <c r="J1040" t="s">
        <v>4028</v>
      </c>
      <c r="K1040" s="2">
        <v>44704</v>
      </c>
      <c r="L1040" s="2">
        <v>44709</v>
      </c>
      <c r="N1040">
        <v>120</v>
      </c>
      <c r="O1040">
        <f>IF(Tickets[[#This Row],[Ticket Priority]]="Critical",24,
IF(Tickets[[#This Row],[Ticket Priority]]="High",48,
IF(Tickets[[#This Row],[Ticket Priority]]="Medium",120,168)))</f>
        <v>120</v>
      </c>
      <c r="P1040" t="str">
        <f>IF(Tickets[[#This Row],[Resolution Duration Hours]] &lt;= Tickets[[#This Row],[SLA_Target_Hours]], "Yes", "No")</f>
        <v>Yes</v>
      </c>
    </row>
    <row r="1041" spans="1:16" hidden="1">
      <c r="A1041">
        <v>1040</v>
      </c>
      <c r="B1041" t="s">
        <v>1047</v>
      </c>
      <c r="C1041" t="s">
        <v>3021</v>
      </c>
      <c r="D1041" t="s">
        <v>3993</v>
      </c>
      <c r="E1041" s="1">
        <v>44880</v>
      </c>
      <c r="F1041" t="s">
        <v>4000</v>
      </c>
      <c r="G1041" t="s">
        <v>4014</v>
      </c>
      <c r="H1041" t="s">
        <v>4018</v>
      </c>
      <c r="I1041" t="s">
        <v>4021</v>
      </c>
      <c r="J1041" t="s">
        <v>4025</v>
      </c>
      <c r="K1041" s="2">
        <v>45177</v>
      </c>
      <c r="L1041" s="2">
        <v>45179</v>
      </c>
      <c r="M1041">
        <v>3</v>
      </c>
      <c r="N1041">
        <v>48</v>
      </c>
      <c r="O1041">
        <f>IF(Tickets[[#This Row],[Ticket Priority]]="Critical",24,
IF(Tickets[[#This Row],[Ticket Priority]]="High",48,
IF(Tickets[[#This Row],[Ticket Priority]]="Medium",120,168)))</f>
        <v>48</v>
      </c>
      <c r="P1041" t="str">
        <f>IF(Tickets[[#This Row],[Resolution Duration Hours]] &lt;= Tickets[[#This Row],[SLA_Target_Hours]], "Yes", "No")</f>
        <v>Yes</v>
      </c>
    </row>
    <row r="1042" spans="1:16" hidden="1">
      <c r="A1042">
        <v>1041</v>
      </c>
      <c r="B1042" t="s">
        <v>1048</v>
      </c>
      <c r="C1042" t="s">
        <v>3022</v>
      </c>
      <c r="D1042" t="s">
        <v>3987</v>
      </c>
      <c r="E1042" s="1">
        <v>44932</v>
      </c>
      <c r="F1042" t="s">
        <v>4001</v>
      </c>
      <c r="G1042" t="s">
        <v>4007</v>
      </c>
      <c r="H1042" t="s">
        <v>4017</v>
      </c>
      <c r="I1042" t="s">
        <v>4024</v>
      </c>
      <c r="J1042" t="s">
        <v>4026</v>
      </c>
      <c r="K1042" s="2">
        <v>45168</v>
      </c>
      <c r="L1042" s="2">
        <v>45173</v>
      </c>
      <c r="N1042">
        <v>120</v>
      </c>
      <c r="O1042">
        <f>IF(Tickets[[#This Row],[Ticket Priority]]="Critical",24,
IF(Tickets[[#This Row],[Ticket Priority]]="High",48,
IF(Tickets[[#This Row],[Ticket Priority]]="Medium",120,168)))</f>
        <v>168</v>
      </c>
      <c r="P1042" t="str">
        <f>IF(Tickets[[#This Row],[Resolution Duration Hours]] &lt;= Tickets[[#This Row],[SLA_Target_Hours]], "Yes", "No")</f>
        <v>Yes</v>
      </c>
    </row>
    <row r="1043" spans="1:16">
      <c r="A1043">
        <v>604</v>
      </c>
      <c r="B1043" t="s">
        <v>614</v>
      </c>
      <c r="C1043" t="s">
        <v>2587</v>
      </c>
      <c r="D1043" t="s">
        <v>3991</v>
      </c>
      <c r="E1043" s="1">
        <v>45006</v>
      </c>
      <c r="F1043" t="s">
        <v>3999</v>
      </c>
      <c r="G1043" t="s">
        <v>4010</v>
      </c>
      <c r="H1043" t="s">
        <v>4018</v>
      </c>
      <c r="I1043" t="s">
        <v>4024</v>
      </c>
      <c r="J1043" t="s">
        <v>4025</v>
      </c>
      <c r="K1043" s="2">
        <v>45123</v>
      </c>
      <c r="L1043" s="2">
        <v>45131</v>
      </c>
      <c r="M1043">
        <v>5</v>
      </c>
      <c r="N1043">
        <v>192</v>
      </c>
      <c r="O1043">
        <f>IF(Tickets[[#This Row],[Ticket Priority]]="Critical",24,
IF(Tickets[[#This Row],[Ticket Priority]]="High",48,
IF(Tickets[[#This Row],[Ticket Priority]]="Medium",120,168)))</f>
        <v>168</v>
      </c>
      <c r="P1043" t="str">
        <f>IF(Tickets[[#This Row],[Resolution Duration Hours]] &lt;= Tickets[[#This Row],[SLA_Target_Hours]], "Yes", "No")</f>
        <v>No</v>
      </c>
    </row>
    <row r="1044" spans="1:16" hidden="1">
      <c r="A1044">
        <v>1043</v>
      </c>
      <c r="B1044" t="s">
        <v>1050</v>
      </c>
      <c r="C1044" t="s">
        <v>3024</v>
      </c>
      <c r="D1044" t="s">
        <v>3994</v>
      </c>
      <c r="E1044" s="1">
        <v>43987</v>
      </c>
      <c r="F1044" t="s">
        <v>4002</v>
      </c>
      <c r="G1044" t="s">
        <v>4012</v>
      </c>
      <c r="H1044" t="s">
        <v>4018</v>
      </c>
      <c r="I1044" t="s">
        <v>4021</v>
      </c>
      <c r="J1044" t="s">
        <v>4028</v>
      </c>
      <c r="K1044" s="2">
        <v>44346</v>
      </c>
      <c r="L1044" s="2">
        <v>44347</v>
      </c>
      <c r="M1044">
        <v>4</v>
      </c>
      <c r="N1044">
        <v>24</v>
      </c>
      <c r="O1044">
        <f>IF(Tickets[[#This Row],[Ticket Priority]]="Critical",24,
IF(Tickets[[#This Row],[Ticket Priority]]="High",48,
IF(Tickets[[#This Row],[Ticket Priority]]="Medium",120,168)))</f>
        <v>48</v>
      </c>
      <c r="P1044" t="str">
        <f>IF(Tickets[[#This Row],[Resolution Duration Hours]] &lt;= Tickets[[#This Row],[SLA_Target_Hours]], "Yes", "No")</f>
        <v>Yes</v>
      </c>
    </row>
    <row r="1045" spans="1:16" hidden="1">
      <c r="A1045">
        <v>1044</v>
      </c>
      <c r="B1045" t="s">
        <v>1051</v>
      </c>
      <c r="C1045" t="s">
        <v>3025</v>
      </c>
      <c r="D1045" t="s">
        <v>3987</v>
      </c>
      <c r="E1045" s="1">
        <v>44255</v>
      </c>
      <c r="F1045" t="s">
        <v>4002</v>
      </c>
      <c r="G1045" t="s">
        <v>4005</v>
      </c>
      <c r="H1045" t="s">
        <v>4020</v>
      </c>
      <c r="I1045" t="s">
        <v>4021</v>
      </c>
      <c r="J1045" t="s">
        <v>4028</v>
      </c>
      <c r="K1045" s="2">
        <v>44503</v>
      </c>
      <c r="L1045" s="2">
        <v>44504</v>
      </c>
      <c r="N1045">
        <v>24</v>
      </c>
      <c r="O1045">
        <f>IF(Tickets[[#This Row],[Ticket Priority]]="Critical",24,
IF(Tickets[[#This Row],[Ticket Priority]]="High",48,
IF(Tickets[[#This Row],[Ticket Priority]]="Medium",120,168)))</f>
        <v>48</v>
      </c>
      <c r="P1045" t="str">
        <f>IF(Tickets[[#This Row],[Resolution Duration Hours]] &lt;= Tickets[[#This Row],[SLA_Target_Hours]], "Yes", "No")</f>
        <v>Yes</v>
      </c>
    </row>
    <row r="1046" spans="1:16" hidden="1">
      <c r="A1046">
        <v>1045</v>
      </c>
      <c r="B1046" t="s">
        <v>1052</v>
      </c>
      <c r="C1046" t="s">
        <v>3026</v>
      </c>
      <c r="D1046" t="s">
        <v>3979</v>
      </c>
      <c r="E1046" s="1">
        <v>44913</v>
      </c>
      <c r="F1046" t="s">
        <v>4002</v>
      </c>
      <c r="G1046" t="s">
        <v>4016</v>
      </c>
      <c r="H1046" t="s">
        <v>4018</v>
      </c>
      <c r="I1046" t="s">
        <v>4023</v>
      </c>
      <c r="J1046" t="s">
        <v>4028</v>
      </c>
      <c r="K1046" s="2">
        <v>45155</v>
      </c>
      <c r="L1046" s="2">
        <v>45159</v>
      </c>
      <c r="M1046">
        <v>5</v>
      </c>
      <c r="N1046">
        <v>96</v>
      </c>
      <c r="O1046">
        <f>IF(Tickets[[#This Row],[Ticket Priority]]="Critical",24,
IF(Tickets[[#This Row],[Ticket Priority]]="High",48,
IF(Tickets[[#This Row],[Ticket Priority]]="Medium",120,168)))</f>
        <v>120</v>
      </c>
      <c r="P1046" t="str">
        <f>IF(Tickets[[#This Row],[Resolution Duration Hours]] &lt;= Tickets[[#This Row],[SLA_Target_Hours]], "Yes", "No")</f>
        <v>Yes</v>
      </c>
    </row>
    <row r="1047" spans="1:16" hidden="1">
      <c r="A1047">
        <v>1046</v>
      </c>
      <c r="B1047" t="s">
        <v>1053</v>
      </c>
      <c r="C1047" t="s">
        <v>3027</v>
      </c>
      <c r="D1047" t="s">
        <v>3991</v>
      </c>
      <c r="E1047" s="1">
        <v>44760</v>
      </c>
      <c r="F1047" t="s">
        <v>4002</v>
      </c>
      <c r="G1047" t="s">
        <v>4014</v>
      </c>
      <c r="H1047" t="s">
        <v>4018</v>
      </c>
      <c r="I1047" t="s">
        <v>4024</v>
      </c>
      <c r="J1047" t="s">
        <v>4028</v>
      </c>
      <c r="K1047" s="2">
        <v>44893</v>
      </c>
      <c r="L1047" s="2">
        <v>44897</v>
      </c>
      <c r="M1047">
        <v>4</v>
      </c>
      <c r="N1047">
        <v>96</v>
      </c>
      <c r="O1047">
        <f>IF(Tickets[[#This Row],[Ticket Priority]]="Critical",24,
IF(Tickets[[#This Row],[Ticket Priority]]="High",48,
IF(Tickets[[#This Row],[Ticket Priority]]="Medium",120,168)))</f>
        <v>168</v>
      </c>
      <c r="P1047" t="str">
        <f>IF(Tickets[[#This Row],[Resolution Duration Hours]] &lt;= Tickets[[#This Row],[SLA_Target_Hours]], "Yes", "No")</f>
        <v>Yes</v>
      </c>
    </row>
    <row r="1048" spans="1:16">
      <c r="A1048">
        <v>607</v>
      </c>
      <c r="B1048" t="s">
        <v>617</v>
      </c>
      <c r="C1048" t="s">
        <v>2590</v>
      </c>
      <c r="D1048" t="s">
        <v>3992</v>
      </c>
      <c r="E1048" s="1">
        <v>44240</v>
      </c>
      <c r="F1048" t="s">
        <v>4002</v>
      </c>
      <c r="G1048" t="s">
        <v>4013</v>
      </c>
      <c r="H1048" t="s">
        <v>4018</v>
      </c>
      <c r="I1048" t="s">
        <v>4024</v>
      </c>
      <c r="J1048" t="s">
        <v>4026</v>
      </c>
      <c r="K1048" s="2">
        <v>44363</v>
      </c>
      <c r="L1048" s="2">
        <v>44371</v>
      </c>
      <c r="N1048">
        <v>192</v>
      </c>
      <c r="O1048">
        <f>IF(Tickets[[#This Row],[Ticket Priority]]="Critical",24,
IF(Tickets[[#This Row],[Ticket Priority]]="High",48,
IF(Tickets[[#This Row],[Ticket Priority]]="Medium",120,168)))</f>
        <v>168</v>
      </c>
      <c r="P1048" t="str">
        <f>IF(Tickets[[#This Row],[Resolution Duration Hours]] &lt;= Tickets[[#This Row],[SLA_Target_Hours]], "Yes", "No")</f>
        <v>No</v>
      </c>
    </row>
    <row r="1049" spans="1:16">
      <c r="A1049">
        <v>641</v>
      </c>
      <c r="B1049" t="s">
        <v>651</v>
      </c>
      <c r="C1049" t="s">
        <v>2624</v>
      </c>
      <c r="D1049" t="s">
        <v>3984</v>
      </c>
      <c r="E1049" s="1">
        <v>44933</v>
      </c>
      <c r="F1049" t="s">
        <v>3998</v>
      </c>
      <c r="G1049" t="s">
        <v>4004</v>
      </c>
      <c r="H1049" t="s">
        <v>4018</v>
      </c>
      <c r="I1049" t="s">
        <v>4021</v>
      </c>
      <c r="J1049" t="s">
        <v>4025</v>
      </c>
      <c r="K1049" s="2">
        <v>44972</v>
      </c>
      <c r="L1049" s="2">
        <v>44980</v>
      </c>
      <c r="M1049">
        <v>3</v>
      </c>
      <c r="N1049">
        <v>192</v>
      </c>
      <c r="O1049">
        <f>IF(Tickets[[#This Row],[Ticket Priority]]="Critical",24,
IF(Tickets[[#This Row],[Ticket Priority]]="High",48,
IF(Tickets[[#This Row],[Ticket Priority]]="Medium",120,168)))</f>
        <v>48</v>
      </c>
      <c r="P1049" t="str">
        <f>IF(Tickets[[#This Row],[Resolution Duration Hours]] &lt;= Tickets[[#This Row],[SLA_Target_Hours]], "Yes", "No")</f>
        <v>No</v>
      </c>
    </row>
    <row r="1050" spans="1:16">
      <c r="A1050">
        <v>649</v>
      </c>
      <c r="B1050" t="s">
        <v>659</v>
      </c>
      <c r="C1050" t="s">
        <v>2632</v>
      </c>
      <c r="D1050" t="s">
        <v>3993</v>
      </c>
      <c r="E1050" s="1">
        <v>44960</v>
      </c>
      <c r="F1050" t="s">
        <v>3999</v>
      </c>
      <c r="G1050" t="s">
        <v>4015</v>
      </c>
      <c r="H1050" t="s">
        <v>4017</v>
      </c>
      <c r="I1050" t="s">
        <v>4024</v>
      </c>
      <c r="J1050" t="s">
        <v>4026</v>
      </c>
      <c r="K1050" s="2">
        <v>45168</v>
      </c>
      <c r="L1050" s="2">
        <v>45176</v>
      </c>
      <c r="N1050">
        <v>192</v>
      </c>
      <c r="O1050">
        <f>IF(Tickets[[#This Row],[Ticket Priority]]="Critical",24,
IF(Tickets[[#This Row],[Ticket Priority]]="High",48,
IF(Tickets[[#This Row],[Ticket Priority]]="Medium",120,168)))</f>
        <v>168</v>
      </c>
      <c r="P1050" t="str">
        <f>IF(Tickets[[#This Row],[Resolution Duration Hours]] &lt;= Tickets[[#This Row],[SLA_Target_Hours]], "Yes", "No")</f>
        <v>No</v>
      </c>
    </row>
    <row r="1051" spans="1:16" hidden="1">
      <c r="A1051">
        <v>1050</v>
      </c>
      <c r="B1051" t="s">
        <v>1057</v>
      </c>
      <c r="C1051" t="s">
        <v>3031</v>
      </c>
      <c r="D1051" t="s">
        <v>3984</v>
      </c>
      <c r="E1051" s="1">
        <v>44163</v>
      </c>
      <c r="F1051" t="s">
        <v>3998</v>
      </c>
      <c r="G1051" t="s">
        <v>4000</v>
      </c>
      <c r="H1051" t="s">
        <v>4018</v>
      </c>
      <c r="I1051" t="s">
        <v>4021</v>
      </c>
      <c r="J1051" t="s">
        <v>4027</v>
      </c>
      <c r="K1051" s="2">
        <v>44304</v>
      </c>
      <c r="L1051" s="2">
        <v>44305</v>
      </c>
      <c r="M1051">
        <v>5</v>
      </c>
      <c r="N1051">
        <v>24</v>
      </c>
      <c r="O1051">
        <f>IF(Tickets[[#This Row],[Ticket Priority]]="Critical",24,
IF(Tickets[[#This Row],[Ticket Priority]]="High",48,
IF(Tickets[[#This Row],[Ticket Priority]]="Medium",120,168)))</f>
        <v>48</v>
      </c>
      <c r="P1051" t="str">
        <f>IF(Tickets[[#This Row],[Resolution Duration Hours]] &lt;= Tickets[[#This Row],[SLA_Target_Hours]], "Yes", "No")</f>
        <v>Yes</v>
      </c>
    </row>
    <row r="1052" spans="1:16">
      <c r="A1052">
        <v>664</v>
      </c>
      <c r="B1052" t="s">
        <v>674</v>
      </c>
      <c r="C1052" t="s">
        <v>2647</v>
      </c>
      <c r="D1052" t="s">
        <v>3997</v>
      </c>
      <c r="E1052" s="1">
        <v>44351</v>
      </c>
      <c r="F1052" t="s">
        <v>3998</v>
      </c>
      <c r="G1052" t="s">
        <v>4003</v>
      </c>
      <c r="H1052" t="s">
        <v>4018</v>
      </c>
      <c r="I1052" t="s">
        <v>4024</v>
      </c>
      <c r="J1052" t="s">
        <v>4026</v>
      </c>
      <c r="K1052" s="2">
        <v>44566</v>
      </c>
      <c r="L1052" s="2">
        <v>44574</v>
      </c>
      <c r="M1052">
        <v>4</v>
      </c>
      <c r="N1052">
        <v>192</v>
      </c>
      <c r="O1052">
        <f>IF(Tickets[[#This Row],[Ticket Priority]]="Critical",24,
IF(Tickets[[#This Row],[Ticket Priority]]="High",48,
IF(Tickets[[#This Row],[Ticket Priority]]="Medium",120,168)))</f>
        <v>168</v>
      </c>
      <c r="P1052" t="str">
        <f>IF(Tickets[[#This Row],[Resolution Duration Hours]] &lt;= Tickets[[#This Row],[SLA_Target_Hours]], "Yes", "No")</f>
        <v>No</v>
      </c>
    </row>
    <row r="1053" spans="1:16">
      <c r="A1053">
        <v>677</v>
      </c>
      <c r="B1053" t="s">
        <v>687</v>
      </c>
      <c r="C1053" t="s">
        <v>2660</v>
      </c>
      <c r="D1053" t="s">
        <v>3980</v>
      </c>
      <c r="E1053" s="1">
        <v>43901</v>
      </c>
      <c r="F1053" t="s">
        <v>3999</v>
      </c>
      <c r="G1053" t="s">
        <v>4011</v>
      </c>
      <c r="H1053" t="s">
        <v>4018</v>
      </c>
      <c r="I1053" t="s">
        <v>4024</v>
      </c>
      <c r="J1053" t="s">
        <v>4026</v>
      </c>
      <c r="K1053" s="2">
        <v>44100</v>
      </c>
      <c r="L1053" s="2">
        <v>44108</v>
      </c>
      <c r="M1053">
        <v>4</v>
      </c>
      <c r="N1053">
        <v>192</v>
      </c>
      <c r="O1053">
        <f>IF(Tickets[[#This Row],[Ticket Priority]]="Critical",24,
IF(Tickets[[#This Row],[Ticket Priority]]="High",48,
IF(Tickets[[#This Row],[Ticket Priority]]="Medium",120,168)))</f>
        <v>168</v>
      </c>
      <c r="P1053" t="str">
        <f>IF(Tickets[[#This Row],[Resolution Duration Hours]] &lt;= Tickets[[#This Row],[SLA_Target_Hours]], "Yes", "No")</f>
        <v>No</v>
      </c>
    </row>
    <row r="1054" spans="1:16" hidden="1">
      <c r="A1054">
        <v>1053</v>
      </c>
      <c r="B1054" t="s">
        <v>1060</v>
      </c>
      <c r="C1054" t="s">
        <v>3034</v>
      </c>
      <c r="D1054" t="s">
        <v>3990</v>
      </c>
      <c r="E1054" s="1">
        <v>44811</v>
      </c>
      <c r="F1054" t="s">
        <v>4001</v>
      </c>
      <c r="G1054" t="s">
        <v>4016</v>
      </c>
      <c r="H1054" t="s">
        <v>4020</v>
      </c>
      <c r="I1054" t="s">
        <v>4023</v>
      </c>
      <c r="J1054" t="s">
        <v>4026</v>
      </c>
      <c r="K1054" s="2">
        <v>44877</v>
      </c>
      <c r="L1054" s="2">
        <v>44881</v>
      </c>
      <c r="N1054">
        <v>96</v>
      </c>
      <c r="O1054">
        <f>IF(Tickets[[#This Row],[Ticket Priority]]="Critical",24,
IF(Tickets[[#This Row],[Ticket Priority]]="High",48,
IF(Tickets[[#This Row],[Ticket Priority]]="Medium",120,168)))</f>
        <v>120</v>
      </c>
      <c r="P1054" t="str">
        <f>IF(Tickets[[#This Row],[Resolution Duration Hours]] &lt;= Tickets[[#This Row],[SLA_Target_Hours]], "Yes", "No")</f>
        <v>Yes</v>
      </c>
    </row>
    <row r="1055" spans="1:16" hidden="1">
      <c r="A1055">
        <v>1054</v>
      </c>
      <c r="B1055" t="s">
        <v>1061</v>
      </c>
      <c r="C1055" t="s">
        <v>3035</v>
      </c>
      <c r="D1055" t="s">
        <v>3982</v>
      </c>
      <c r="E1055" s="1">
        <v>44324</v>
      </c>
      <c r="F1055" t="s">
        <v>4002</v>
      </c>
      <c r="G1055" t="s">
        <v>4003</v>
      </c>
      <c r="H1055" t="s">
        <v>4020</v>
      </c>
      <c r="I1055" t="s">
        <v>4021</v>
      </c>
      <c r="J1055" t="s">
        <v>4027</v>
      </c>
      <c r="K1055" s="2">
        <v>44442</v>
      </c>
      <c r="L1055" s="2">
        <v>44444</v>
      </c>
      <c r="N1055">
        <v>48</v>
      </c>
      <c r="O1055">
        <f>IF(Tickets[[#This Row],[Ticket Priority]]="Critical",24,
IF(Tickets[[#This Row],[Ticket Priority]]="High",48,
IF(Tickets[[#This Row],[Ticket Priority]]="Medium",120,168)))</f>
        <v>48</v>
      </c>
      <c r="P1055" t="str">
        <f>IF(Tickets[[#This Row],[Resolution Duration Hours]] &lt;= Tickets[[#This Row],[SLA_Target_Hours]], "Yes", "No")</f>
        <v>Yes</v>
      </c>
    </row>
    <row r="1056" spans="1:16" hidden="1">
      <c r="A1056">
        <v>1055</v>
      </c>
      <c r="B1056" t="s">
        <v>89</v>
      </c>
      <c r="C1056" t="s">
        <v>3036</v>
      </c>
      <c r="D1056" t="s">
        <v>3982</v>
      </c>
      <c r="E1056" s="1">
        <v>44624</v>
      </c>
      <c r="F1056" t="s">
        <v>4001</v>
      </c>
      <c r="G1056" t="s">
        <v>4011</v>
      </c>
      <c r="H1056" t="s">
        <v>4018</v>
      </c>
      <c r="I1056" t="s">
        <v>4023</v>
      </c>
      <c r="J1056" t="s">
        <v>4025</v>
      </c>
      <c r="K1056" s="2">
        <v>44820</v>
      </c>
      <c r="L1056" s="2">
        <v>44823</v>
      </c>
      <c r="M1056">
        <v>4</v>
      </c>
      <c r="N1056">
        <v>72</v>
      </c>
      <c r="O1056">
        <f>IF(Tickets[[#This Row],[Ticket Priority]]="Critical",24,
IF(Tickets[[#This Row],[Ticket Priority]]="High",48,
IF(Tickets[[#This Row],[Ticket Priority]]="Medium",120,168)))</f>
        <v>120</v>
      </c>
      <c r="P1056" t="str">
        <f>IF(Tickets[[#This Row],[Resolution Duration Hours]] &lt;= Tickets[[#This Row],[SLA_Target_Hours]], "Yes", "No")</f>
        <v>Yes</v>
      </c>
    </row>
    <row r="1057" spans="1:16" hidden="1">
      <c r="A1057">
        <v>1056</v>
      </c>
      <c r="B1057" t="s">
        <v>1062</v>
      </c>
      <c r="C1057" t="s">
        <v>3037</v>
      </c>
      <c r="D1057" t="s">
        <v>3987</v>
      </c>
      <c r="E1057" s="1">
        <v>44310</v>
      </c>
      <c r="F1057" t="s">
        <v>3999</v>
      </c>
      <c r="G1057" t="s">
        <v>4011</v>
      </c>
      <c r="H1057" t="s">
        <v>4018</v>
      </c>
      <c r="I1057" t="s">
        <v>4024</v>
      </c>
      <c r="J1057" t="s">
        <v>4026</v>
      </c>
      <c r="K1057" s="2">
        <v>44399</v>
      </c>
      <c r="L1057" s="2">
        <v>44405</v>
      </c>
      <c r="M1057">
        <v>4</v>
      </c>
      <c r="N1057">
        <v>144</v>
      </c>
      <c r="O1057">
        <f>IF(Tickets[[#This Row],[Ticket Priority]]="Critical",24,
IF(Tickets[[#This Row],[Ticket Priority]]="High",48,
IF(Tickets[[#This Row],[Ticket Priority]]="Medium",120,168)))</f>
        <v>168</v>
      </c>
      <c r="P1057" t="str">
        <f>IF(Tickets[[#This Row],[Resolution Duration Hours]] &lt;= Tickets[[#This Row],[SLA_Target_Hours]], "Yes", "No")</f>
        <v>Yes</v>
      </c>
    </row>
    <row r="1058" spans="1:16">
      <c r="A1058">
        <v>686</v>
      </c>
      <c r="B1058" t="s">
        <v>696</v>
      </c>
      <c r="C1058" t="s">
        <v>2669</v>
      </c>
      <c r="D1058" t="s">
        <v>3995</v>
      </c>
      <c r="E1058" s="1">
        <v>44412</v>
      </c>
      <c r="F1058" t="s">
        <v>3999</v>
      </c>
      <c r="G1058" t="s">
        <v>4005</v>
      </c>
      <c r="H1058" t="s">
        <v>4018</v>
      </c>
      <c r="I1058" t="s">
        <v>4024</v>
      </c>
      <c r="J1058" t="s">
        <v>4026</v>
      </c>
      <c r="K1058" s="2">
        <v>44575</v>
      </c>
      <c r="L1058" s="2">
        <v>44583</v>
      </c>
      <c r="M1058">
        <v>5</v>
      </c>
      <c r="N1058">
        <v>192</v>
      </c>
      <c r="O1058">
        <f>IF(Tickets[[#This Row],[Ticket Priority]]="Critical",24,
IF(Tickets[[#This Row],[Ticket Priority]]="High",48,
IF(Tickets[[#This Row],[Ticket Priority]]="Medium",120,168)))</f>
        <v>168</v>
      </c>
      <c r="P1058" t="str">
        <f>IF(Tickets[[#This Row],[Resolution Duration Hours]] &lt;= Tickets[[#This Row],[SLA_Target_Hours]], "Yes", "No")</f>
        <v>No</v>
      </c>
    </row>
    <row r="1059" spans="1:16" hidden="1">
      <c r="A1059">
        <v>1058</v>
      </c>
      <c r="B1059" t="s">
        <v>1064</v>
      </c>
      <c r="C1059" t="s">
        <v>3039</v>
      </c>
      <c r="D1059" t="s">
        <v>3985</v>
      </c>
      <c r="E1059" s="1">
        <v>44263</v>
      </c>
      <c r="F1059" t="s">
        <v>3998</v>
      </c>
      <c r="G1059" t="s">
        <v>4011</v>
      </c>
      <c r="H1059" t="s">
        <v>4017</v>
      </c>
      <c r="I1059" t="s">
        <v>4023</v>
      </c>
      <c r="J1059" t="s">
        <v>4026</v>
      </c>
      <c r="K1059" s="2">
        <v>44265</v>
      </c>
      <c r="L1059" s="2">
        <v>44270</v>
      </c>
      <c r="N1059">
        <v>120</v>
      </c>
      <c r="O1059">
        <f>IF(Tickets[[#This Row],[Ticket Priority]]="Critical",24,
IF(Tickets[[#This Row],[Ticket Priority]]="High",48,
IF(Tickets[[#This Row],[Ticket Priority]]="Medium",120,168)))</f>
        <v>120</v>
      </c>
      <c r="P1059" t="str">
        <f>IF(Tickets[[#This Row],[Resolution Duration Hours]] &lt;= Tickets[[#This Row],[SLA_Target_Hours]], "Yes", "No")</f>
        <v>Yes</v>
      </c>
    </row>
    <row r="1060" spans="1:16">
      <c r="A1060">
        <v>701</v>
      </c>
      <c r="B1060" t="s">
        <v>711</v>
      </c>
      <c r="C1060" t="s">
        <v>2683</v>
      </c>
      <c r="D1060" t="s">
        <v>3986</v>
      </c>
      <c r="E1060" s="1">
        <v>44748</v>
      </c>
      <c r="F1060" t="s">
        <v>4001</v>
      </c>
      <c r="G1060" t="s">
        <v>4004</v>
      </c>
      <c r="H1060" t="s">
        <v>4018</v>
      </c>
      <c r="I1060" t="s">
        <v>4024</v>
      </c>
      <c r="J1060" t="s">
        <v>4026</v>
      </c>
      <c r="K1060" s="2">
        <v>44840</v>
      </c>
      <c r="L1060" s="2">
        <v>44848</v>
      </c>
      <c r="M1060">
        <v>3</v>
      </c>
      <c r="N1060">
        <v>192</v>
      </c>
      <c r="O1060">
        <f>IF(Tickets[[#This Row],[Ticket Priority]]="Critical",24,
IF(Tickets[[#This Row],[Ticket Priority]]="High",48,
IF(Tickets[[#This Row],[Ticket Priority]]="Medium",120,168)))</f>
        <v>168</v>
      </c>
      <c r="P1060" t="str">
        <f>IF(Tickets[[#This Row],[Resolution Duration Hours]] &lt;= Tickets[[#This Row],[SLA_Target_Hours]], "Yes", "No")</f>
        <v>No</v>
      </c>
    </row>
    <row r="1061" spans="1:16" hidden="1">
      <c r="A1061">
        <v>1060</v>
      </c>
      <c r="B1061" t="s">
        <v>1065</v>
      </c>
      <c r="C1061" t="s">
        <v>3041</v>
      </c>
      <c r="D1061" t="s">
        <v>3996</v>
      </c>
      <c r="E1061" s="1">
        <v>45076</v>
      </c>
      <c r="F1061" t="s">
        <v>4001</v>
      </c>
      <c r="G1061" t="s">
        <v>4009</v>
      </c>
      <c r="H1061" t="s">
        <v>4017</v>
      </c>
      <c r="I1061" t="s">
        <v>4021</v>
      </c>
      <c r="J1061" t="s">
        <v>4028</v>
      </c>
      <c r="K1061" s="2">
        <v>45112</v>
      </c>
      <c r="L1061" s="2">
        <v>45112</v>
      </c>
      <c r="N1061">
        <v>0</v>
      </c>
      <c r="O1061">
        <f>IF(Tickets[[#This Row],[Ticket Priority]]="Critical",24,
IF(Tickets[[#This Row],[Ticket Priority]]="High",48,
IF(Tickets[[#This Row],[Ticket Priority]]="Medium",120,168)))</f>
        <v>48</v>
      </c>
      <c r="P1061" t="str">
        <f>IF(Tickets[[#This Row],[Resolution Duration Hours]] &lt;= Tickets[[#This Row],[SLA_Target_Hours]], "Yes", "No")</f>
        <v>Yes</v>
      </c>
    </row>
    <row r="1062" spans="1:16" hidden="1">
      <c r="A1062">
        <v>1061</v>
      </c>
      <c r="B1062" t="s">
        <v>1066</v>
      </c>
      <c r="C1062" t="s">
        <v>3042</v>
      </c>
      <c r="D1062" t="s">
        <v>3991</v>
      </c>
      <c r="E1062" s="1">
        <v>44809</v>
      </c>
      <c r="F1062" t="s">
        <v>4002</v>
      </c>
      <c r="G1062" t="s">
        <v>4012</v>
      </c>
      <c r="H1062" t="s">
        <v>4018</v>
      </c>
      <c r="I1062" t="s">
        <v>4024</v>
      </c>
      <c r="J1062" t="s">
        <v>4026</v>
      </c>
      <c r="K1062" s="2">
        <v>44978</v>
      </c>
      <c r="L1062" s="2">
        <v>44983</v>
      </c>
      <c r="M1062">
        <v>5</v>
      </c>
      <c r="N1062">
        <v>120</v>
      </c>
      <c r="O1062">
        <f>IF(Tickets[[#This Row],[Ticket Priority]]="Critical",24,
IF(Tickets[[#This Row],[Ticket Priority]]="High",48,
IF(Tickets[[#This Row],[Ticket Priority]]="Medium",120,168)))</f>
        <v>168</v>
      </c>
      <c r="P1062" t="str">
        <f>IF(Tickets[[#This Row],[Resolution Duration Hours]] &lt;= Tickets[[#This Row],[SLA_Target_Hours]], "Yes", "No")</f>
        <v>Yes</v>
      </c>
    </row>
    <row r="1063" spans="1:16" hidden="1">
      <c r="A1063">
        <v>1062</v>
      </c>
      <c r="B1063" t="s">
        <v>1067</v>
      </c>
      <c r="C1063" t="s">
        <v>3043</v>
      </c>
      <c r="D1063" t="s">
        <v>3980</v>
      </c>
      <c r="E1063" s="1">
        <v>44026</v>
      </c>
      <c r="F1063" t="s">
        <v>4001</v>
      </c>
      <c r="G1063" t="s">
        <v>4009</v>
      </c>
      <c r="H1063" t="s">
        <v>4018</v>
      </c>
      <c r="I1063" t="s">
        <v>4024</v>
      </c>
      <c r="J1063" t="s">
        <v>4028</v>
      </c>
      <c r="K1063" s="2">
        <v>44149</v>
      </c>
      <c r="L1063" s="2">
        <v>44155</v>
      </c>
      <c r="M1063">
        <v>3</v>
      </c>
      <c r="N1063">
        <v>144</v>
      </c>
      <c r="O1063">
        <f>IF(Tickets[[#This Row],[Ticket Priority]]="Critical",24,
IF(Tickets[[#This Row],[Ticket Priority]]="High",48,
IF(Tickets[[#This Row],[Ticket Priority]]="Medium",120,168)))</f>
        <v>168</v>
      </c>
      <c r="P1063" t="str">
        <f>IF(Tickets[[#This Row],[Resolution Duration Hours]] &lt;= Tickets[[#This Row],[SLA_Target_Hours]], "Yes", "No")</f>
        <v>Yes</v>
      </c>
    </row>
    <row r="1064" spans="1:16" hidden="1">
      <c r="A1064">
        <v>1063</v>
      </c>
      <c r="B1064" t="s">
        <v>1068</v>
      </c>
      <c r="C1064" t="s">
        <v>3044</v>
      </c>
      <c r="D1064" t="s">
        <v>3990</v>
      </c>
      <c r="E1064" s="1">
        <v>44556</v>
      </c>
      <c r="F1064" t="s">
        <v>3998</v>
      </c>
      <c r="G1064" t="s">
        <v>4016</v>
      </c>
      <c r="H1064" t="s">
        <v>4020</v>
      </c>
      <c r="I1064" t="s">
        <v>4023</v>
      </c>
      <c r="J1064" t="s">
        <v>4026</v>
      </c>
      <c r="K1064" s="2">
        <v>44890</v>
      </c>
      <c r="L1064" s="2">
        <v>44893</v>
      </c>
      <c r="N1064">
        <v>72</v>
      </c>
      <c r="O1064">
        <f>IF(Tickets[[#This Row],[Ticket Priority]]="Critical",24,
IF(Tickets[[#This Row],[Ticket Priority]]="High",48,
IF(Tickets[[#This Row],[Ticket Priority]]="Medium",120,168)))</f>
        <v>120</v>
      </c>
      <c r="P1064" t="str">
        <f>IF(Tickets[[#This Row],[Resolution Duration Hours]] &lt;= Tickets[[#This Row],[SLA_Target_Hours]], "Yes", "No")</f>
        <v>Yes</v>
      </c>
    </row>
    <row r="1065" spans="1:16" hidden="1">
      <c r="A1065">
        <v>1064</v>
      </c>
      <c r="B1065" t="s">
        <v>1069</v>
      </c>
      <c r="C1065" t="s">
        <v>3045</v>
      </c>
      <c r="D1065" t="s">
        <v>3983</v>
      </c>
      <c r="E1065" s="1">
        <v>44527</v>
      </c>
      <c r="F1065" t="s">
        <v>4001</v>
      </c>
      <c r="G1065" t="s">
        <v>4007</v>
      </c>
      <c r="H1065" t="s">
        <v>4018</v>
      </c>
      <c r="I1065" t="s">
        <v>4022</v>
      </c>
      <c r="J1065" t="s">
        <v>4028</v>
      </c>
      <c r="K1065" s="2">
        <v>44866</v>
      </c>
      <c r="L1065" s="2">
        <v>44867</v>
      </c>
      <c r="N1065">
        <v>24</v>
      </c>
      <c r="O1065">
        <f>IF(Tickets[[#This Row],[Ticket Priority]]="Critical",24,
IF(Tickets[[#This Row],[Ticket Priority]]="High",48,
IF(Tickets[[#This Row],[Ticket Priority]]="Medium",120,168)))</f>
        <v>24</v>
      </c>
      <c r="P1065" t="str">
        <f>IF(Tickets[[#This Row],[Resolution Duration Hours]] &lt;= Tickets[[#This Row],[SLA_Target_Hours]], "Yes", "No")</f>
        <v>Yes</v>
      </c>
    </row>
    <row r="1066" spans="1:16">
      <c r="A1066">
        <v>716</v>
      </c>
      <c r="B1066" t="s">
        <v>725</v>
      </c>
      <c r="C1066" t="s">
        <v>2698</v>
      </c>
      <c r="D1066" t="s">
        <v>3981</v>
      </c>
      <c r="E1066" s="1">
        <v>44610</v>
      </c>
      <c r="F1066" t="s">
        <v>4001</v>
      </c>
      <c r="G1066" t="s">
        <v>4016</v>
      </c>
      <c r="H1066" t="s">
        <v>4018</v>
      </c>
      <c r="I1066" t="s">
        <v>4024</v>
      </c>
      <c r="J1066" t="s">
        <v>4026</v>
      </c>
      <c r="K1066" s="2">
        <v>44963</v>
      </c>
      <c r="L1066" s="2">
        <v>44971</v>
      </c>
      <c r="M1066">
        <v>5</v>
      </c>
      <c r="N1066">
        <v>192</v>
      </c>
      <c r="O1066">
        <f>IF(Tickets[[#This Row],[Ticket Priority]]="Critical",24,
IF(Tickets[[#This Row],[Ticket Priority]]="High",48,
IF(Tickets[[#This Row],[Ticket Priority]]="Medium",120,168)))</f>
        <v>168</v>
      </c>
      <c r="P1066" t="str">
        <f>IF(Tickets[[#This Row],[Resolution Duration Hours]] &lt;= Tickets[[#This Row],[SLA_Target_Hours]], "Yes", "No")</f>
        <v>No</v>
      </c>
    </row>
    <row r="1067" spans="1:16" hidden="1">
      <c r="A1067">
        <v>1066</v>
      </c>
      <c r="B1067" t="s">
        <v>1071</v>
      </c>
      <c r="C1067" t="s">
        <v>3047</v>
      </c>
      <c r="D1067" t="s">
        <v>3993</v>
      </c>
      <c r="E1067" s="1">
        <v>43861</v>
      </c>
      <c r="F1067" t="s">
        <v>4001</v>
      </c>
      <c r="G1067" t="s">
        <v>4008</v>
      </c>
      <c r="H1067" t="s">
        <v>4018</v>
      </c>
      <c r="I1067" t="s">
        <v>4023</v>
      </c>
      <c r="J1067" t="s">
        <v>4027</v>
      </c>
      <c r="K1067" s="2">
        <v>44193</v>
      </c>
      <c r="L1067" s="2">
        <v>44196</v>
      </c>
      <c r="M1067">
        <v>4</v>
      </c>
      <c r="N1067">
        <v>72</v>
      </c>
      <c r="O1067">
        <f>IF(Tickets[[#This Row],[Ticket Priority]]="Critical",24,
IF(Tickets[[#This Row],[Ticket Priority]]="High",48,
IF(Tickets[[#This Row],[Ticket Priority]]="Medium",120,168)))</f>
        <v>120</v>
      </c>
      <c r="P1067" t="str">
        <f>IF(Tickets[[#This Row],[Resolution Duration Hours]] &lt;= Tickets[[#This Row],[SLA_Target_Hours]], "Yes", "No")</f>
        <v>Yes</v>
      </c>
    </row>
    <row r="1068" spans="1:16" hidden="1">
      <c r="A1068">
        <v>1067</v>
      </c>
      <c r="B1068" t="s">
        <v>1072</v>
      </c>
      <c r="C1068" t="s">
        <v>3048</v>
      </c>
      <c r="D1068" t="s">
        <v>3989</v>
      </c>
      <c r="E1068" s="1">
        <v>44103</v>
      </c>
      <c r="F1068" t="s">
        <v>4000</v>
      </c>
      <c r="G1068" t="s">
        <v>4008</v>
      </c>
      <c r="H1068" t="s">
        <v>4017</v>
      </c>
      <c r="I1068" t="s">
        <v>4023</v>
      </c>
      <c r="J1068" t="s">
        <v>4028</v>
      </c>
      <c r="K1068" s="2">
        <v>44376</v>
      </c>
      <c r="L1068" s="2">
        <v>44378</v>
      </c>
      <c r="N1068">
        <v>48</v>
      </c>
      <c r="O1068">
        <f>IF(Tickets[[#This Row],[Ticket Priority]]="Critical",24,
IF(Tickets[[#This Row],[Ticket Priority]]="High",48,
IF(Tickets[[#This Row],[Ticket Priority]]="Medium",120,168)))</f>
        <v>120</v>
      </c>
      <c r="P1068" t="str">
        <f>IF(Tickets[[#This Row],[Resolution Duration Hours]] &lt;= Tickets[[#This Row],[SLA_Target_Hours]], "Yes", "No")</f>
        <v>Yes</v>
      </c>
    </row>
    <row r="1069" spans="1:16">
      <c r="A1069">
        <v>739</v>
      </c>
      <c r="B1069" t="s">
        <v>748</v>
      </c>
      <c r="C1069" t="s">
        <v>2721</v>
      </c>
      <c r="D1069" t="s">
        <v>3991</v>
      </c>
      <c r="E1069" s="1">
        <v>44779</v>
      </c>
      <c r="F1069" t="s">
        <v>3998</v>
      </c>
      <c r="G1069" t="s">
        <v>4012</v>
      </c>
      <c r="H1069" t="s">
        <v>4017</v>
      </c>
      <c r="I1069" t="s">
        <v>4024</v>
      </c>
      <c r="J1069" t="s">
        <v>4025</v>
      </c>
      <c r="K1069" s="2">
        <v>44938</v>
      </c>
      <c r="L1069" s="2">
        <v>44946</v>
      </c>
      <c r="N1069">
        <v>192</v>
      </c>
      <c r="O1069">
        <f>IF(Tickets[[#This Row],[Ticket Priority]]="Critical",24,
IF(Tickets[[#This Row],[Ticket Priority]]="High",48,
IF(Tickets[[#This Row],[Ticket Priority]]="Medium",120,168)))</f>
        <v>168</v>
      </c>
      <c r="P1069" t="str">
        <f>IF(Tickets[[#This Row],[Resolution Duration Hours]] &lt;= Tickets[[#This Row],[SLA_Target_Hours]], "Yes", "No")</f>
        <v>No</v>
      </c>
    </row>
    <row r="1070" spans="1:16" hidden="1">
      <c r="A1070">
        <v>1069</v>
      </c>
      <c r="B1070" t="s">
        <v>1074</v>
      </c>
      <c r="C1070" t="s">
        <v>3050</v>
      </c>
      <c r="D1070" t="s">
        <v>3981</v>
      </c>
      <c r="E1070" s="1">
        <v>44957</v>
      </c>
      <c r="F1070" t="s">
        <v>3998</v>
      </c>
      <c r="G1070" t="s">
        <v>4009</v>
      </c>
      <c r="H1070" t="s">
        <v>4018</v>
      </c>
      <c r="I1070" t="s">
        <v>4023</v>
      </c>
      <c r="J1070" t="s">
        <v>4026</v>
      </c>
      <c r="K1070" s="2">
        <v>45137</v>
      </c>
      <c r="L1070" s="2">
        <v>45140</v>
      </c>
      <c r="M1070">
        <v>5</v>
      </c>
      <c r="N1070">
        <v>72</v>
      </c>
      <c r="O1070">
        <f>IF(Tickets[[#This Row],[Ticket Priority]]="Critical",24,
IF(Tickets[[#This Row],[Ticket Priority]]="High",48,
IF(Tickets[[#This Row],[Ticket Priority]]="Medium",120,168)))</f>
        <v>120</v>
      </c>
      <c r="P1070" t="str">
        <f>IF(Tickets[[#This Row],[Resolution Duration Hours]] &lt;= Tickets[[#This Row],[SLA_Target_Hours]], "Yes", "No")</f>
        <v>Yes</v>
      </c>
    </row>
    <row r="1071" spans="1:16">
      <c r="A1071">
        <v>740</v>
      </c>
      <c r="B1071" t="s">
        <v>749</v>
      </c>
      <c r="C1071" t="s">
        <v>2722</v>
      </c>
      <c r="D1071" t="s">
        <v>3993</v>
      </c>
      <c r="E1071" s="1">
        <v>44516</v>
      </c>
      <c r="F1071" t="s">
        <v>3998</v>
      </c>
      <c r="G1071" t="s">
        <v>4007</v>
      </c>
      <c r="H1071" t="s">
        <v>4017</v>
      </c>
      <c r="I1071" t="s">
        <v>4024</v>
      </c>
      <c r="J1071" t="s">
        <v>4026</v>
      </c>
      <c r="K1071" s="2">
        <v>44671</v>
      </c>
      <c r="L1071" s="2">
        <v>44679</v>
      </c>
      <c r="N1071">
        <v>192</v>
      </c>
      <c r="O1071">
        <f>IF(Tickets[[#This Row],[Ticket Priority]]="Critical",24,
IF(Tickets[[#This Row],[Ticket Priority]]="High",48,
IF(Tickets[[#This Row],[Ticket Priority]]="Medium",120,168)))</f>
        <v>168</v>
      </c>
      <c r="P1071" t="str">
        <f>IF(Tickets[[#This Row],[Resolution Duration Hours]] &lt;= Tickets[[#This Row],[SLA_Target_Hours]], "Yes", "No")</f>
        <v>No</v>
      </c>
    </row>
    <row r="1072" spans="1:16">
      <c r="A1072">
        <v>759</v>
      </c>
      <c r="B1072" t="s">
        <v>768</v>
      </c>
      <c r="C1072" t="s">
        <v>2741</v>
      </c>
      <c r="D1072" t="s">
        <v>3980</v>
      </c>
      <c r="E1072" s="1">
        <v>44824</v>
      </c>
      <c r="F1072" t="s">
        <v>4000</v>
      </c>
      <c r="G1072" t="s">
        <v>4004</v>
      </c>
      <c r="H1072" t="s">
        <v>4017</v>
      </c>
      <c r="I1072" t="s">
        <v>4024</v>
      </c>
      <c r="J1072" t="s">
        <v>4026</v>
      </c>
      <c r="K1072" s="2">
        <v>44945</v>
      </c>
      <c r="L1072" s="2">
        <v>44953</v>
      </c>
      <c r="N1072">
        <v>192</v>
      </c>
      <c r="O1072">
        <f>IF(Tickets[[#This Row],[Ticket Priority]]="Critical",24,
IF(Tickets[[#This Row],[Ticket Priority]]="High",48,
IF(Tickets[[#This Row],[Ticket Priority]]="Medium",120,168)))</f>
        <v>168</v>
      </c>
      <c r="P1072" t="str">
        <f>IF(Tickets[[#This Row],[Resolution Duration Hours]] &lt;= Tickets[[#This Row],[SLA_Target_Hours]], "Yes", "No")</f>
        <v>No</v>
      </c>
    </row>
    <row r="1073" spans="1:16" hidden="1">
      <c r="A1073">
        <v>1072</v>
      </c>
      <c r="B1073" t="s">
        <v>1077</v>
      </c>
      <c r="C1073" t="s">
        <v>3053</v>
      </c>
      <c r="D1073" t="s">
        <v>3981</v>
      </c>
      <c r="E1073" s="1">
        <v>43920</v>
      </c>
      <c r="F1073" t="s">
        <v>3999</v>
      </c>
      <c r="G1073" t="s">
        <v>4007</v>
      </c>
      <c r="H1073" t="s">
        <v>4020</v>
      </c>
      <c r="I1073" t="s">
        <v>4023</v>
      </c>
      <c r="J1073" t="s">
        <v>4026</v>
      </c>
      <c r="K1073" s="2">
        <v>44032</v>
      </c>
      <c r="L1073" s="2">
        <v>44035</v>
      </c>
      <c r="N1073">
        <v>72</v>
      </c>
      <c r="O1073">
        <f>IF(Tickets[[#This Row],[Ticket Priority]]="Critical",24,
IF(Tickets[[#This Row],[Ticket Priority]]="High",48,
IF(Tickets[[#This Row],[Ticket Priority]]="Medium",120,168)))</f>
        <v>120</v>
      </c>
      <c r="P1073" t="str">
        <f>IF(Tickets[[#This Row],[Resolution Duration Hours]] &lt;= Tickets[[#This Row],[SLA_Target_Hours]], "Yes", "No")</f>
        <v>Yes</v>
      </c>
    </row>
    <row r="1074" spans="1:16" hidden="1">
      <c r="A1074">
        <v>1073</v>
      </c>
      <c r="B1074" t="s">
        <v>1078</v>
      </c>
      <c r="C1074" t="s">
        <v>3054</v>
      </c>
      <c r="D1074" t="s">
        <v>3991</v>
      </c>
      <c r="E1074" s="1">
        <v>44811</v>
      </c>
      <c r="F1074" t="s">
        <v>4002</v>
      </c>
      <c r="G1074" t="s">
        <v>4016</v>
      </c>
      <c r="H1074" t="s">
        <v>4018</v>
      </c>
      <c r="I1074" t="s">
        <v>4023</v>
      </c>
      <c r="J1074" t="s">
        <v>4026</v>
      </c>
      <c r="K1074" s="2">
        <v>45068</v>
      </c>
      <c r="L1074" s="2">
        <v>45072</v>
      </c>
      <c r="N1074">
        <v>96</v>
      </c>
      <c r="O1074">
        <f>IF(Tickets[[#This Row],[Ticket Priority]]="Critical",24,
IF(Tickets[[#This Row],[Ticket Priority]]="High",48,
IF(Tickets[[#This Row],[Ticket Priority]]="Medium",120,168)))</f>
        <v>120</v>
      </c>
      <c r="P1074" t="str">
        <f>IF(Tickets[[#This Row],[Resolution Duration Hours]] &lt;= Tickets[[#This Row],[SLA_Target_Hours]], "Yes", "No")</f>
        <v>Yes</v>
      </c>
    </row>
    <row r="1075" spans="1:16" hidden="1">
      <c r="A1075">
        <v>1074</v>
      </c>
      <c r="B1075" t="s">
        <v>1079</v>
      </c>
      <c r="C1075" t="s">
        <v>3055</v>
      </c>
      <c r="D1075" t="s">
        <v>3993</v>
      </c>
      <c r="E1075" s="1">
        <v>44059</v>
      </c>
      <c r="F1075" t="s">
        <v>4000</v>
      </c>
      <c r="G1075" t="s">
        <v>4013</v>
      </c>
      <c r="H1075" t="s">
        <v>4018</v>
      </c>
      <c r="I1075" t="s">
        <v>4021</v>
      </c>
      <c r="J1075" t="s">
        <v>4027</v>
      </c>
      <c r="K1075" s="2">
        <v>44215</v>
      </c>
      <c r="L1075" s="2">
        <v>44216</v>
      </c>
      <c r="M1075">
        <v>3</v>
      </c>
      <c r="N1075">
        <v>24</v>
      </c>
      <c r="O1075">
        <f>IF(Tickets[[#This Row],[Ticket Priority]]="Critical",24,
IF(Tickets[[#This Row],[Ticket Priority]]="High",48,
IF(Tickets[[#This Row],[Ticket Priority]]="Medium",120,168)))</f>
        <v>48</v>
      </c>
      <c r="P1075" t="str">
        <f>IF(Tickets[[#This Row],[Resolution Duration Hours]] &lt;= Tickets[[#This Row],[SLA_Target_Hours]], "Yes", "No")</f>
        <v>Yes</v>
      </c>
    </row>
    <row r="1076" spans="1:16" hidden="1">
      <c r="A1076">
        <v>1075</v>
      </c>
      <c r="B1076" t="s">
        <v>1080</v>
      </c>
      <c r="C1076" t="s">
        <v>3056</v>
      </c>
      <c r="D1076" t="s">
        <v>3979</v>
      </c>
      <c r="E1076" s="1">
        <v>44936</v>
      </c>
      <c r="F1076" t="s">
        <v>3999</v>
      </c>
      <c r="G1076" t="s">
        <v>4016</v>
      </c>
      <c r="H1076" t="s">
        <v>4020</v>
      </c>
      <c r="I1076" t="s">
        <v>4022</v>
      </c>
      <c r="J1076" t="s">
        <v>4026</v>
      </c>
      <c r="K1076" s="2">
        <v>44946</v>
      </c>
      <c r="L1076" s="2">
        <v>44947</v>
      </c>
      <c r="N1076">
        <v>24</v>
      </c>
      <c r="O1076">
        <f>IF(Tickets[[#This Row],[Ticket Priority]]="Critical",24,
IF(Tickets[[#This Row],[Ticket Priority]]="High",48,
IF(Tickets[[#This Row],[Ticket Priority]]="Medium",120,168)))</f>
        <v>24</v>
      </c>
      <c r="P1076" t="str">
        <f>IF(Tickets[[#This Row],[Resolution Duration Hours]] &lt;= Tickets[[#This Row],[SLA_Target_Hours]], "Yes", "No")</f>
        <v>Yes</v>
      </c>
    </row>
    <row r="1077" spans="1:16" hidden="1">
      <c r="A1077">
        <v>1076</v>
      </c>
      <c r="B1077" t="s">
        <v>1081</v>
      </c>
      <c r="C1077" t="s">
        <v>3057</v>
      </c>
      <c r="D1077" t="s">
        <v>3996</v>
      </c>
      <c r="E1077" s="1">
        <v>44088</v>
      </c>
      <c r="F1077" t="s">
        <v>3998</v>
      </c>
      <c r="G1077" t="s">
        <v>4010</v>
      </c>
      <c r="H1077" t="s">
        <v>4018</v>
      </c>
      <c r="I1077" t="s">
        <v>4023</v>
      </c>
      <c r="J1077" t="s">
        <v>4028</v>
      </c>
      <c r="K1077" s="2">
        <v>44341</v>
      </c>
      <c r="L1077" s="2">
        <v>44343</v>
      </c>
      <c r="M1077">
        <v>5</v>
      </c>
      <c r="N1077">
        <v>48</v>
      </c>
      <c r="O1077">
        <f>IF(Tickets[[#This Row],[Ticket Priority]]="Critical",24,
IF(Tickets[[#This Row],[Ticket Priority]]="High",48,
IF(Tickets[[#This Row],[Ticket Priority]]="Medium",120,168)))</f>
        <v>120</v>
      </c>
      <c r="P1077" t="str">
        <f>IF(Tickets[[#This Row],[Resolution Duration Hours]] &lt;= Tickets[[#This Row],[SLA_Target_Hours]], "Yes", "No")</f>
        <v>Yes</v>
      </c>
    </row>
    <row r="1078" spans="1:16" hidden="1">
      <c r="A1078">
        <v>1077</v>
      </c>
      <c r="B1078" t="s">
        <v>1082</v>
      </c>
      <c r="C1078" t="s">
        <v>3058</v>
      </c>
      <c r="D1078" t="s">
        <v>3994</v>
      </c>
      <c r="E1078" s="1">
        <v>44999</v>
      </c>
      <c r="F1078" t="s">
        <v>3999</v>
      </c>
      <c r="G1078" t="s">
        <v>4008</v>
      </c>
      <c r="H1078" t="s">
        <v>4018</v>
      </c>
      <c r="I1078" t="s">
        <v>4024</v>
      </c>
      <c r="J1078" t="s">
        <v>4025</v>
      </c>
      <c r="K1078" s="2">
        <v>45276</v>
      </c>
      <c r="L1078" s="2">
        <v>45281</v>
      </c>
      <c r="M1078">
        <v>4</v>
      </c>
      <c r="N1078">
        <v>120</v>
      </c>
      <c r="O1078">
        <f>IF(Tickets[[#This Row],[Ticket Priority]]="Critical",24,
IF(Tickets[[#This Row],[Ticket Priority]]="High",48,
IF(Tickets[[#This Row],[Ticket Priority]]="Medium",120,168)))</f>
        <v>168</v>
      </c>
      <c r="P1078" t="str">
        <f>IF(Tickets[[#This Row],[Resolution Duration Hours]] &lt;= Tickets[[#This Row],[SLA_Target_Hours]], "Yes", "No")</f>
        <v>Yes</v>
      </c>
    </row>
    <row r="1079" spans="1:16" hidden="1">
      <c r="A1079">
        <v>1078</v>
      </c>
      <c r="B1079" t="s">
        <v>1083</v>
      </c>
      <c r="C1079" t="s">
        <v>3059</v>
      </c>
      <c r="D1079" t="s">
        <v>3989</v>
      </c>
      <c r="E1079" s="1">
        <v>44449</v>
      </c>
      <c r="F1079" t="s">
        <v>4001</v>
      </c>
      <c r="G1079" t="s">
        <v>4008</v>
      </c>
      <c r="H1079" t="s">
        <v>4018</v>
      </c>
      <c r="I1079" t="s">
        <v>4024</v>
      </c>
      <c r="J1079" t="s">
        <v>4025</v>
      </c>
      <c r="K1079" s="2">
        <v>44463</v>
      </c>
      <c r="L1079" s="2">
        <v>44470</v>
      </c>
      <c r="M1079">
        <v>4</v>
      </c>
      <c r="N1079">
        <v>168</v>
      </c>
      <c r="O1079">
        <f>IF(Tickets[[#This Row],[Ticket Priority]]="Critical",24,
IF(Tickets[[#This Row],[Ticket Priority]]="High",48,
IF(Tickets[[#This Row],[Ticket Priority]]="Medium",120,168)))</f>
        <v>168</v>
      </c>
      <c r="P1079" t="str">
        <f>IF(Tickets[[#This Row],[Resolution Duration Hours]] &lt;= Tickets[[#This Row],[SLA_Target_Hours]], "Yes", "No")</f>
        <v>Yes</v>
      </c>
    </row>
    <row r="1080" spans="1:16">
      <c r="A1080">
        <v>783</v>
      </c>
      <c r="B1080" t="s">
        <v>792</v>
      </c>
      <c r="C1080" t="s">
        <v>2765</v>
      </c>
      <c r="D1080" t="s">
        <v>3989</v>
      </c>
      <c r="E1080" s="1">
        <v>44609</v>
      </c>
      <c r="F1080" t="s">
        <v>3998</v>
      </c>
      <c r="G1080" t="s">
        <v>4012</v>
      </c>
      <c r="H1080" t="s">
        <v>4018</v>
      </c>
      <c r="I1080" t="s">
        <v>4023</v>
      </c>
      <c r="J1080" t="s">
        <v>4028</v>
      </c>
      <c r="K1080" s="2">
        <v>44664</v>
      </c>
      <c r="L1080" s="2">
        <v>44672</v>
      </c>
      <c r="M1080">
        <v>3</v>
      </c>
      <c r="N1080">
        <v>192</v>
      </c>
      <c r="O1080">
        <f>IF(Tickets[[#This Row],[Ticket Priority]]="Critical",24,
IF(Tickets[[#This Row],[Ticket Priority]]="High",48,
IF(Tickets[[#This Row],[Ticket Priority]]="Medium",120,168)))</f>
        <v>120</v>
      </c>
      <c r="P1080" t="str">
        <f>IF(Tickets[[#This Row],[Resolution Duration Hours]] &lt;= Tickets[[#This Row],[SLA_Target_Hours]], "Yes", "No")</f>
        <v>No</v>
      </c>
    </row>
    <row r="1081" spans="1:16" hidden="1">
      <c r="A1081">
        <v>1080</v>
      </c>
      <c r="B1081" t="s">
        <v>1085</v>
      </c>
      <c r="C1081" t="s">
        <v>3061</v>
      </c>
      <c r="D1081" t="s">
        <v>3984</v>
      </c>
      <c r="E1081" s="1">
        <v>44138</v>
      </c>
      <c r="F1081" t="s">
        <v>3998</v>
      </c>
      <c r="G1081" t="s">
        <v>4012</v>
      </c>
      <c r="H1081" t="s">
        <v>4018</v>
      </c>
      <c r="I1081" t="s">
        <v>4022</v>
      </c>
      <c r="J1081" t="s">
        <v>4026</v>
      </c>
      <c r="K1081" s="2">
        <v>44259</v>
      </c>
      <c r="L1081" s="2">
        <v>44259</v>
      </c>
      <c r="M1081">
        <v>5</v>
      </c>
      <c r="N1081">
        <v>0</v>
      </c>
      <c r="O1081">
        <f>IF(Tickets[[#This Row],[Ticket Priority]]="Critical",24,
IF(Tickets[[#This Row],[Ticket Priority]]="High",48,
IF(Tickets[[#This Row],[Ticket Priority]]="Medium",120,168)))</f>
        <v>24</v>
      </c>
      <c r="P1081" t="str">
        <f>IF(Tickets[[#This Row],[Resolution Duration Hours]] &lt;= Tickets[[#This Row],[SLA_Target_Hours]], "Yes", "No")</f>
        <v>Yes</v>
      </c>
    </row>
    <row r="1082" spans="1:16" hidden="1">
      <c r="A1082">
        <v>1081</v>
      </c>
      <c r="B1082" t="s">
        <v>1086</v>
      </c>
      <c r="C1082" t="s">
        <v>3062</v>
      </c>
      <c r="D1082" t="s">
        <v>3996</v>
      </c>
      <c r="E1082" s="1">
        <v>45010</v>
      </c>
      <c r="F1082" t="s">
        <v>4001</v>
      </c>
      <c r="G1082" t="s">
        <v>4012</v>
      </c>
      <c r="H1082" t="s">
        <v>4020</v>
      </c>
      <c r="I1082" t="s">
        <v>4023</v>
      </c>
      <c r="J1082" t="s">
        <v>4028</v>
      </c>
      <c r="K1082" s="2">
        <v>45029</v>
      </c>
      <c r="L1082" s="2">
        <v>45030</v>
      </c>
      <c r="N1082">
        <v>24</v>
      </c>
      <c r="O1082">
        <f>IF(Tickets[[#This Row],[Ticket Priority]]="Critical",24,
IF(Tickets[[#This Row],[Ticket Priority]]="High",48,
IF(Tickets[[#This Row],[Ticket Priority]]="Medium",120,168)))</f>
        <v>120</v>
      </c>
      <c r="P1082" t="str">
        <f>IF(Tickets[[#This Row],[Resolution Duration Hours]] &lt;= Tickets[[#This Row],[SLA_Target_Hours]], "Yes", "No")</f>
        <v>Yes</v>
      </c>
    </row>
    <row r="1083" spans="1:16" hidden="1">
      <c r="A1083">
        <v>1082</v>
      </c>
      <c r="B1083" t="s">
        <v>1087</v>
      </c>
      <c r="C1083" t="s">
        <v>3063</v>
      </c>
      <c r="D1083" t="s">
        <v>3980</v>
      </c>
      <c r="E1083" s="1">
        <v>44819</v>
      </c>
      <c r="F1083" t="s">
        <v>3999</v>
      </c>
      <c r="G1083" t="s">
        <v>4011</v>
      </c>
      <c r="H1083" t="s">
        <v>4018</v>
      </c>
      <c r="I1083" t="s">
        <v>4023</v>
      </c>
      <c r="J1083" t="s">
        <v>4028</v>
      </c>
      <c r="K1083" s="2">
        <v>45157</v>
      </c>
      <c r="L1083" s="2">
        <v>45161</v>
      </c>
      <c r="M1083">
        <v>5</v>
      </c>
      <c r="N1083">
        <v>96</v>
      </c>
      <c r="O1083">
        <f>IF(Tickets[[#This Row],[Ticket Priority]]="Critical",24,
IF(Tickets[[#This Row],[Ticket Priority]]="High",48,
IF(Tickets[[#This Row],[Ticket Priority]]="Medium",120,168)))</f>
        <v>120</v>
      </c>
      <c r="P1083" t="str">
        <f>IF(Tickets[[#This Row],[Resolution Duration Hours]] &lt;= Tickets[[#This Row],[SLA_Target_Hours]], "Yes", "No")</f>
        <v>Yes</v>
      </c>
    </row>
    <row r="1084" spans="1:16" hidden="1">
      <c r="A1084">
        <v>1083</v>
      </c>
      <c r="B1084" t="s">
        <v>1088</v>
      </c>
      <c r="C1084" t="s">
        <v>3064</v>
      </c>
      <c r="D1084" t="s">
        <v>3991</v>
      </c>
      <c r="E1084" s="1">
        <v>44573</v>
      </c>
      <c r="F1084" t="s">
        <v>4000</v>
      </c>
      <c r="G1084" t="s">
        <v>4014</v>
      </c>
      <c r="H1084" t="s">
        <v>4018</v>
      </c>
      <c r="I1084" t="s">
        <v>4023</v>
      </c>
      <c r="J1084" t="s">
        <v>4027</v>
      </c>
      <c r="K1084" s="2">
        <v>44684</v>
      </c>
      <c r="L1084" s="2">
        <v>44686</v>
      </c>
      <c r="M1084">
        <v>3</v>
      </c>
      <c r="N1084">
        <v>48</v>
      </c>
      <c r="O1084">
        <f>IF(Tickets[[#This Row],[Ticket Priority]]="Critical",24,
IF(Tickets[[#This Row],[Ticket Priority]]="High",48,
IF(Tickets[[#This Row],[Ticket Priority]]="Medium",120,168)))</f>
        <v>120</v>
      </c>
      <c r="P1084" t="str">
        <f>IF(Tickets[[#This Row],[Resolution Duration Hours]] &lt;= Tickets[[#This Row],[SLA_Target_Hours]], "Yes", "No")</f>
        <v>Yes</v>
      </c>
    </row>
    <row r="1085" spans="1:16" hidden="1">
      <c r="A1085">
        <v>1084</v>
      </c>
      <c r="B1085" t="s">
        <v>1089</v>
      </c>
      <c r="C1085" t="s">
        <v>3065</v>
      </c>
      <c r="D1085" t="s">
        <v>3990</v>
      </c>
      <c r="E1085" s="1">
        <v>43981</v>
      </c>
      <c r="F1085" t="s">
        <v>4001</v>
      </c>
      <c r="G1085" t="s">
        <v>4005</v>
      </c>
      <c r="H1085" t="s">
        <v>4017</v>
      </c>
      <c r="I1085" t="s">
        <v>4021</v>
      </c>
      <c r="J1085" t="s">
        <v>4028</v>
      </c>
      <c r="K1085" s="2">
        <v>44113</v>
      </c>
      <c r="L1085" s="2">
        <v>44115</v>
      </c>
      <c r="N1085">
        <v>48</v>
      </c>
      <c r="O1085">
        <f>IF(Tickets[[#This Row],[Ticket Priority]]="Critical",24,
IF(Tickets[[#This Row],[Ticket Priority]]="High",48,
IF(Tickets[[#This Row],[Ticket Priority]]="Medium",120,168)))</f>
        <v>48</v>
      </c>
      <c r="P1085" t="str">
        <f>IF(Tickets[[#This Row],[Resolution Duration Hours]] &lt;= Tickets[[#This Row],[SLA_Target_Hours]], "Yes", "No")</f>
        <v>Yes</v>
      </c>
    </row>
    <row r="1086" spans="1:16" hidden="1">
      <c r="A1086">
        <v>1085</v>
      </c>
      <c r="B1086" t="s">
        <v>1090</v>
      </c>
      <c r="C1086" t="s">
        <v>3066</v>
      </c>
      <c r="D1086" t="s">
        <v>3979</v>
      </c>
      <c r="E1086" s="1">
        <v>44498</v>
      </c>
      <c r="F1086" t="s">
        <v>4001</v>
      </c>
      <c r="G1086" t="s">
        <v>4015</v>
      </c>
      <c r="H1086" t="s">
        <v>4017</v>
      </c>
      <c r="I1086" t="s">
        <v>4024</v>
      </c>
      <c r="J1086" t="s">
        <v>4025</v>
      </c>
      <c r="K1086" s="2">
        <v>44833</v>
      </c>
      <c r="L1086" s="2">
        <v>44840</v>
      </c>
      <c r="N1086">
        <v>168</v>
      </c>
      <c r="O1086">
        <f>IF(Tickets[[#This Row],[Ticket Priority]]="Critical",24,
IF(Tickets[[#This Row],[Ticket Priority]]="High",48,
IF(Tickets[[#This Row],[Ticket Priority]]="Medium",120,168)))</f>
        <v>168</v>
      </c>
      <c r="P1086" t="str">
        <f>IF(Tickets[[#This Row],[Resolution Duration Hours]] &lt;= Tickets[[#This Row],[SLA_Target_Hours]], "Yes", "No")</f>
        <v>Yes</v>
      </c>
    </row>
    <row r="1087" spans="1:16" hidden="1">
      <c r="A1087">
        <v>1086</v>
      </c>
      <c r="B1087" t="s">
        <v>1091</v>
      </c>
      <c r="C1087" t="s">
        <v>3067</v>
      </c>
      <c r="D1087" t="s">
        <v>3990</v>
      </c>
      <c r="E1087" s="1">
        <v>44779</v>
      </c>
      <c r="F1087" t="s">
        <v>4001</v>
      </c>
      <c r="G1087" t="s">
        <v>4003</v>
      </c>
      <c r="H1087" t="s">
        <v>4017</v>
      </c>
      <c r="I1087" t="s">
        <v>4024</v>
      </c>
      <c r="J1087" t="s">
        <v>4026</v>
      </c>
      <c r="K1087" s="2">
        <v>44910</v>
      </c>
      <c r="L1087" s="2">
        <v>44917</v>
      </c>
      <c r="N1087">
        <v>168</v>
      </c>
      <c r="O1087">
        <f>IF(Tickets[[#This Row],[Ticket Priority]]="Critical",24,
IF(Tickets[[#This Row],[Ticket Priority]]="High",48,
IF(Tickets[[#This Row],[Ticket Priority]]="Medium",120,168)))</f>
        <v>168</v>
      </c>
      <c r="P1087" t="str">
        <f>IF(Tickets[[#This Row],[Resolution Duration Hours]] &lt;= Tickets[[#This Row],[SLA_Target_Hours]], "Yes", "No")</f>
        <v>Yes</v>
      </c>
    </row>
    <row r="1088" spans="1:16" hidden="1">
      <c r="A1088">
        <v>1087</v>
      </c>
      <c r="B1088" t="s">
        <v>1092</v>
      </c>
      <c r="C1088" t="s">
        <v>3068</v>
      </c>
      <c r="D1088" t="s">
        <v>3997</v>
      </c>
      <c r="E1088" s="1">
        <v>44957</v>
      </c>
      <c r="F1088" t="s">
        <v>4001</v>
      </c>
      <c r="G1088" t="s">
        <v>4013</v>
      </c>
      <c r="H1088" t="s">
        <v>4020</v>
      </c>
      <c r="I1088" t="s">
        <v>4021</v>
      </c>
      <c r="J1088" t="s">
        <v>4028</v>
      </c>
      <c r="K1088" s="2">
        <v>45184</v>
      </c>
      <c r="L1088" s="2">
        <v>45186</v>
      </c>
      <c r="N1088">
        <v>48</v>
      </c>
      <c r="O1088">
        <f>IF(Tickets[[#This Row],[Ticket Priority]]="Critical",24,
IF(Tickets[[#This Row],[Ticket Priority]]="High",48,
IF(Tickets[[#This Row],[Ticket Priority]]="Medium",120,168)))</f>
        <v>48</v>
      </c>
      <c r="P1088" t="str">
        <f>IF(Tickets[[#This Row],[Resolution Duration Hours]] &lt;= Tickets[[#This Row],[SLA_Target_Hours]], "Yes", "No")</f>
        <v>Yes</v>
      </c>
    </row>
    <row r="1089" spans="1:16" hidden="1">
      <c r="A1089">
        <v>1088</v>
      </c>
      <c r="B1089" t="s">
        <v>1093</v>
      </c>
      <c r="C1089" t="s">
        <v>3069</v>
      </c>
      <c r="D1089" t="s">
        <v>3995</v>
      </c>
      <c r="E1089" s="1">
        <v>44998</v>
      </c>
      <c r="F1089" t="s">
        <v>4000</v>
      </c>
      <c r="G1089" t="s">
        <v>4012</v>
      </c>
      <c r="H1089" t="s">
        <v>4018</v>
      </c>
      <c r="I1089" t="s">
        <v>4023</v>
      </c>
      <c r="J1089" t="s">
        <v>4028</v>
      </c>
      <c r="K1089" s="2">
        <v>45142</v>
      </c>
      <c r="L1089" s="2">
        <v>45147</v>
      </c>
      <c r="M1089">
        <v>5</v>
      </c>
      <c r="N1089">
        <v>120</v>
      </c>
      <c r="O1089">
        <f>IF(Tickets[[#This Row],[Ticket Priority]]="Critical",24,
IF(Tickets[[#This Row],[Ticket Priority]]="High",48,
IF(Tickets[[#This Row],[Ticket Priority]]="Medium",120,168)))</f>
        <v>120</v>
      </c>
      <c r="P1089" t="str">
        <f>IF(Tickets[[#This Row],[Resolution Duration Hours]] &lt;= Tickets[[#This Row],[SLA_Target_Hours]], "Yes", "No")</f>
        <v>Yes</v>
      </c>
    </row>
    <row r="1090" spans="1:16">
      <c r="A1090">
        <v>786</v>
      </c>
      <c r="B1090" t="s">
        <v>795</v>
      </c>
      <c r="C1090" t="s">
        <v>2768</v>
      </c>
      <c r="D1090" t="s">
        <v>3985</v>
      </c>
      <c r="E1090" s="1">
        <v>44369</v>
      </c>
      <c r="F1090" t="s">
        <v>4002</v>
      </c>
      <c r="G1090" t="s">
        <v>4013</v>
      </c>
      <c r="H1090" t="s">
        <v>4017</v>
      </c>
      <c r="I1090" t="s">
        <v>4024</v>
      </c>
      <c r="J1090" t="s">
        <v>4026</v>
      </c>
      <c r="K1090" s="2">
        <v>44398</v>
      </c>
      <c r="L1090" s="2">
        <v>44406</v>
      </c>
      <c r="N1090">
        <v>192</v>
      </c>
      <c r="O1090">
        <f>IF(Tickets[[#This Row],[Ticket Priority]]="Critical",24,
IF(Tickets[[#This Row],[Ticket Priority]]="High",48,
IF(Tickets[[#This Row],[Ticket Priority]]="Medium",120,168)))</f>
        <v>168</v>
      </c>
      <c r="P1090" t="str">
        <f>IF(Tickets[[#This Row],[Resolution Duration Hours]] &lt;= Tickets[[#This Row],[SLA_Target_Hours]], "Yes", "No")</f>
        <v>No</v>
      </c>
    </row>
    <row r="1091" spans="1:16" hidden="1">
      <c r="A1091">
        <v>1090</v>
      </c>
      <c r="B1091" t="s">
        <v>1095</v>
      </c>
      <c r="C1091" t="s">
        <v>3071</v>
      </c>
      <c r="D1091" t="s">
        <v>3997</v>
      </c>
      <c r="E1091" s="1">
        <v>44773</v>
      </c>
      <c r="F1091" t="s">
        <v>4001</v>
      </c>
      <c r="G1091" t="s">
        <v>4003</v>
      </c>
      <c r="H1091" t="s">
        <v>4018</v>
      </c>
      <c r="I1091" t="s">
        <v>4024</v>
      </c>
      <c r="J1091" t="s">
        <v>4026</v>
      </c>
      <c r="K1091" s="2">
        <v>45070</v>
      </c>
      <c r="L1091" s="2">
        <v>45076</v>
      </c>
      <c r="N1091">
        <v>144</v>
      </c>
      <c r="O1091">
        <f>IF(Tickets[[#This Row],[Ticket Priority]]="Critical",24,
IF(Tickets[[#This Row],[Ticket Priority]]="High",48,
IF(Tickets[[#This Row],[Ticket Priority]]="Medium",120,168)))</f>
        <v>168</v>
      </c>
      <c r="P1091" t="str">
        <f>IF(Tickets[[#This Row],[Resolution Duration Hours]] &lt;= Tickets[[#This Row],[SLA_Target_Hours]], "Yes", "No")</f>
        <v>Yes</v>
      </c>
    </row>
    <row r="1092" spans="1:16" hidden="1">
      <c r="A1092">
        <v>1091</v>
      </c>
      <c r="B1092" t="s">
        <v>1096</v>
      </c>
      <c r="C1092" t="s">
        <v>3072</v>
      </c>
      <c r="D1092" t="s">
        <v>3993</v>
      </c>
      <c r="E1092" s="1">
        <v>44971</v>
      </c>
      <c r="F1092" t="s">
        <v>3998</v>
      </c>
      <c r="G1092" t="s">
        <v>4008</v>
      </c>
      <c r="H1092" t="s">
        <v>4018</v>
      </c>
      <c r="I1092" t="s">
        <v>4023</v>
      </c>
      <c r="J1092" t="s">
        <v>4025</v>
      </c>
      <c r="K1092" s="2">
        <v>45260</v>
      </c>
      <c r="L1092" s="2">
        <v>45265</v>
      </c>
      <c r="M1092">
        <v>5</v>
      </c>
      <c r="N1092">
        <v>120</v>
      </c>
      <c r="O1092">
        <f>IF(Tickets[[#This Row],[Ticket Priority]]="Critical",24,
IF(Tickets[[#This Row],[Ticket Priority]]="High",48,
IF(Tickets[[#This Row],[Ticket Priority]]="Medium",120,168)))</f>
        <v>120</v>
      </c>
      <c r="P1092" t="str">
        <f>IF(Tickets[[#This Row],[Resolution Duration Hours]] &lt;= Tickets[[#This Row],[SLA_Target_Hours]], "Yes", "No")</f>
        <v>Yes</v>
      </c>
    </row>
    <row r="1093" spans="1:16" hidden="1">
      <c r="A1093">
        <v>1092</v>
      </c>
      <c r="B1093" t="s">
        <v>1097</v>
      </c>
      <c r="C1093" t="s">
        <v>3073</v>
      </c>
      <c r="D1093" t="s">
        <v>3992</v>
      </c>
      <c r="E1093" s="1">
        <v>44876</v>
      </c>
      <c r="F1093" t="s">
        <v>4002</v>
      </c>
      <c r="G1093" t="s">
        <v>4008</v>
      </c>
      <c r="H1093" t="s">
        <v>4018</v>
      </c>
      <c r="I1093" t="s">
        <v>4023</v>
      </c>
      <c r="J1093" t="s">
        <v>4026</v>
      </c>
      <c r="K1093" s="2">
        <v>45213</v>
      </c>
      <c r="L1093" s="2">
        <v>45216</v>
      </c>
      <c r="M1093">
        <v>3</v>
      </c>
      <c r="N1093">
        <v>72</v>
      </c>
      <c r="O1093">
        <f>IF(Tickets[[#This Row],[Ticket Priority]]="Critical",24,
IF(Tickets[[#This Row],[Ticket Priority]]="High",48,
IF(Tickets[[#This Row],[Ticket Priority]]="Medium",120,168)))</f>
        <v>120</v>
      </c>
      <c r="P1093" t="str">
        <f>IF(Tickets[[#This Row],[Resolution Duration Hours]] &lt;= Tickets[[#This Row],[SLA_Target_Hours]], "Yes", "No")</f>
        <v>Yes</v>
      </c>
    </row>
    <row r="1094" spans="1:16">
      <c r="A1094">
        <v>796</v>
      </c>
      <c r="B1094" t="s">
        <v>804</v>
      </c>
      <c r="C1094" t="s">
        <v>2778</v>
      </c>
      <c r="D1094" t="s">
        <v>3989</v>
      </c>
      <c r="E1094" s="1">
        <v>44454</v>
      </c>
      <c r="F1094" t="s">
        <v>3998</v>
      </c>
      <c r="G1094" t="s">
        <v>4007</v>
      </c>
      <c r="H1094" t="s">
        <v>4018</v>
      </c>
      <c r="I1094" t="s">
        <v>4024</v>
      </c>
      <c r="J1094" t="s">
        <v>4027</v>
      </c>
      <c r="K1094" s="2">
        <v>44495</v>
      </c>
      <c r="L1094" s="2">
        <v>44503</v>
      </c>
      <c r="M1094">
        <v>5</v>
      </c>
      <c r="N1094">
        <v>192</v>
      </c>
      <c r="O1094">
        <f>IF(Tickets[[#This Row],[Ticket Priority]]="Critical",24,
IF(Tickets[[#This Row],[Ticket Priority]]="High",48,
IF(Tickets[[#This Row],[Ticket Priority]]="Medium",120,168)))</f>
        <v>168</v>
      </c>
      <c r="P1094" t="str">
        <f>IF(Tickets[[#This Row],[Resolution Duration Hours]] &lt;= Tickets[[#This Row],[SLA_Target_Hours]], "Yes", "No")</f>
        <v>No</v>
      </c>
    </row>
    <row r="1095" spans="1:16" hidden="1">
      <c r="A1095">
        <v>1094</v>
      </c>
      <c r="B1095" t="s">
        <v>1099</v>
      </c>
      <c r="C1095" t="s">
        <v>3075</v>
      </c>
      <c r="D1095" t="s">
        <v>3997</v>
      </c>
      <c r="E1095" s="1">
        <v>44338</v>
      </c>
      <c r="F1095" t="s">
        <v>4002</v>
      </c>
      <c r="G1095" t="s">
        <v>4006</v>
      </c>
      <c r="H1095" t="s">
        <v>4018</v>
      </c>
      <c r="I1095" t="s">
        <v>4024</v>
      </c>
      <c r="J1095" t="s">
        <v>4028</v>
      </c>
      <c r="K1095" s="2">
        <v>44377</v>
      </c>
      <c r="L1095" s="2">
        <v>44377</v>
      </c>
      <c r="M1095">
        <v>5</v>
      </c>
      <c r="N1095">
        <v>0</v>
      </c>
      <c r="O1095">
        <f>IF(Tickets[[#This Row],[Ticket Priority]]="Critical",24,
IF(Tickets[[#This Row],[Ticket Priority]]="High",48,
IF(Tickets[[#This Row],[Ticket Priority]]="Medium",120,168)))</f>
        <v>168</v>
      </c>
      <c r="P1095" t="str">
        <f>IF(Tickets[[#This Row],[Resolution Duration Hours]] &lt;= Tickets[[#This Row],[SLA_Target_Hours]], "Yes", "No")</f>
        <v>Yes</v>
      </c>
    </row>
    <row r="1096" spans="1:16" hidden="1">
      <c r="A1096">
        <v>1095</v>
      </c>
      <c r="B1096" t="s">
        <v>1100</v>
      </c>
      <c r="C1096" t="s">
        <v>3076</v>
      </c>
      <c r="D1096" t="s">
        <v>3995</v>
      </c>
      <c r="E1096" s="1">
        <v>44815</v>
      </c>
      <c r="F1096" t="s">
        <v>4000</v>
      </c>
      <c r="G1096" t="s">
        <v>4004</v>
      </c>
      <c r="H1096" t="s">
        <v>4018</v>
      </c>
      <c r="I1096" t="s">
        <v>4021</v>
      </c>
      <c r="J1096" t="s">
        <v>4026</v>
      </c>
      <c r="K1096" s="2">
        <v>45160</v>
      </c>
      <c r="L1096" s="2">
        <v>45161</v>
      </c>
      <c r="N1096">
        <v>24</v>
      </c>
      <c r="O1096">
        <f>IF(Tickets[[#This Row],[Ticket Priority]]="Critical",24,
IF(Tickets[[#This Row],[Ticket Priority]]="High",48,
IF(Tickets[[#This Row],[Ticket Priority]]="Medium",120,168)))</f>
        <v>48</v>
      </c>
      <c r="P1096" t="str">
        <f>IF(Tickets[[#This Row],[Resolution Duration Hours]] &lt;= Tickets[[#This Row],[SLA_Target_Hours]], "Yes", "No")</f>
        <v>Yes</v>
      </c>
    </row>
    <row r="1097" spans="1:16" hidden="1">
      <c r="A1097">
        <v>1096</v>
      </c>
      <c r="B1097" t="s">
        <v>1101</v>
      </c>
      <c r="C1097" t="s">
        <v>3077</v>
      </c>
      <c r="D1097" t="s">
        <v>3980</v>
      </c>
      <c r="E1097" s="1">
        <v>43931</v>
      </c>
      <c r="F1097" t="s">
        <v>3999</v>
      </c>
      <c r="G1097" t="s">
        <v>4008</v>
      </c>
      <c r="H1097" t="s">
        <v>4017</v>
      </c>
      <c r="I1097" t="s">
        <v>4024</v>
      </c>
      <c r="J1097" t="s">
        <v>4026</v>
      </c>
      <c r="K1097" s="2">
        <v>44184</v>
      </c>
      <c r="L1097" s="2">
        <v>44190</v>
      </c>
      <c r="N1097">
        <v>144</v>
      </c>
      <c r="O1097">
        <f>IF(Tickets[[#This Row],[Ticket Priority]]="Critical",24,
IF(Tickets[[#This Row],[Ticket Priority]]="High",48,
IF(Tickets[[#This Row],[Ticket Priority]]="Medium",120,168)))</f>
        <v>168</v>
      </c>
      <c r="P1097" t="str">
        <f>IF(Tickets[[#This Row],[Resolution Duration Hours]] &lt;= Tickets[[#This Row],[SLA_Target_Hours]], "Yes", "No")</f>
        <v>Yes</v>
      </c>
    </row>
    <row r="1098" spans="1:16" hidden="1">
      <c r="A1098">
        <v>1097</v>
      </c>
      <c r="B1098" t="s">
        <v>1102</v>
      </c>
      <c r="C1098" t="s">
        <v>3078</v>
      </c>
      <c r="D1098" t="s">
        <v>3991</v>
      </c>
      <c r="E1098" s="1">
        <v>44509</v>
      </c>
      <c r="F1098" t="s">
        <v>4002</v>
      </c>
      <c r="G1098" t="s">
        <v>4003</v>
      </c>
      <c r="H1098" t="s">
        <v>4017</v>
      </c>
      <c r="I1098" t="s">
        <v>4024</v>
      </c>
      <c r="J1098" t="s">
        <v>4026</v>
      </c>
      <c r="K1098" s="2">
        <v>44873</v>
      </c>
      <c r="L1098" s="2">
        <v>44880</v>
      </c>
      <c r="N1098">
        <v>168</v>
      </c>
      <c r="O1098">
        <f>IF(Tickets[[#This Row],[Ticket Priority]]="Critical",24,
IF(Tickets[[#This Row],[Ticket Priority]]="High",48,
IF(Tickets[[#This Row],[Ticket Priority]]="Medium",120,168)))</f>
        <v>168</v>
      </c>
      <c r="P1098" t="str">
        <f>IF(Tickets[[#This Row],[Resolution Duration Hours]] &lt;= Tickets[[#This Row],[SLA_Target_Hours]], "Yes", "No")</f>
        <v>Yes</v>
      </c>
    </row>
    <row r="1099" spans="1:16" hidden="1">
      <c r="A1099">
        <v>1098</v>
      </c>
      <c r="B1099" t="s">
        <v>1103</v>
      </c>
      <c r="C1099" t="s">
        <v>3079</v>
      </c>
      <c r="D1099" t="s">
        <v>3985</v>
      </c>
      <c r="E1099" s="1">
        <v>44123</v>
      </c>
      <c r="F1099" t="s">
        <v>3999</v>
      </c>
      <c r="G1099" t="s">
        <v>4003</v>
      </c>
      <c r="H1099" t="s">
        <v>4018</v>
      </c>
      <c r="I1099" t="s">
        <v>4024</v>
      </c>
      <c r="J1099" t="s">
        <v>4028</v>
      </c>
      <c r="K1099" s="2">
        <v>44386</v>
      </c>
      <c r="L1099" s="2">
        <v>44393</v>
      </c>
      <c r="M1099">
        <v>5</v>
      </c>
      <c r="N1099">
        <v>168</v>
      </c>
      <c r="O1099">
        <f>IF(Tickets[[#This Row],[Ticket Priority]]="Critical",24,
IF(Tickets[[#This Row],[Ticket Priority]]="High",48,
IF(Tickets[[#This Row],[Ticket Priority]]="Medium",120,168)))</f>
        <v>168</v>
      </c>
      <c r="P1099" t="str">
        <f>IF(Tickets[[#This Row],[Resolution Duration Hours]] &lt;= Tickets[[#This Row],[SLA_Target_Hours]], "Yes", "No")</f>
        <v>Yes</v>
      </c>
    </row>
    <row r="1100" spans="1:16" hidden="1">
      <c r="A1100">
        <v>1099</v>
      </c>
      <c r="B1100" t="s">
        <v>1104</v>
      </c>
      <c r="C1100" t="s">
        <v>3080</v>
      </c>
      <c r="D1100" t="s">
        <v>3983</v>
      </c>
      <c r="E1100" s="1">
        <v>43927</v>
      </c>
      <c r="F1100" t="s">
        <v>4000</v>
      </c>
      <c r="G1100" t="s">
        <v>4006</v>
      </c>
      <c r="H1100" t="s">
        <v>4017</v>
      </c>
      <c r="I1100" t="s">
        <v>4021</v>
      </c>
      <c r="J1100" t="s">
        <v>4027</v>
      </c>
      <c r="K1100" s="2">
        <v>44229</v>
      </c>
      <c r="L1100" s="2">
        <v>44230</v>
      </c>
      <c r="N1100">
        <v>24</v>
      </c>
      <c r="O1100">
        <f>IF(Tickets[[#This Row],[Ticket Priority]]="Critical",24,
IF(Tickets[[#This Row],[Ticket Priority]]="High",48,
IF(Tickets[[#This Row],[Ticket Priority]]="Medium",120,168)))</f>
        <v>48</v>
      </c>
      <c r="P1100" t="str">
        <f>IF(Tickets[[#This Row],[Resolution Duration Hours]] &lt;= Tickets[[#This Row],[SLA_Target_Hours]], "Yes", "No")</f>
        <v>Yes</v>
      </c>
    </row>
    <row r="1101" spans="1:16">
      <c r="A1101">
        <v>821</v>
      </c>
      <c r="B1101" t="s">
        <v>829</v>
      </c>
      <c r="C1101" t="s">
        <v>2803</v>
      </c>
      <c r="D1101" t="s">
        <v>3988</v>
      </c>
      <c r="E1101" s="1">
        <v>44057</v>
      </c>
      <c r="F1101" t="s">
        <v>4001</v>
      </c>
      <c r="G1101" t="s">
        <v>4009</v>
      </c>
      <c r="H1101" t="s">
        <v>4018</v>
      </c>
      <c r="I1101" t="s">
        <v>4024</v>
      </c>
      <c r="J1101" t="s">
        <v>4026</v>
      </c>
      <c r="K1101" s="2">
        <v>44337</v>
      </c>
      <c r="L1101" s="2">
        <v>44345</v>
      </c>
      <c r="M1101">
        <v>5</v>
      </c>
      <c r="N1101">
        <v>192</v>
      </c>
      <c r="O1101">
        <f>IF(Tickets[[#This Row],[Ticket Priority]]="Critical",24,
IF(Tickets[[#This Row],[Ticket Priority]]="High",48,
IF(Tickets[[#This Row],[Ticket Priority]]="Medium",120,168)))</f>
        <v>168</v>
      </c>
      <c r="P1101" t="str">
        <f>IF(Tickets[[#This Row],[Resolution Duration Hours]] &lt;= Tickets[[#This Row],[SLA_Target_Hours]], "Yes", "No")</f>
        <v>No</v>
      </c>
    </row>
    <row r="1102" spans="1:16" hidden="1">
      <c r="A1102">
        <v>1101</v>
      </c>
      <c r="B1102" t="s">
        <v>1106</v>
      </c>
      <c r="C1102" t="s">
        <v>3082</v>
      </c>
      <c r="D1102" t="s">
        <v>3997</v>
      </c>
      <c r="E1102" s="1">
        <v>44321</v>
      </c>
      <c r="F1102" t="s">
        <v>4002</v>
      </c>
      <c r="G1102" t="s">
        <v>4004</v>
      </c>
      <c r="H1102" t="s">
        <v>4018</v>
      </c>
      <c r="I1102" t="s">
        <v>4022</v>
      </c>
      <c r="J1102" t="s">
        <v>4026</v>
      </c>
      <c r="K1102" s="2">
        <v>44363</v>
      </c>
      <c r="L1102" s="2">
        <v>44364</v>
      </c>
      <c r="M1102">
        <v>4</v>
      </c>
      <c r="N1102">
        <v>24</v>
      </c>
      <c r="O1102">
        <f>IF(Tickets[[#This Row],[Ticket Priority]]="Critical",24,
IF(Tickets[[#This Row],[Ticket Priority]]="High",48,
IF(Tickets[[#This Row],[Ticket Priority]]="Medium",120,168)))</f>
        <v>24</v>
      </c>
      <c r="P1102" t="str">
        <f>IF(Tickets[[#This Row],[Resolution Duration Hours]] &lt;= Tickets[[#This Row],[SLA_Target_Hours]], "Yes", "No")</f>
        <v>Yes</v>
      </c>
    </row>
    <row r="1103" spans="1:16" hidden="1">
      <c r="A1103">
        <v>1102</v>
      </c>
      <c r="B1103" t="s">
        <v>1107</v>
      </c>
      <c r="C1103" t="s">
        <v>3083</v>
      </c>
      <c r="D1103" t="s">
        <v>3990</v>
      </c>
      <c r="E1103" s="1">
        <v>44271</v>
      </c>
      <c r="F1103" t="s">
        <v>4000</v>
      </c>
      <c r="G1103" t="s">
        <v>4012</v>
      </c>
      <c r="H1103" t="s">
        <v>4018</v>
      </c>
      <c r="I1103" t="s">
        <v>4023</v>
      </c>
      <c r="J1103" t="s">
        <v>4028</v>
      </c>
      <c r="K1103" s="2">
        <v>44320</v>
      </c>
      <c r="L1103" s="2">
        <v>44322</v>
      </c>
      <c r="M1103">
        <v>5</v>
      </c>
      <c r="N1103">
        <v>48</v>
      </c>
      <c r="O1103">
        <f>IF(Tickets[[#This Row],[Ticket Priority]]="Critical",24,
IF(Tickets[[#This Row],[Ticket Priority]]="High",48,
IF(Tickets[[#This Row],[Ticket Priority]]="Medium",120,168)))</f>
        <v>120</v>
      </c>
      <c r="P1103" t="str">
        <f>IF(Tickets[[#This Row],[Resolution Duration Hours]] &lt;= Tickets[[#This Row],[SLA_Target_Hours]], "Yes", "No")</f>
        <v>Yes</v>
      </c>
    </row>
    <row r="1104" spans="1:16" hidden="1">
      <c r="A1104">
        <v>1103</v>
      </c>
      <c r="B1104" t="s">
        <v>1108</v>
      </c>
      <c r="C1104" t="s">
        <v>3084</v>
      </c>
      <c r="D1104" t="s">
        <v>3983</v>
      </c>
      <c r="E1104" s="1">
        <v>44022</v>
      </c>
      <c r="F1104" t="s">
        <v>3999</v>
      </c>
      <c r="G1104" t="s">
        <v>4009</v>
      </c>
      <c r="H1104" t="s">
        <v>4018</v>
      </c>
      <c r="I1104" t="s">
        <v>4022</v>
      </c>
      <c r="J1104" t="s">
        <v>4026</v>
      </c>
      <c r="K1104" s="2">
        <v>44114</v>
      </c>
      <c r="L1104" s="2">
        <v>44114</v>
      </c>
      <c r="N1104">
        <v>0</v>
      </c>
      <c r="O1104">
        <f>IF(Tickets[[#This Row],[Ticket Priority]]="Critical",24,
IF(Tickets[[#This Row],[Ticket Priority]]="High",48,
IF(Tickets[[#This Row],[Ticket Priority]]="Medium",120,168)))</f>
        <v>24</v>
      </c>
      <c r="P1104" t="str">
        <f>IF(Tickets[[#This Row],[Resolution Duration Hours]] &lt;= Tickets[[#This Row],[SLA_Target_Hours]], "Yes", "No")</f>
        <v>Yes</v>
      </c>
    </row>
    <row r="1105" spans="1:16" hidden="1">
      <c r="A1105">
        <v>1104</v>
      </c>
      <c r="B1105" t="s">
        <v>1109</v>
      </c>
      <c r="C1105" t="s">
        <v>3085</v>
      </c>
      <c r="D1105" t="s">
        <v>3983</v>
      </c>
      <c r="E1105" s="1">
        <v>43922</v>
      </c>
      <c r="F1105" t="s">
        <v>3999</v>
      </c>
      <c r="G1105" t="s">
        <v>4009</v>
      </c>
      <c r="H1105" t="s">
        <v>4018</v>
      </c>
      <c r="I1105" t="s">
        <v>4021</v>
      </c>
      <c r="J1105" t="s">
        <v>4026</v>
      </c>
      <c r="K1105" s="2">
        <v>43972</v>
      </c>
      <c r="L1105" s="2">
        <v>43974</v>
      </c>
      <c r="M1105">
        <v>4</v>
      </c>
      <c r="N1105">
        <v>48</v>
      </c>
      <c r="O1105">
        <f>IF(Tickets[[#This Row],[Ticket Priority]]="Critical",24,
IF(Tickets[[#This Row],[Ticket Priority]]="High",48,
IF(Tickets[[#This Row],[Ticket Priority]]="Medium",120,168)))</f>
        <v>48</v>
      </c>
      <c r="P1105" t="str">
        <f>IF(Tickets[[#This Row],[Resolution Duration Hours]] &lt;= Tickets[[#This Row],[SLA_Target_Hours]], "Yes", "No")</f>
        <v>Yes</v>
      </c>
    </row>
    <row r="1106" spans="1:16">
      <c r="A1106">
        <v>864</v>
      </c>
      <c r="B1106" t="s">
        <v>872</v>
      </c>
      <c r="C1106" t="s">
        <v>2846</v>
      </c>
      <c r="D1106" t="s">
        <v>3983</v>
      </c>
      <c r="E1106" s="1">
        <v>45049</v>
      </c>
      <c r="F1106" t="s">
        <v>3998</v>
      </c>
      <c r="G1106" t="s">
        <v>4015</v>
      </c>
      <c r="H1106" t="s">
        <v>4020</v>
      </c>
      <c r="I1106" t="s">
        <v>4024</v>
      </c>
      <c r="J1106" t="s">
        <v>4027</v>
      </c>
      <c r="K1106" s="2">
        <v>45352</v>
      </c>
      <c r="L1106" s="2">
        <v>45360</v>
      </c>
      <c r="N1106">
        <v>192</v>
      </c>
      <c r="O1106">
        <f>IF(Tickets[[#This Row],[Ticket Priority]]="Critical",24,
IF(Tickets[[#This Row],[Ticket Priority]]="High",48,
IF(Tickets[[#This Row],[Ticket Priority]]="Medium",120,168)))</f>
        <v>168</v>
      </c>
      <c r="P1106" t="str">
        <f>IF(Tickets[[#This Row],[Resolution Duration Hours]] &lt;= Tickets[[#This Row],[SLA_Target_Hours]], "Yes", "No")</f>
        <v>No</v>
      </c>
    </row>
    <row r="1107" spans="1:16" hidden="1">
      <c r="A1107">
        <v>1106</v>
      </c>
      <c r="B1107" t="s">
        <v>1111</v>
      </c>
      <c r="C1107" t="s">
        <v>3087</v>
      </c>
      <c r="D1107" t="s">
        <v>3989</v>
      </c>
      <c r="E1107" s="1">
        <v>44487</v>
      </c>
      <c r="F1107" t="s">
        <v>4000</v>
      </c>
      <c r="G1107" t="s">
        <v>4004</v>
      </c>
      <c r="H1107" t="s">
        <v>4019</v>
      </c>
      <c r="I1107" t="s">
        <v>4024</v>
      </c>
      <c r="J1107" t="s">
        <v>4026</v>
      </c>
      <c r="K1107" s="2">
        <v>44490</v>
      </c>
      <c r="L1107" s="2">
        <v>44496</v>
      </c>
      <c r="M1107">
        <v>4</v>
      </c>
      <c r="N1107">
        <v>144</v>
      </c>
      <c r="O1107">
        <f>IF(Tickets[[#This Row],[Ticket Priority]]="Critical",24,
IF(Tickets[[#This Row],[Ticket Priority]]="High",48,
IF(Tickets[[#This Row],[Ticket Priority]]="Medium",120,168)))</f>
        <v>168</v>
      </c>
      <c r="P1107" t="str">
        <f>IF(Tickets[[#This Row],[Resolution Duration Hours]] &lt;= Tickets[[#This Row],[SLA_Target_Hours]], "Yes", "No")</f>
        <v>Yes</v>
      </c>
    </row>
    <row r="1108" spans="1:16" hidden="1">
      <c r="A1108">
        <v>1107</v>
      </c>
      <c r="B1108" t="s">
        <v>1112</v>
      </c>
      <c r="C1108" t="s">
        <v>3088</v>
      </c>
      <c r="D1108" t="s">
        <v>3984</v>
      </c>
      <c r="E1108" s="1">
        <v>44269</v>
      </c>
      <c r="F1108" t="s">
        <v>4000</v>
      </c>
      <c r="G1108" t="s">
        <v>4012</v>
      </c>
      <c r="H1108" t="s">
        <v>4017</v>
      </c>
      <c r="I1108" t="s">
        <v>4024</v>
      </c>
      <c r="J1108" t="s">
        <v>4027</v>
      </c>
      <c r="K1108" s="2">
        <v>44420</v>
      </c>
      <c r="L1108" s="2">
        <v>44426</v>
      </c>
      <c r="N1108">
        <v>144</v>
      </c>
      <c r="O1108">
        <f>IF(Tickets[[#This Row],[Ticket Priority]]="Critical",24,
IF(Tickets[[#This Row],[Ticket Priority]]="High",48,
IF(Tickets[[#This Row],[Ticket Priority]]="Medium",120,168)))</f>
        <v>168</v>
      </c>
      <c r="P1108" t="str">
        <f>IF(Tickets[[#This Row],[Resolution Duration Hours]] &lt;= Tickets[[#This Row],[SLA_Target_Hours]], "Yes", "No")</f>
        <v>Yes</v>
      </c>
    </row>
    <row r="1109" spans="1:16">
      <c r="A1109">
        <v>900</v>
      </c>
      <c r="B1109" t="s">
        <v>908</v>
      </c>
      <c r="C1109" t="s">
        <v>2882</v>
      </c>
      <c r="D1109" t="s">
        <v>3986</v>
      </c>
      <c r="E1109" s="1">
        <v>44627</v>
      </c>
      <c r="F1109" t="s">
        <v>3998</v>
      </c>
      <c r="G1109" t="s">
        <v>4016</v>
      </c>
      <c r="H1109" t="s">
        <v>4018</v>
      </c>
      <c r="I1109" t="s">
        <v>4024</v>
      </c>
      <c r="J1109" t="s">
        <v>4027</v>
      </c>
      <c r="K1109" s="2">
        <v>44762</v>
      </c>
      <c r="L1109" s="2">
        <v>44770</v>
      </c>
      <c r="N1109">
        <v>192</v>
      </c>
      <c r="O1109">
        <f>IF(Tickets[[#This Row],[Ticket Priority]]="Critical",24,
IF(Tickets[[#This Row],[Ticket Priority]]="High",48,
IF(Tickets[[#This Row],[Ticket Priority]]="Medium",120,168)))</f>
        <v>168</v>
      </c>
      <c r="P1109" t="str">
        <f>IF(Tickets[[#This Row],[Resolution Duration Hours]] &lt;= Tickets[[#This Row],[SLA_Target_Hours]], "Yes", "No")</f>
        <v>No</v>
      </c>
    </row>
    <row r="1110" spans="1:16" hidden="1">
      <c r="A1110">
        <v>1109</v>
      </c>
      <c r="B1110" t="s">
        <v>1114</v>
      </c>
      <c r="C1110" t="s">
        <v>3089</v>
      </c>
      <c r="D1110" t="s">
        <v>3983</v>
      </c>
      <c r="E1110" s="1">
        <v>44283</v>
      </c>
      <c r="F1110" t="s">
        <v>4001</v>
      </c>
      <c r="G1110" t="s">
        <v>4000</v>
      </c>
      <c r="H1110" t="s">
        <v>4017</v>
      </c>
      <c r="I1110" t="s">
        <v>4024</v>
      </c>
      <c r="J1110" t="s">
        <v>4028</v>
      </c>
      <c r="K1110" s="2">
        <v>44424</v>
      </c>
      <c r="L1110" s="2">
        <v>44428</v>
      </c>
      <c r="N1110">
        <v>96</v>
      </c>
      <c r="O1110">
        <f>IF(Tickets[[#This Row],[Ticket Priority]]="Critical",24,
IF(Tickets[[#This Row],[Ticket Priority]]="High",48,
IF(Tickets[[#This Row],[Ticket Priority]]="Medium",120,168)))</f>
        <v>168</v>
      </c>
      <c r="P1110" t="str">
        <f>IF(Tickets[[#This Row],[Resolution Duration Hours]] &lt;= Tickets[[#This Row],[SLA_Target_Hours]], "Yes", "No")</f>
        <v>Yes</v>
      </c>
    </row>
    <row r="1111" spans="1:16" hidden="1">
      <c r="A1111">
        <v>1110</v>
      </c>
      <c r="B1111" t="s">
        <v>1115</v>
      </c>
      <c r="C1111" t="s">
        <v>3090</v>
      </c>
      <c r="D1111" t="s">
        <v>3979</v>
      </c>
      <c r="E1111" s="1">
        <v>44725</v>
      </c>
      <c r="F1111" t="s">
        <v>4001</v>
      </c>
      <c r="G1111" t="s">
        <v>4005</v>
      </c>
      <c r="H1111" t="s">
        <v>4020</v>
      </c>
      <c r="I1111" t="s">
        <v>4023</v>
      </c>
      <c r="J1111" t="s">
        <v>4026</v>
      </c>
      <c r="K1111" s="2">
        <v>45086</v>
      </c>
      <c r="L1111" s="2">
        <v>45088</v>
      </c>
      <c r="N1111">
        <v>48</v>
      </c>
      <c r="O1111">
        <f>IF(Tickets[[#This Row],[Ticket Priority]]="Critical",24,
IF(Tickets[[#This Row],[Ticket Priority]]="High",48,
IF(Tickets[[#This Row],[Ticket Priority]]="Medium",120,168)))</f>
        <v>120</v>
      </c>
      <c r="P1111" t="str">
        <f>IF(Tickets[[#This Row],[Resolution Duration Hours]] &lt;= Tickets[[#This Row],[SLA_Target_Hours]], "Yes", "No")</f>
        <v>Yes</v>
      </c>
    </row>
    <row r="1112" spans="1:16">
      <c r="A1112">
        <v>913</v>
      </c>
      <c r="B1112" t="s">
        <v>921</v>
      </c>
      <c r="C1112" t="s">
        <v>2895</v>
      </c>
      <c r="D1112" t="s">
        <v>3982</v>
      </c>
      <c r="E1112" s="1">
        <v>44567</v>
      </c>
      <c r="F1112" t="s">
        <v>4000</v>
      </c>
      <c r="G1112" t="s">
        <v>4014</v>
      </c>
      <c r="H1112" t="s">
        <v>4018</v>
      </c>
      <c r="I1112" t="s">
        <v>4024</v>
      </c>
      <c r="J1112" t="s">
        <v>4028</v>
      </c>
      <c r="K1112" s="2">
        <v>44587</v>
      </c>
      <c r="L1112" s="2">
        <v>44595</v>
      </c>
      <c r="M1112">
        <v>5</v>
      </c>
      <c r="N1112">
        <v>192</v>
      </c>
      <c r="O1112">
        <f>IF(Tickets[[#This Row],[Ticket Priority]]="Critical",24,
IF(Tickets[[#This Row],[Ticket Priority]]="High",48,
IF(Tickets[[#This Row],[Ticket Priority]]="Medium",120,168)))</f>
        <v>168</v>
      </c>
      <c r="P1112" t="str">
        <f>IF(Tickets[[#This Row],[Resolution Duration Hours]] &lt;= Tickets[[#This Row],[SLA_Target_Hours]], "Yes", "No")</f>
        <v>No</v>
      </c>
    </row>
    <row r="1113" spans="1:16">
      <c r="A1113">
        <v>921</v>
      </c>
      <c r="B1113" t="s">
        <v>929</v>
      </c>
      <c r="C1113" t="s">
        <v>2903</v>
      </c>
      <c r="D1113" t="s">
        <v>3989</v>
      </c>
      <c r="E1113" s="1">
        <v>44269</v>
      </c>
      <c r="F1113" t="s">
        <v>3998</v>
      </c>
      <c r="G1113" t="s">
        <v>4011</v>
      </c>
      <c r="H1113" t="s">
        <v>4017</v>
      </c>
      <c r="I1113" t="s">
        <v>4023</v>
      </c>
      <c r="J1113" t="s">
        <v>4027</v>
      </c>
      <c r="K1113" s="2">
        <v>44363</v>
      </c>
      <c r="L1113" s="2">
        <v>44371</v>
      </c>
      <c r="N1113">
        <v>192</v>
      </c>
      <c r="O1113">
        <f>IF(Tickets[[#This Row],[Ticket Priority]]="Critical",24,
IF(Tickets[[#This Row],[Ticket Priority]]="High",48,
IF(Tickets[[#This Row],[Ticket Priority]]="Medium",120,168)))</f>
        <v>120</v>
      </c>
      <c r="P1113" t="str">
        <f>IF(Tickets[[#This Row],[Resolution Duration Hours]] &lt;= Tickets[[#This Row],[SLA_Target_Hours]], "Yes", "No")</f>
        <v>No</v>
      </c>
    </row>
    <row r="1114" spans="1:16" hidden="1">
      <c r="A1114">
        <v>1113</v>
      </c>
      <c r="B1114" t="s">
        <v>1118</v>
      </c>
      <c r="C1114" t="s">
        <v>3093</v>
      </c>
      <c r="D1114" t="s">
        <v>3996</v>
      </c>
      <c r="E1114" s="1">
        <v>44447</v>
      </c>
      <c r="F1114" t="s">
        <v>4002</v>
      </c>
      <c r="G1114" t="s">
        <v>4006</v>
      </c>
      <c r="H1114" t="s">
        <v>4018</v>
      </c>
      <c r="I1114" t="s">
        <v>4023</v>
      </c>
      <c r="J1114" t="s">
        <v>4026</v>
      </c>
      <c r="K1114" s="2">
        <v>44770</v>
      </c>
      <c r="L1114" s="2">
        <v>44774</v>
      </c>
      <c r="M1114">
        <v>5</v>
      </c>
      <c r="N1114">
        <v>96</v>
      </c>
      <c r="O1114">
        <f>IF(Tickets[[#This Row],[Ticket Priority]]="Critical",24,
IF(Tickets[[#This Row],[Ticket Priority]]="High",48,
IF(Tickets[[#This Row],[Ticket Priority]]="Medium",120,168)))</f>
        <v>120</v>
      </c>
      <c r="P1114" t="str">
        <f>IF(Tickets[[#This Row],[Resolution Duration Hours]] &lt;= Tickets[[#This Row],[SLA_Target_Hours]], "Yes", "No")</f>
        <v>Yes</v>
      </c>
    </row>
    <row r="1115" spans="1:16" hidden="1">
      <c r="A1115">
        <v>1114</v>
      </c>
      <c r="B1115" t="s">
        <v>1119</v>
      </c>
      <c r="C1115" t="s">
        <v>3094</v>
      </c>
      <c r="D1115" t="s">
        <v>3992</v>
      </c>
      <c r="E1115" s="1">
        <v>44853</v>
      </c>
      <c r="F1115" t="s">
        <v>3999</v>
      </c>
      <c r="G1115" t="s">
        <v>4000</v>
      </c>
      <c r="H1115" t="s">
        <v>4018</v>
      </c>
      <c r="I1115" t="s">
        <v>4023</v>
      </c>
      <c r="J1115" t="s">
        <v>4026</v>
      </c>
      <c r="K1115" s="2">
        <v>45103</v>
      </c>
      <c r="L1115" s="2">
        <v>45105</v>
      </c>
      <c r="N1115">
        <v>48</v>
      </c>
      <c r="O1115">
        <f>IF(Tickets[[#This Row],[Ticket Priority]]="Critical",24,
IF(Tickets[[#This Row],[Ticket Priority]]="High",48,
IF(Tickets[[#This Row],[Ticket Priority]]="Medium",120,168)))</f>
        <v>120</v>
      </c>
      <c r="P1115" t="str">
        <f>IF(Tickets[[#This Row],[Resolution Duration Hours]] &lt;= Tickets[[#This Row],[SLA_Target_Hours]], "Yes", "No")</f>
        <v>Yes</v>
      </c>
    </row>
    <row r="1116" spans="1:16" hidden="1">
      <c r="A1116">
        <v>1115</v>
      </c>
      <c r="B1116" t="s">
        <v>1120</v>
      </c>
      <c r="C1116" t="s">
        <v>3095</v>
      </c>
      <c r="D1116" t="s">
        <v>3983</v>
      </c>
      <c r="E1116" s="1">
        <v>44401</v>
      </c>
      <c r="F1116" t="s">
        <v>4002</v>
      </c>
      <c r="G1116" t="s">
        <v>4008</v>
      </c>
      <c r="H1116" t="s">
        <v>4018</v>
      </c>
      <c r="I1116" t="s">
        <v>4021</v>
      </c>
      <c r="J1116" t="s">
        <v>4028</v>
      </c>
      <c r="K1116" s="2">
        <v>44527</v>
      </c>
      <c r="L1116" s="2">
        <v>44529</v>
      </c>
      <c r="N1116">
        <v>48</v>
      </c>
      <c r="O1116">
        <f>IF(Tickets[[#This Row],[Ticket Priority]]="Critical",24,
IF(Tickets[[#This Row],[Ticket Priority]]="High",48,
IF(Tickets[[#This Row],[Ticket Priority]]="Medium",120,168)))</f>
        <v>48</v>
      </c>
      <c r="P1116" t="str">
        <f>IF(Tickets[[#This Row],[Resolution Duration Hours]] &lt;= Tickets[[#This Row],[SLA_Target_Hours]], "Yes", "No")</f>
        <v>Yes</v>
      </c>
    </row>
    <row r="1117" spans="1:16" hidden="1">
      <c r="A1117">
        <v>1116</v>
      </c>
      <c r="B1117" t="s">
        <v>1121</v>
      </c>
      <c r="C1117" t="s">
        <v>3096</v>
      </c>
      <c r="D1117" t="s">
        <v>3992</v>
      </c>
      <c r="E1117" s="1">
        <v>44575</v>
      </c>
      <c r="F1117" t="s">
        <v>4001</v>
      </c>
      <c r="G1117" t="s">
        <v>4004</v>
      </c>
      <c r="H1117" t="s">
        <v>4020</v>
      </c>
      <c r="I1117" t="s">
        <v>4021</v>
      </c>
      <c r="J1117" t="s">
        <v>4025</v>
      </c>
      <c r="K1117" s="2">
        <v>44882</v>
      </c>
      <c r="L1117" s="2">
        <v>44884</v>
      </c>
      <c r="N1117">
        <v>48</v>
      </c>
      <c r="O1117">
        <f>IF(Tickets[[#This Row],[Ticket Priority]]="Critical",24,
IF(Tickets[[#This Row],[Ticket Priority]]="High",48,
IF(Tickets[[#This Row],[Ticket Priority]]="Medium",120,168)))</f>
        <v>48</v>
      </c>
      <c r="P1117" t="str">
        <f>IF(Tickets[[#This Row],[Resolution Duration Hours]] &lt;= Tickets[[#This Row],[SLA_Target_Hours]], "Yes", "No")</f>
        <v>Yes</v>
      </c>
    </row>
    <row r="1118" spans="1:16" hidden="1">
      <c r="A1118">
        <v>1117</v>
      </c>
      <c r="B1118" t="s">
        <v>1122</v>
      </c>
      <c r="C1118" t="s">
        <v>3097</v>
      </c>
      <c r="D1118" t="s">
        <v>3983</v>
      </c>
      <c r="E1118" s="1">
        <v>44504</v>
      </c>
      <c r="F1118" t="s">
        <v>4000</v>
      </c>
      <c r="G1118" t="s">
        <v>4015</v>
      </c>
      <c r="H1118" t="s">
        <v>4018</v>
      </c>
      <c r="I1118" t="s">
        <v>4023</v>
      </c>
      <c r="J1118" t="s">
        <v>4026</v>
      </c>
      <c r="K1118" s="2">
        <v>44637</v>
      </c>
      <c r="L1118" s="2">
        <v>44641</v>
      </c>
      <c r="M1118">
        <v>4</v>
      </c>
      <c r="N1118">
        <v>96</v>
      </c>
      <c r="O1118">
        <f>IF(Tickets[[#This Row],[Ticket Priority]]="Critical",24,
IF(Tickets[[#This Row],[Ticket Priority]]="High",48,
IF(Tickets[[#This Row],[Ticket Priority]]="Medium",120,168)))</f>
        <v>120</v>
      </c>
      <c r="P1118" t="str">
        <f>IF(Tickets[[#This Row],[Resolution Duration Hours]] &lt;= Tickets[[#This Row],[SLA_Target_Hours]], "Yes", "No")</f>
        <v>Yes</v>
      </c>
    </row>
    <row r="1119" spans="1:16" hidden="1">
      <c r="A1119">
        <v>1118</v>
      </c>
      <c r="B1119" t="s">
        <v>1123</v>
      </c>
      <c r="C1119" t="s">
        <v>3098</v>
      </c>
      <c r="D1119" t="s">
        <v>3994</v>
      </c>
      <c r="E1119" s="1">
        <v>44694</v>
      </c>
      <c r="F1119" t="s">
        <v>3998</v>
      </c>
      <c r="G1119" t="s">
        <v>4009</v>
      </c>
      <c r="H1119" t="s">
        <v>4020</v>
      </c>
      <c r="I1119" t="s">
        <v>4021</v>
      </c>
      <c r="J1119" t="s">
        <v>4026</v>
      </c>
      <c r="K1119" s="2">
        <v>44851</v>
      </c>
      <c r="L1119" s="2">
        <v>44853</v>
      </c>
      <c r="N1119">
        <v>48</v>
      </c>
      <c r="O1119">
        <f>IF(Tickets[[#This Row],[Ticket Priority]]="Critical",24,
IF(Tickets[[#This Row],[Ticket Priority]]="High",48,
IF(Tickets[[#This Row],[Ticket Priority]]="Medium",120,168)))</f>
        <v>48</v>
      </c>
      <c r="P1119" t="str">
        <f>IF(Tickets[[#This Row],[Resolution Duration Hours]] &lt;= Tickets[[#This Row],[SLA_Target_Hours]], "Yes", "No")</f>
        <v>Yes</v>
      </c>
    </row>
    <row r="1120" spans="1:16" hidden="1">
      <c r="A1120">
        <v>1119</v>
      </c>
      <c r="B1120" t="s">
        <v>1124</v>
      </c>
      <c r="C1120" t="s">
        <v>3099</v>
      </c>
      <c r="D1120" t="s">
        <v>3983</v>
      </c>
      <c r="E1120" s="1">
        <v>45058</v>
      </c>
      <c r="F1120" t="s">
        <v>3999</v>
      </c>
      <c r="G1120" t="s">
        <v>4008</v>
      </c>
      <c r="H1120" t="s">
        <v>4018</v>
      </c>
      <c r="I1120" t="s">
        <v>4022</v>
      </c>
      <c r="J1120" t="s">
        <v>4025</v>
      </c>
      <c r="K1120" s="2">
        <v>45124</v>
      </c>
      <c r="L1120" s="2">
        <v>45124</v>
      </c>
      <c r="M1120">
        <v>5</v>
      </c>
      <c r="N1120">
        <v>0</v>
      </c>
      <c r="O1120">
        <f>IF(Tickets[[#This Row],[Ticket Priority]]="Critical",24,
IF(Tickets[[#This Row],[Ticket Priority]]="High",48,
IF(Tickets[[#This Row],[Ticket Priority]]="Medium",120,168)))</f>
        <v>24</v>
      </c>
      <c r="P1120" t="str">
        <f>IF(Tickets[[#This Row],[Resolution Duration Hours]] &lt;= Tickets[[#This Row],[SLA_Target_Hours]], "Yes", "No")</f>
        <v>Yes</v>
      </c>
    </row>
    <row r="1121" spans="1:16" hidden="1">
      <c r="A1121">
        <v>1120</v>
      </c>
      <c r="B1121" t="s">
        <v>1125</v>
      </c>
      <c r="C1121" t="s">
        <v>3100</v>
      </c>
      <c r="D1121" t="s">
        <v>3988</v>
      </c>
      <c r="E1121" s="1">
        <v>43839</v>
      </c>
      <c r="F1121" t="s">
        <v>4002</v>
      </c>
      <c r="G1121" t="s">
        <v>4012</v>
      </c>
      <c r="H1121" t="s">
        <v>4020</v>
      </c>
      <c r="I1121" t="s">
        <v>4021</v>
      </c>
      <c r="J1121" t="s">
        <v>4026</v>
      </c>
      <c r="K1121" s="2">
        <v>44174</v>
      </c>
      <c r="L1121" s="2">
        <v>44175</v>
      </c>
      <c r="N1121">
        <v>24</v>
      </c>
      <c r="O1121">
        <f>IF(Tickets[[#This Row],[Ticket Priority]]="Critical",24,
IF(Tickets[[#This Row],[Ticket Priority]]="High",48,
IF(Tickets[[#This Row],[Ticket Priority]]="Medium",120,168)))</f>
        <v>48</v>
      </c>
      <c r="P1121" t="str">
        <f>IF(Tickets[[#This Row],[Resolution Duration Hours]] &lt;= Tickets[[#This Row],[SLA_Target_Hours]], "Yes", "No")</f>
        <v>Yes</v>
      </c>
    </row>
    <row r="1122" spans="1:16" hidden="1">
      <c r="A1122">
        <v>1121</v>
      </c>
      <c r="B1122" t="s">
        <v>1126</v>
      </c>
      <c r="C1122" t="s">
        <v>3101</v>
      </c>
      <c r="D1122" t="s">
        <v>3982</v>
      </c>
      <c r="E1122" s="1">
        <v>44704</v>
      </c>
      <c r="F1122" t="s">
        <v>3998</v>
      </c>
      <c r="G1122" t="s">
        <v>4003</v>
      </c>
      <c r="H1122" t="s">
        <v>4017</v>
      </c>
      <c r="I1122" t="s">
        <v>4021</v>
      </c>
      <c r="J1122" t="s">
        <v>4026</v>
      </c>
      <c r="K1122" s="2">
        <v>44895</v>
      </c>
      <c r="L1122" s="2">
        <v>44895</v>
      </c>
      <c r="N1122">
        <v>0</v>
      </c>
      <c r="O1122">
        <f>IF(Tickets[[#This Row],[Ticket Priority]]="Critical",24,
IF(Tickets[[#This Row],[Ticket Priority]]="High",48,
IF(Tickets[[#This Row],[Ticket Priority]]="Medium",120,168)))</f>
        <v>48</v>
      </c>
      <c r="P1122" t="str">
        <f>IF(Tickets[[#This Row],[Resolution Duration Hours]] &lt;= Tickets[[#This Row],[SLA_Target_Hours]], "Yes", "No")</f>
        <v>Yes</v>
      </c>
    </row>
    <row r="1123" spans="1:16" hidden="1">
      <c r="A1123">
        <v>1122</v>
      </c>
      <c r="B1123" t="s">
        <v>1127</v>
      </c>
      <c r="C1123" t="s">
        <v>3102</v>
      </c>
      <c r="D1123" t="s">
        <v>3997</v>
      </c>
      <c r="E1123" s="1">
        <v>44097</v>
      </c>
      <c r="F1123" t="s">
        <v>4002</v>
      </c>
      <c r="G1123" t="s">
        <v>4010</v>
      </c>
      <c r="H1123" t="s">
        <v>4017</v>
      </c>
      <c r="I1123" t="s">
        <v>4022</v>
      </c>
      <c r="J1123" t="s">
        <v>4028</v>
      </c>
      <c r="K1123" s="2">
        <v>44300</v>
      </c>
      <c r="L1123" s="2">
        <v>44301</v>
      </c>
      <c r="N1123">
        <v>24</v>
      </c>
      <c r="O1123">
        <f>IF(Tickets[[#This Row],[Ticket Priority]]="Critical",24,
IF(Tickets[[#This Row],[Ticket Priority]]="High",48,
IF(Tickets[[#This Row],[Ticket Priority]]="Medium",120,168)))</f>
        <v>24</v>
      </c>
      <c r="P1123" t="str">
        <f>IF(Tickets[[#This Row],[Resolution Duration Hours]] &lt;= Tickets[[#This Row],[SLA_Target_Hours]], "Yes", "No")</f>
        <v>Yes</v>
      </c>
    </row>
    <row r="1124" spans="1:16">
      <c r="A1124">
        <v>925</v>
      </c>
      <c r="B1124" t="s">
        <v>933</v>
      </c>
      <c r="C1124" t="s">
        <v>2907</v>
      </c>
      <c r="D1124" t="s">
        <v>3995</v>
      </c>
      <c r="E1124" s="1">
        <v>44065</v>
      </c>
      <c r="F1124" t="s">
        <v>3999</v>
      </c>
      <c r="G1124" t="s">
        <v>4014</v>
      </c>
      <c r="H1124" t="s">
        <v>4017</v>
      </c>
      <c r="I1124" t="s">
        <v>4024</v>
      </c>
      <c r="J1124" t="s">
        <v>4026</v>
      </c>
      <c r="K1124" s="2">
        <v>44378</v>
      </c>
      <c r="L1124" s="2">
        <v>44386</v>
      </c>
      <c r="N1124">
        <v>192</v>
      </c>
      <c r="O1124">
        <f>IF(Tickets[[#This Row],[Ticket Priority]]="Critical",24,
IF(Tickets[[#This Row],[Ticket Priority]]="High",48,
IF(Tickets[[#This Row],[Ticket Priority]]="Medium",120,168)))</f>
        <v>168</v>
      </c>
      <c r="P1124" t="str">
        <f>IF(Tickets[[#This Row],[Resolution Duration Hours]] &lt;= Tickets[[#This Row],[SLA_Target_Hours]], "Yes", "No")</f>
        <v>No</v>
      </c>
    </row>
    <row r="1125" spans="1:16">
      <c r="A1125">
        <v>982</v>
      </c>
      <c r="B1125" t="s">
        <v>989</v>
      </c>
      <c r="C1125" t="s">
        <v>2964</v>
      </c>
      <c r="D1125" t="s">
        <v>3990</v>
      </c>
      <c r="E1125" s="1">
        <v>44785</v>
      </c>
      <c r="F1125" t="s">
        <v>4001</v>
      </c>
      <c r="G1125" t="s">
        <v>4010</v>
      </c>
      <c r="H1125" t="s">
        <v>4020</v>
      </c>
      <c r="I1125" t="s">
        <v>4024</v>
      </c>
      <c r="J1125" t="s">
        <v>4026</v>
      </c>
      <c r="K1125" s="2">
        <v>44942</v>
      </c>
      <c r="L1125" s="2">
        <v>44950</v>
      </c>
      <c r="N1125">
        <v>192</v>
      </c>
      <c r="O1125">
        <f>IF(Tickets[[#This Row],[Ticket Priority]]="Critical",24,
IF(Tickets[[#This Row],[Ticket Priority]]="High",48,
IF(Tickets[[#This Row],[Ticket Priority]]="Medium",120,168)))</f>
        <v>168</v>
      </c>
      <c r="P1125" t="str">
        <f>IF(Tickets[[#This Row],[Resolution Duration Hours]] &lt;= Tickets[[#This Row],[SLA_Target_Hours]], "Yes", "No")</f>
        <v>No</v>
      </c>
    </row>
    <row r="1126" spans="1:16">
      <c r="A1126">
        <v>996</v>
      </c>
      <c r="B1126" t="s">
        <v>1003</v>
      </c>
      <c r="C1126" t="s">
        <v>2978</v>
      </c>
      <c r="D1126" t="s">
        <v>3982</v>
      </c>
      <c r="E1126" s="1">
        <v>44029</v>
      </c>
      <c r="F1126" t="s">
        <v>3999</v>
      </c>
      <c r="G1126" t="s">
        <v>4014</v>
      </c>
      <c r="H1126" t="s">
        <v>4018</v>
      </c>
      <c r="I1126" t="s">
        <v>4024</v>
      </c>
      <c r="J1126" t="s">
        <v>4025</v>
      </c>
      <c r="K1126" s="2">
        <v>44130</v>
      </c>
      <c r="L1126" s="2">
        <v>44138</v>
      </c>
      <c r="M1126">
        <v>3</v>
      </c>
      <c r="N1126">
        <v>192</v>
      </c>
      <c r="O1126">
        <f>IF(Tickets[[#This Row],[Ticket Priority]]="Critical",24,
IF(Tickets[[#This Row],[Ticket Priority]]="High",48,
IF(Tickets[[#This Row],[Ticket Priority]]="Medium",120,168)))</f>
        <v>168</v>
      </c>
      <c r="P1126" t="str">
        <f>IF(Tickets[[#This Row],[Resolution Duration Hours]] &lt;= Tickets[[#This Row],[SLA_Target_Hours]], "Yes", "No")</f>
        <v>No</v>
      </c>
    </row>
    <row r="1127" spans="1:16">
      <c r="A1127">
        <v>1007</v>
      </c>
      <c r="B1127" t="s">
        <v>1014</v>
      </c>
      <c r="C1127" t="s">
        <v>2989</v>
      </c>
      <c r="D1127" t="s">
        <v>3979</v>
      </c>
      <c r="E1127" s="1">
        <v>44097</v>
      </c>
      <c r="F1127" t="s">
        <v>3999</v>
      </c>
      <c r="G1127" t="s">
        <v>4016</v>
      </c>
      <c r="H1127" t="s">
        <v>4017</v>
      </c>
      <c r="I1127" t="s">
        <v>4024</v>
      </c>
      <c r="J1127" t="s">
        <v>4025</v>
      </c>
      <c r="K1127" s="2">
        <v>44262</v>
      </c>
      <c r="L1127" s="2">
        <v>44270</v>
      </c>
      <c r="N1127">
        <v>192</v>
      </c>
      <c r="O1127">
        <f>IF(Tickets[[#This Row],[Ticket Priority]]="Critical",24,
IF(Tickets[[#This Row],[Ticket Priority]]="High",48,
IF(Tickets[[#This Row],[Ticket Priority]]="Medium",120,168)))</f>
        <v>168</v>
      </c>
      <c r="P1127" t="str">
        <f>IF(Tickets[[#This Row],[Resolution Duration Hours]] &lt;= Tickets[[#This Row],[SLA_Target_Hours]], "Yes", "No")</f>
        <v>No</v>
      </c>
    </row>
    <row r="1128" spans="1:16">
      <c r="A1128">
        <v>1048</v>
      </c>
      <c r="B1128" t="s">
        <v>1055</v>
      </c>
      <c r="C1128" t="s">
        <v>3029</v>
      </c>
      <c r="D1128" t="s">
        <v>3990</v>
      </c>
      <c r="E1128" s="1">
        <v>45068</v>
      </c>
      <c r="F1128" t="s">
        <v>4001</v>
      </c>
      <c r="G1128" t="s">
        <v>4009</v>
      </c>
      <c r="H1128" t="s">
        <v>4018</v>
      </c>
      <c r="I1128" t="s">
        <v>4024</v>
      </c>
      <c r="J1128" t="s">
        <v>4026</v>
      </c>
      <c r="K1128" s="2">
        <v>45268</v>
      </c>
      <c r="L1128" s="2">
        <v>45276</v>
      </c>
      <c r="M1128">
        <v>3</v>
      </c>
      <c r="N1128">
        <v>192</v>
      </c>
      <c r="O1128">
        <f>IF(Tickets[[#This Row],[Ticket Priority]]="Critical",24,
IF(Tickets[[#This Row],[Ticket Priority]]="High",48,
IF(Tickets[[#This Row],[Ticket Priority]]="Medium",120,168)))</f>
        <v>168</v>
      </c>
      <c r="P1128" t="str">
        <f>IF(Tickets[[#This Row],[Resolution Duration Hours]] &lt;= Tickets[[#This Row],[SLA_Target_Hours]], "Yes", "No")</f>
        <v>No</v>
      </c>
    </row>
    <row r="1129" spans="1:16" hidden="1">
      <c r="A1129">
        <v>1128</v>
      </c>
      <c r="B1129" t="s">
        <v>1133</v>
      </c>
      <c r="C1129" t="s">
        <v>3108</v>
      </c>
      <c r="D1129" t="s">
        <v>3992</v>
      </c>
      <c r="E1129" s="1">
        <v>44625</v>
      </c>
      <c r="F1129" t="s">
        <v>4002</v>
      </c>
      <c r="G1129" t="s">
        <v>4016</v>
      </c>
      <c r="H1129" t="s">
        <v>4018</v>
      </c>
      <c r="I1129" t="s">
        <v>4023</v>
      </c>
      <c r="J1129" t="s">
        <v>4028</v>
      </c>
      <c r="K1129" s="2">
        <v>44913</v>
      </c>
      <c r="L1129" s="2">
        <v>44917</v>
      </c>
      <c r="N1129">
        <v>96</v>
      </c>
      <c r="O1129">
        <f>IF(Tickets[[#This Row],[Ticket Priority]]="Critical",24,
IF(Tickets[[#This Row],[Ticket Priority]]="High",48,
IF(Tickets[[#This Row],[Ticket Priority]]="Medium",120,168)))</f>
        <v>120</v>
      </c>
      <c r="P1129" t="str">
        <f>IF(Tickets[[#This Row],[Resolution Duration Hours]] &lt;= Tickets[[#This Row],[SLA_Target_Hours]], "Yes", "No")</f>
        <v>Yes</v>
      </c>
    </row>
    <row r="1130" spans="1:16" hidden="1">
      <c r="A1130">
        <v>1129</v>
      </c>
      <c r="B1130" t="s">
        <v>1134</v>
      </c>
      <c r="C1130" t="s">
        <v>3109</v>
      </c>
      <c r="D1130" t="s">
        <v>3980</v>
      </c>
      <c r="E1130" s="1">
        <v>43951</v>
      </c>
      <c r="F1130" t="s">
        <v>4001</v>
      </c>
      <c r="G1130" t="s">
        <v>4008</v>
      </c>
      <c r="H1130" t="s">
        <v>4020</v>
      </c>
      <c r="I1130" t="s">
        <v>4023</v>
      </c>
      <c r="J1130" t="s">
        <v>4025</v>
      </c>
      <c r="K1130" s="2">
        <v>44078</v>
      </c>
      <c r="L1130" s="2">
        <v>44079</v>
      </c>
      <c r="N1130">
        <v>24</v>
      </c>
      <c r="O1130">
        <f>IF(Tickets[[#This Row],[Ticket Priority]]="Critical",24,
IF(Tickets[[#This Row],[Ticket Priority]]="High",48,
IF(Tickets[[#This Row],[Ticket Priority]]="Medium",120,168)))</f>
        <v>120</v>
      </c>
      <c r="P1130" t="str">
        <f>IF(Tickets[[#This Row],[Resolution Duration Hours]] &lt;= Tickets[[#This Row],[SLA_Target_Hours]], "Yes", "No")</f>
        <v>Yes</v>
      </c>
    </row>
    <row r="1131" spans="1:16" hidden="1">
      <c r="A1131">
        <v>1130</v>
      </c>
      <c r="B1131" t="s">
        <v>1135</v>
      </c>
      <c r="C1131" t="s">
        <v>3110</v>
      </c>
      <c r="D1131" t="s">
        <v>3992</v>
      </c>
      <c r="E1131" s="1">
        <v>44394</v>
      </c>
      <c r="F1131" t="s">
        <v>3998</v>
      </c>
      <c r="G1131" t="s">
        <v>4000</v>
      </c>
      <c r="H1131" t="s">
        <v>4017</v>
      </c>
      <c r="I1131" t="s">
        <v>4024</v>
      </c>
      <c r="J1131" t="s">
        <v>4028</v>
      </c>
      <c r="K1131" s="2">
        <v>44523</v>
      </c>
      <c r="L1131" s="2">
        <v>44529</v>
      </c>
      <c r="N1131">
        <v>144</v>
      </c>
      <c r="O1131">
        <f>IF(Tickets[[#This Row],[Ticket Priority]]="Critical",24,
IF(Tickets[[#This Row],[Ticket Priority]]="High",48,
IF(Tickets[[#This Row],[Ticket Priority]]="Medium",120,168)))</f>
        <v>168</v>
      </c>
      <c r="P1131" t="str">
        <f>IF(Tickets[[#This Row],[Resolution Duration Hours]] &lt;= Tickets[[#This Row],[SLA_Target_Hours]], "Yes", "No")</f>
        <v>Yes</v>
      </c>
    </row>
    <row r="1132" spans="1:16" hidden="1">
      <c r="A1132">
        <v>1131</v>
      </c>
      <c r="B1132" t="s">
        <v>1136</v>
      </c>
      <c r="C1132" t="s">
        <v>3111</v>
      </c>
      <c r="D1132" t="s">
        <v>3987</v>
      </c>
      <c r="E1132" s="1">
        <v>44419</v>
      </c>
      <c r="F1132" t="s">
        <v>3999</v>
      </c>
      <c r="G1132" t="s">
        <v>4011</v>
      </c>
      <c r="H1132" t="s">
        <v>4018</v>
      </c>
      <c r="I1132" t="s">
        <v>4024</v>
      </c>
      <c r="J1132" t="s">
        <v>4028</v>
      </c>
      <c r="K1132" s="2">
        <v>44556</v>
      </c>
      <c r="L1132" s="2">
        <v>44560</v>
      </c>
      <c r="M1132">
        <v>5</v>
      </c>
      <c r="N1132">
        <v>96</v>
      </c>
      <c r="O1132">
        <f>IF(Tickets[[#This Row],[Ticket Priority]]="Critical",24,
IF(Tickets[[#This Row],[Ticket Priority]]="High",48,
IF(Tickets[[#This Row],[Ticket Priority]]="Medium",120,168)))</f>
        <v>168</v>
      </c>
      <c r="P1132" t="str">
        <f>IF(Tickets[[#This Row],[Resolution Duration Hours]] &lt;= Tickets[[#This Row],[SLA_Target_Hours]], "Yes", "No")</f>
        <v>Yes</v>
      </c>
    </row>
    <row r="1133" spans="1:16" hidden="1">
      <c r="A1133">
        <v>1132</v>
      </c>
      <c r="B1133" t="s">
        <v>1137</v>
      </c>
      <c r="C1133" t="s">
        <v>3112</v>
      </c>
      <c r="D1133" t="s">
        <v>3997</v>
      </c>
      <c r="E1133" s="1">
        <v>44372</v>
      </c>
      <c r="F1133" t="s">
        <v>4000</v>
      </c>
      <c r="G1133" t="s">
        <v>4014</v>
      </c>
      <c r="H1133" t="s">
        <v>4017</v>
      </c>
      <c r="I1133" t="s">
        <v>4024</v>
      </c>
      <c r="J1133" t="s">
        <v>4028</v>
      </c>
      <c r="K1133" s="2">
        <v>44656</v>
      </c>
      <c r="L1133" s="2">
        <v>44662</v>
      </c>
      <c r="N1133">
        <v>144</v>
      </c>
      <c r="O1133">
        <f>IF(Tickets[[#This Row],[Ticket Priority]]="Critical",24,
IF(Tickets[[#This Row],[Ticket Priority]]="High",48,
IF(Tickets[[#This Row],[Ticket Priority]]="Medium",120,168)))</f>
        <v>168</v>
      </c>
      <c r="P1133" t="str">
        <f>IF(Tickets[[#This Row],[Resolution Duration Hours]] &lt;= Tickets[[#This Row],[SLA_Target_Hours]], "Yes", "No")</f>
        <v>Yes</v>
      </c>
    </row>
    <row r="1134" spans="1:16" hidden="1">
      <c r="A1134">
        <v>1133</v>
      </c>
      <c r="B1134" t="s">
        <v>1138</v>
      </c>
      <c r="C1134" t="s">
        <v>3113</v>
      </c>
      <c r="D1134" t="s">
        <v>3987</v>
      </c>
      <c r="E1134" s="1">
        <v>44111</v>
      </c>
      <c r="F1134" t="s">
        <v>4000</v>
      </c>
      <c r="G1134" t="s">
        <v>4014</v>
      </c>
      <c r="H1134" t="s">
        <v>4018</v>
      </c>
      <c r="I1134" t="s">
        <v>4021</v>
      </c>
      <c r="J1134" t="s">
        <v>4027</v>
      </c>
      <c r="K1134" s="2">
        <v>44193</v>
      </c>
      <c r="L1134" s="2">
        <v>44195</v>
      </c>
      <c r="M1134">
        <v>4</v>
      </c>
      <c r="N1134">
        <v>48</v>
      </c>
      <c r="O1134">
        <f>IF(Tickets[[#This Row],[Ticket Priority]]="Critical",24,
IF(Tickets[[#This Row],[Ticket Priority]]="High",48,
IF(Tickets[[#This Row],[Ticket Priority]]="Medium",120,168)))</f>
        <v>48</v>
      </c>
      <c r="P1134" t="str">
        <f>IF(Tickets[[#This Row],[Resolution Duration Hours]] &lt;= Tickets[[#This Row],[SLA_Target_Hours]], "Yes", "No")</f>
        <v>Yes</v>
      </c>
    </row>
    <row r="1135" spans="1:16" hidden="1">
      <c r="A1135">
        <v>1134</v>
      </c>
      <c r="B1135" t="s">
        <v>1139</v>
      </c>
      <c r="C1135" t="s">
        <v>3114</v>
      </c>
      <c r="D1135" t="s">
        <v>3997</v>
      </c>
      <c r="E1135" s="1">
        <v>43845</v>
      </c>
      <c r="F1135" t="s">
        <v>3999</v>
      </c>
      <c r="G1135" t="s">
        <v>4015</v>
      </c>
      <c r="H1135" t="s">
        <v>4017</v>
      </c>
      <c r="I1135" t="s">
        <v>4024</v>
      </c>
      <c r="J1135" t="s">
        <v>4026</v>
      </c>
      <c r="K1135" s="2">
        <v>44094</v>
      </c>
      <c r="L1135" s="2">
        <v>44101</v>
      </c>
      <c r="N1135">
        <v>168</v>
      </c>
      <c r="O1135">
        <f>IF(Tickets[[#This Row],[Ticket Priority]]="Critical",24,
IF(Tickets[[#This Row],[Ticket Priority]]="High",48,
IF(Tickets[[#This Row],[Ticket Priority]]="Medium",120,168)))</f>
        <v>168</v>
      </c>
      <c r="P1135" t="str">
        <f>IF(Tickets[[#This Row],[Resolution Duration Hours]] &lt;= Tickets[[#This Row],[SLA_Target_Hours]], "Yes", "No")</f>
        <v>Yes</v>
      </c>
    </row>
    <row r="1136" spans="1:16">
      <c r="A1136">
        <v>1049</v>
      </c>
      <c r="B1136" t="s">
        <v>1056</v>
      </c>
      <c r="C1136" t="s">
        <v>3030</v>
      </c>
      <c r="D1136" t="s">
        <v>3980</v>
      </c>
      <c r="E1136" s="1">
        <v>44332</v>
      </c>
      <c r="F1136" t="s">
        <v>4002</v>
      </c>
      <c r="G1136" t="s">
        <v>4011</v>
      </c>
      <c r="H1136" t="s">
        <v>4020</v>
      </c>
      <c r="I1136" t="s">
        <v>4024</v>
      </c>
      <c r="J1136" t="s">
        <v>4026</v>
      </c>
      <c r="K1136" s="2">
        <v>44487</v>
      </c>
      <c r="L1136" s="2">
        <v>44495</v>
      </c>
      <c r="N1136">
        <v>192</v>
      </c>
      <c r="O1136">
        <f>IF(Tickets[[#This Row],[Ticket Priority]]="Critical",24,
IF(Tickets[[#This Row],[Ticket Priority]]="High",48,
IF(Tickets[[#This Row],[Ticket Priority]]="Medium",120,168)))</f>
        <v>168</v>
      </c>
      <c r="P1136" t="str">
        <f>IF(Tickets[[#This Row],[Resolution Duration Hours]] &lt;= Tickets[[#This Row],[SLA_Target_Hours]], "Yes", "No")</f>
        <v>No</v>
      </c>
    </row>
    <row r="1137" spans="1:16" hidden="1">
      <c r="A1137">
        <v>1136</v>
      </c>
      <c r="B1137" t="s">
        <v>1141</v>
      </c>
      <c r="C1137" t="s">
        <v>3116</v>
      </c>
      <c r="D1137" t="s">
        <v>3990</v>
      </c>
      <c r="E1137" s="1">
        <v>44380</v>
      </c>
      <c r="F1137" t="s">
        <v>3998</v>
      </c>
      <c r="G1137" t="s">
        <v>4015</v>
      </c>
      <c r="H1137" t="s">
        <v>4020</v>
      </c>
      <c r="I1137" t="s">
        <v>4024</v>
      </c>
      <c r="J1137" t="s">
        <v>4026</v>
      </c>
      <c r="K1137" s="2">
        <v>44621</v>
      </c>
      <c r="L1137" s="2">
        <v>44628</v>
      </c>
      <c r="N1137">
        <v>168</v>
      </c>
      <c r="O1137">
        <f>IF(Tickets[[#This Row],[Ticket Priority]]="Critical",24,
IF(Tickets[[#This Row],[Ticket Priority]]="High",48,
IF(Tickets[[#This Row],[Ticket Priority]]="Medium",120,168)))</f>
        <v>168</v>
      </c>
      <c r="P1137" t="str">
        <f>IF(Tickets[[#This Row],[Resolution Duration Hours]] &lt;= Tickets[[#This Row],[SLA_Target_Hours]], "Yes", "No")</f>
        <v>Yes</v>
      </c>
    </row>
    <row r="1138" spans="1:16" hidden="1">
      <c r="A1138">
        <v>1137</v>
      </c>
      <c r="B1138" t="s">
        <v>1142</v>
      </c>
      <c r="C1138" t="s">
        <v>3117</v>
      </c>
      <c r="D1138" t="s">
        <v>3992</v>
      </c>
      <c r="E1138" s="1">
        <v>44305</v>
      </c>
      <c r="F1138" t="s">
        <v>4002</v>
      </c>
      <c r="G1138" t="s">
        <v>4015</v>
      </c>
      <c r="H1138" t="s">
        <v>4017</v>
      </c>
      <c r="I1138" t="s">
        <v>4021</v>
      </c>
      <c r="J1138" t="s">
        <v>4025</v>
      </c>
      <c r="K1138" s="2">
        <v>44310</v>
      </c>
      <c r="L1138" s="2">
        <v>44311</v>
      </c>
      <c r="N1138">
        <v>24</v>
      </c>
      <c r="O1138">
        <f>IF(Tickets[[#This Row],[Ticket Priority]]="Critical",24,
IF(Tickets[[#This Row],[Ticket Priority]]="High",48,
IF(Tickets[[#This Row],[Ticket Priority]]="Medium",120,168)))</f>
        <v>48</v>
      </c>
      <c r="P1138" t="str">
        <f>IF(Tickets[[#This Row],[Resolution Duration Hours]] &lt;= Tickets[[#This Row],[SLA_Target_Hours]], "Yes", "No")</f>
        <v>Yes</v>
      </c>
    </row>
    <row r="1139" spans="1:16" hidden="1">
      <c r="A1139">
        <v>1138</v>
      </c>
      <c r="B1139" t="s">
        <v>1143</v>
      </c>
      <c r="C1139" t="s">
        <v>3118</v>
      </c>
      <c r="D1139" t="s">
        <v>3979</v>
      </c>
      <c r="E1139" s="1">
        <v>44203</v>
      </c>
      <c r="F1139" t="s">
        <v>4002</v>
      </c>
      <c r="G1139" t="s">
        <v>4007</v>
      </c>
      <c r="H1139" t="s">
        <v>4018</v>
      </c>
      <c r="I1139" t="s">
        <v>4021</v>
      </c>
      <c r="J1139" t="s">
        <v>4028</v>
      </c>
      <c r="K1139" s="2">
        <v>44478</v>
      </c>
      <c r="L1139" s="2">
        <v>44478</v>
      </c>
      <c r="M1139">
        <v>4</v>
      </c>
      <c r="N1139">
        <v>0</v>
      </c>
      <c r="O1139">
        <f>IF(Tickets[[#This Row],[Ticket Priority]]="Critical",24,
IF(Tickets[[#This Row],[Ticket Priority]]="High",48,
IF(Tickets[[#This Row],[Ticket Priority]]="Medium",120,168)))</f>
        <v>48</v>
      </c>
      <c r="P1139" t="str">
        <f>IF(Tickets[[#This Row],[Resolution Duration Hours]] &lt;= Tickets[[#This Row],[SLA_Target_Hours]], "Yes", "No")</f>
        <v>Yes</v>
      </c>
    </row>
    <row r="1140" spans="1:16" hidden="1">
      <c r="A1140">
        <v>1139</v>
      </c>
      <c r="B1140" t="s">
        <v>1144</v>
      </c>
      <c r="C1140" t="s">
        <v>3119</v>
      </c>
      <c r="D1140" t="s">
        <v>3989</v>
      </c>
      <c r="E1140" s="1">
        <v>44882</v>
      </c>
      <c r="F1140" t="s">
        <v>3999</v>
      </c>
      <c r="G1140" t="s">
        <v>4004</v>
      </c>
      <c r="H1140" t="s">
        <v>4018</v>
      </c>
      <c r="I1140" t="s">
        <v>4024</v>
      </c>
      <c r="J1140" t="s">
        <v>4025</v>
      </c>
      <c r="K1140" s="2">
        <v>45022</v>
      </c>
      <c r="L1140" s="2">
        <v>45028</v>
      </c>
      <c r="M1140">
        <v>4</v>
      </c>
      <c r="N1140">
        <v>144</v>
      </c>
      <c r="O1140">
        <f>IF(Tickets[[#This Row],[Ticket Priority]]="Critical",24,
IF(Tickets[[#This Row],[Ticket Priority]]="High",48,
IF(Tickets[[#This Row],[Ticket Priority]]="Medium",120,168)))</f>
        <v>168</v>
      </c>
      <c r="P1140" t="str">
        <f>IF(Tickets[[#This Row],[Resolution Duration Hours]] &lt;= Tickets[[#This Row],[SLA_Target_Hours]], "Yes", "No")</f>
        <v>Yes</v>
      </c>
    </row>
    <row r="1141" spans="1:16" hidden="1">
      <c r="A1141">
        <v>1140</v>
      </c>
      <c r="B1141" t="s">
        <v>1145</v>
      </c>
      <c r="C1141" t="s">
        <v>3120</v>
      </c>
      <c r="D1141" t="s">
        <v>3989</v>
      </c>
      <c r="E1141" s="1">
        <v>43842</v>
      </c>
      <c r="F1141" t="s">
        <v>3998</v>
      </c>
      <c r="G1141" t="s">
        <v>4009</v>
      </c>
      <c r="H1141" t="s">
        <v>4018</v>
      </c>
      <c r="I1141" t="s">
        <v>4021</v>
      </c>
      <c r="J1141" t="s">
        <v>4026</v>
      </c>
      <c r="K1141" s="2">
        <v>43881</v>
      </c>
      <c r="L1141" s="2">
        <v>43882</v>
      </c>
      <c r="M1141">
        <v>3</v>
      </c>
      <c r="N1141">
        <v>24</v>
      </c>
      <c r="O1141">
        <f>IF(Tickets[[#This Row],[Ticket Priority]]="Critical",24,
IF(Tickets[[#This Row],[Ticket Priority]]="High",48,
IF(Tickets[[#This Row],[Ticket Priority]]="Medium",120,168)))</f>
        <v>48</v>
      </c>
      <c r="P1141" t="str">
        <f>IF(Tickets[[#This Row],[Resolution Duration Hours]] &lt;= Tickets[[#This Row],[SLA_Target_Hours]], "Yes", "No")</f>
        <v>Yes</v>
      </c>
    </row>
    <row r="1142" spans="1:16" hidden="1">
      <c r="A1142">
        <v>1141</v>
      </c>
      <c r="B1142" t="s">
        <v>1146</v>
      </c>
      <c r="C1142" t="s">
        <v>3121</v>
      </c>
      <c r="D1142" t="s">
        <v>3996</v>
      </c>
      <c r="E1142" s="1">
        <v>44893</v>
      </c>
      <c r="F1142" t="s">
        <v>4000</v>
      </c>
      <c r="G1142" t="s">
        <v>4005</v>
      </c>
      <c r="H1142" t="s">
        <v>4018</v>
      </c>
      <c r="I1142" t="s">
        <v>4024</v>
      </c>
      <c r="J1142" t="s">
        <v>4028</v>
      </c>
      <c r="K1142" s="2">
        <v>45062</v>
      </c>
      <c r="L1142" s="2">
        <v>45068</v>
      </c>
      <c r="M1142">
        <v>3</v>
      </c>
      <c r="N1142">
        <v>144</v>
      </c>
      <c r="O1142">
        <f>IF(Tickets[[#This Row],[Ticket Priority]]="Critical",24,
IF(Tickets[[#This Row],[Ticket Priority]]="High",48,
IF(Tickets[[#This Row],[Ticket Priority]]="Medium",120,168)))</f>
        <v>168</v>
      </c>
      <c r="P1142" t="str">
        <f>IF(Tickets[[#This Row],[Resolution Duration Hours]] &lt;= Tickets[[#This Row],[SLA_Target_Hours]], "Yes", "No")</f>
        <v>Yes</v>
      </c>
    </row>
    <row r="1143" spans="1:16">
      <c r="A1143">
        <v>1052</v>
      </c>
      <c r="B1143" t="s">
        <v>1059</v>
      </c>
      <c r="C1143" t="s">
        <v>3033</v>
      </c>
      <c r="D1143" t="s">
        <v>3996</v>
      </c>
      <c r="E1143" s="1">
        <v>45023</v>
      </c>
      <c r="F1143" t="s">
        <v>3998</v>
      </c>
      <c r="G1143" t="s">
        <v>4008</v>
      </c>
      <c r="H1143" t="s">
        <v>4018</v>
      </c>
      <c r="I1143" t="s">
        <v>4023</v>
      </c>
      <c r="J1143" t="s">
        <v>4028</v>
      </c>
      <c r="K1143" s="2">
        <v>45057</v>
      </c>
      <c r="L1143" s="2">
        <v>45065</v>
      </c>
      <c r="M1143">
        <v>4</v>
      </c>
      <c r="N1143">
        <v>192</v>
      </c>
      <c r="O1143">
        <f>IF(Tickets[[#This Row],[Ticket Priority]]="Critical",24,
IF(Tickets[[#This Row],[Ticket Priority]]="High",48,
IF(Tickets[[#This Row],[Ticket Priority]]="Medium",120,168)))</f>
        <v>120</v>
      </c>
      <c r="P1143" t="str">
        <f>IF(Tickets[[#This Row],[Resolution Duration Hours]] &lt;= Tickets[[#This Row],[SLA_Target_Hours]], "Yes", "No")</f>
        <v>No</v>
      </c>
    </row>
    <row r="1144" spans="1:16" hidden="1">
      <c r="A1144">
        <v>1143</v>
      </c>
      <c r="B1144" t="s">
        <v>1148</v>
      </c>
      <c r="C1144" t="s">
        <v>3123</v>
      </c>
      <c r="D1144" t="s">
        <v>3997</v>
      </c>
      <c r="E1144" s="1">
        <v>44218</v>
      </c>
      <c r="F1144" t="s">
        <v>4000</v>
      </c>
      <c r="G1144" t="s">
        <v>4015</v>
      </c>
      <c r="H1144" t="s">
        <v>4018</v>
      </c>
      <c r="I1144" t="s">
        <v>4023</v>
      </c>
      <c r="J1144" t="s">
        <v>4026</v>
      </c>
      <c r="K1144" s="2">
        <v>44443</v>
      </c>
      <c r="L1144" s="2">
        <v>44447</v>
      </c>
      <c r="M1144">
        <v>3</v>
      </c>
      <c r="N1144">
        <v>96</v>
      </c>
      <c r="O1144">
        <f>IF(Tickets[[#This Row],[Ticket Priority]]="Critical",24,
IF(Tickets[[#This Row],[Ticket Priority]]="High",48,
IF(Tickets[[#This Row],[Ticket Priority]]="Medium",120,168)))</f>
        <v>120</v>
      </c>
      <c r="P1144" t="str">
        <f>IF(Tickets[[#This Row],[Resolution Duration Hours]] &lt;= Tickets[[#This Row],[SLA_Target_Hours]], "Yes", "No")</f>
        <v>Yes</v>
      </c>
    </row>
    <row r="1145" spans="1:16" hidden="1">
      <c r="A1145">
        <v>1144</v>
      </c>
      <c r="B1145" t="s">
        <v>1149</v>
      </c>
      <c r="C1145" t="s">
        <v>3124</v>
      </c>
      <c r="D1145" t="s">
        <v>3986</v>
      </c>
      <c r="E1145" s="1">
        <v>43834</v>
      </c>
      <c r="F1145" t="s">
        <v>3999</v>
      </c>
      <c r="G1145" t="s">
        <v>4015</v>
      </c>
      <c r="H1145" t="s">
        <v>4018</v>
      </c>
      <c r="I1145" t="s">
        <v>4021</v>
      </c>
      <c r="J1145" t="s">
        <v>4028</v>
      </c>
      <c r="K1145" s="2">
        <v>44101</v>
      </c>
      <c r="L1145" s="2">
        <v>44102</v>
      </c>
      <c r="M1145">
        <v>3</v>
      </c>
      <c r="N1145">
        <v>24</v>
      </c>
      <c r="O1145">
        <f>IF(Tickets[[#This Row],[Ticket Priority]]="Critical",24,
IF(Tickets[[#This Row],[Ticket Priority]]="High",48,
IF(Tickets[[#This Row],[Ticket Priority]]="Medium",120,168)))</f>
        <v>48</v>
      </c>
      <c r="P1145" t="str">
        <f>IF(Tickets[[#This Row],[Resolution Duration Hours]] &lt;= Tickets[[#This Row],[SLA_Target_Hours]], "Yes", "No")</f>
        <v>Yes</v>
      </c>
    </row>
    <row r="1146" spans="1:16" hidden="1">
      <c r="A1146">
        <v>1145</v>
      </c>
      <c r="B1146" t="s">
        <v>1150</v>
      </c>
      <c r="C1146" t="s">
        <v>3125</v>
      </c>
      <c r="D1146" t="s">
        <v>3995</v>
      </c>
      <c r="E1146" s="1">
        <v>44790</v>
      </c>
      <c r="F1146" t="s">
        <v>3999</v>
      </c>
      <c r="G1146" t="s">
        <v>4014</v>
      </c>
      <c r="H1146" t="s">
        <v>4017</v>
      </c>
      <c r="I1146" t="s">
        <v>4024</v>
      </c>
      <c r="J1146" t="s">
        <v>4027</v>
      </c>
      <c r="K1146" s="2">
        <v>45076</v>
      </c>
      <c r="L1146" s="2">
        <v>45083</v>
      </c>
      <c r="N1146">
        <v>168</v>
      </c>
      <c r="O1146">
        <f>IF(Tickets[[#This Row],[Ticket Priority]]="Critical",24,
IF(Tickets[[#This Row],[Ticket Priority]]="High",48,
IF(Tickets[[#This Row],[Ticket Priority]]="Medium",120,168)))</f>
        <v>168</v>
      </c>
      <c r="P1146" t="str">
        <f>IF(Tickets[[#This Row],[Resolution Duration Hours]] &lt;= Tickets[[#This Row],[SLA_Target_Hours]], "Yes", "No")</f>
        <v>Yes</v>
      </c>
    </row>
    <row r="1147" spans="1:16">
      <c r="A1147">
        <v>1065</v>
      </c>
      <c r="B1147" t="s">
        <v>1070</v>
      </c>
      <c r="C1147" t="s">
        <v>3046</v>
      </c>
      <c r="D1147" t="s">
        <v>3995</v>
      </c>
      <c r="E1147" s="1">
        <v>44417</v>
      </c>
      <c r="F1147" t="s">
        <v>4001</v>
      </c>
      <c r="G1147" t="s">
        <v>4010</v>
      </c>
      <c r="H1147" t="s">
        <v>4018</v>
      </c>
      <c r="I1147" t="s">
        <v>4024</v>
      </c>
      <c r="J1147" t="s">
        <v>4025</v>
      </c>
      <c r="K1147" s="2">
        <v>44723</v>
      </c>
      <c r="L1147" s="2">
        <v>44731</v>
      </c>
      <c r="M1147">
        <v>4</v>
      </c>
      <c r="N1147">
        <v>192</v>
      </c>
      <c r="O1147">
        <f>IF(Tickets[[#This Row],[Ticket Priority]]="Critical",24,
IF(Tickets[[#This Row],[Ticket Priority]]="High",48,
IF(Tickets[[#This Row],[Ticket Priority]]="Medium",120,168)))</f>
        <v>168</v>
      </c>
      <c r="P1147" t="str">
        <f>IF(Tickets[[#This Row],[Resolution Duration Hours]] &lt;= Tickets[[#This Row],[SLA_Target_Hours]], "Yes", "No")</f>
        <v>No</v>
      </c>
    </row>
    <row r="1148" spans="1:16">
      <c r="A1148">
        <v>1079</v>
      </c>
      <c r="B1148" t="s">
        <v>1084</v>
      </c>
      <c r="C1148" t="s">
        <v>3060</v>
      </c>
      <c r="D1148" t="s">
        <v>3996</v>
      </c>
      <c r="E1148" s="1">
        <v>44480</v>
      </c>
      <c r="F1148" t="s">
        <v>3999</v>
      </c>
      <c r="G1148" t="s">
        <v>4014</v>
      </c>
      <c r="H1148" t="s">
        <v>4018</v>
      </c>
      <c r="I1148" t="s">
        <v>4024</v>
      </c>
      <c r="J1148" t="s">
        <v>4025</v>
      </c>
      <c r="K1148" s="2">
        <v>44827</v>
      </c>
      <c r="L1148" s="2">
        <v>44835</v>
      </c>
      <c r="N1148">
        <v>192</v>
      </c>
      <c r="O1148">
        <f>IF(Tickets[[#This Row],[Ticket Priority]]="Critical",24,
IF(Tickets[[#This Row],[Ticket Priority]]="High",48,
IF(Tickets[[#This Row],[Ticket Priority]]="Medium",120,168)))</f>
        <v>168</v>
      </c>
      <c r="P1148" t="str">
        <f>IF(Tickets[[#This Row],[Resolution Duration Hours]] &lt;= Tickets[[#This Row],[SLA_Target_Hours]], "Yes", "No")</f>
        <v>No</v>
      </c>
    </row>
    <row r="1149" spans="1:16" hidden="1">
      <c r="A1149">
        <v>1148</v>
      </c>
      <c r="B1149" t="s">
        <v>1153</v>
      </c>
      <c r="C1149" t="s">
        <v>3128</v>
      </c>
      <c r="D1149" t="s">
        <v>3987</v>
      </c>
      <c r="E1149" s="1">
        <v>44219</v>
      </c>
      <c r="F1149" t="s">
        <v>3999</v>
      </c>
      <c r="G1149" t="s">
        <v>4013</v>
      </c>
      <c r="H1149" t="s">
        <v>4019</v>
      </c>
      <c r="I1149" t="s">
        <v>4023</v>
      </c>
      <c r="J1149" t="s">
        <v>4025</v>
      </c>
      <c r="K1149" s="2">
        <v>44529</v>
      </c>
      <c r="L1149" s="2">
        <v>44532</v>
      </c>
      <c r="M1149">
        <v>5</v>
      </c>
      <c r="N1149">
        <v>72</v>
      </c>
      <c r="O1149">
        <f>IF(Tickets[[#This Row],[Ticket Priority]]="Critical",24,
IF(Tickets[[#This Row],[Ticket Priority]]="High",48,
IF(Tickets[[#This Row],[Ticket Priority]]="Medium",120,168)))</f>
        <v>120</v>
      </c>
      <c r="P1149" t="str">
        <f>IF(Tickets[[#This Row],[Resolution Duration Hours]] &lt;= Tickets[[#This Row],[SLA_Target_Hours]], "Yes", "No")</f>
        <v>Yes</v>
      </c>
    </row>
    <row r="1150" spans="1:16" hidden="1">
      <c r="A1150">
        <v>1149</v>
      </c>
      <c r="B1150" t="s">
        <v>1154</v>
      </c>
      <c r="C1150" t="s">
        <v>3129</v>
      </c>
      <c r="D1150" t="s">
        <v>3980</v>
      </c>
      <c r="E1150" s="1">
        <v>43999</v>
      </c>
      <c r="F1150" t="s">
        <v>3998</v>
      </c>
      <c r="G1150" t="s">
        <v>4008</v>
      </c>
      <c r="H1150" t="s">
        <v>4018</v>
      </c>
      <c r="I1150" t="s">
        <v>4024</v>
      </c>
      <c r="J1150" t="s">
        <v>4028</v>
      </c>
      <c r="K1150" s="2">
        <v>44014</v>
      </c>
      <c r="L1150" s="2">
        <v>44021</v>
      </c>
      <c r="M1150">
        <v>3</v>
      </c>
      <c r="N1150">
        <v>168</v>
      </c>
      <c r="O1150">
        <f>IF(Tickets[[#This Row],[Ticket Priority]]="Critical",24,
IF(Tickets[[#This Row],[Ticket Priority]]="High",48,
IF(Tickets[[#This Row],[Ticket Priority]]="Medium",120,168)))</f>
        <v>168</v>
      </c>
      <c r="P1150" t="str">
        <f>IF(Tickets[[#This Row],[Resolution Duration Hours]] &lt;= Tickets[[#This Row],[SLA_Target_Hours]], "Yes", "No")</f>
        <v>Yes</v>
      </c>
    </row>
    <row r="1151" spans="1:16" hidden="1">
      <c r="A1151">
        <v>1150</v>
      </c>
      <c r="B1151" t="s">
        <v>1155</v>
      </c>
      <c r="C1151" t="s">
        <v>3130</v>
      </c>
      <c r="D1151" t="s">
        <v>3981</v>
      </c>
      <c r="E1151" s="1">
        <v>44002</v>
      </c>
      <c r="F1151" t="s">
        <v>4001</v>
      </c>
      <c r="G1151" t="s">
        <v>4010</v>
      </c>
      <c r="H1151" t="s">
        <v>4020</v>
      </c>
      <c r="I1151" t="s">
        <v>4024</v>
      </c>
      <c r="J1151" t="s">
        <v>4026</v>
      </c>
      <c r="K1151" s="2">
        <v>44016</v>
      </c>
      <c r="L1151" s="2">
        <v>44022</v>
      </c>
      <c r="N1151">
        <v>144</v>
      </c>
      <c r="O1151">
        <f>IF(Tickets[[#This Row],[Ticket Priority]]="Critical",24,
IF(Tickets[[#This Row],[Ticket Priority]]="High",48,
IF(Tickets[[#This Row],[Ticket Priority]]="Medium",120,168)))</f>
        <v>168</v>
      </c>
      <c r="P1151" t="str">
        <f>IF(Tickets[[#This Row],[Resolution Duration Hours]] &lt;= Tickets[[#This Row],[SLA_Target_Hours]], "Yes", "No")</f>
        <v>Yes</v>
      </c>
    </row>
    <row r="1152" spans="1:16" hidden="1">
      <c r="A1152">
        <v>1151</v>
      </c>
      <c r="B1152" t="s">
        <v>1156</v>
      </c>
      <c r="C1152" t="s">
        <v>3131</v>
      </c>
      <c r="D1152" t="s">
        <v>3984</v>
      </c>
      <c r="E1152" s="1">
        <v>44864</v>
      </c>
      <c r="F1152" t="s">
        <v>4001</v>
      </c>
      <c r="G1152" t="s">
        <v>4007</v>
      </c>
      <c r="H1152" t="s">
        <v>4020</v>
      </c>
      <c r="I1152" t="s">
        <v>4023</v>
      </c>
      <c r="J1152" t="s">
        <v>4028</v>
      </c>
      <c r="K1152" s="2">
        <v>45190</v>
      </c>
      <c r="L1152" s="2">
        <v>45192</v>
      </c>
      <c r="N1152">
        <v>48</v>
      </c>
      <c r="O1152">
        <f>IF(Tickets[[#This Row],[Ticket Priority]]="Critical",24,
IF(Tickets[[#This Row],[Ticket Priority]]="High",48,
IF(Tickets[[#This Row],[Ticket Priority]]="Medium",120,168)))</f>
        <v>120</v>
      </c>
      <c r="P1152" t="str">
        <f>IF(Tickets[[#This Row],[Resolution Duration Hours]] &lt;= Tickets[[#This Row],[SLA_Target_Hours]], "Yes", "No")</f>
        <v>Yes</v>
      </c>
    </row>
    <row r="1153" spans="1:16">
      <c r="A1153">
        <v>1089</v>
      </c>
      <c r="B1153" t="s">
        <v>1094</v>
      </c>
      <c r="C1153" t="s">
        <v>3070</v>
      </c>
      <c r="D1153" t="s">
        <v>3982</v>
      </c>
      <c r="E1153" s="1">
        <v>43835</v>
      </c>
      <c r="F1153" t="s">
        <v>3999</v>
      </c>
      <c r="G1153" t="s">
        <v>4004</v>
      </c>
      <c r="H1153" t="s">
        <v>4017</v>
      </c>
      <c r="I1153" t="s">
        <v>4024</v>
      </c>
      <c r="J1153" t="s">
        <v>4028</v>
      </c>
      <c r="K1153" s="2">
        <v>44023</v>
      </c>
      <c r="L1153" s="2">
        <v>44031</v>
      </c>
      <c r="N1153">
        <v>192</v>
      </c>
      <c r="O1153">
        <f>IF(Tickets[[#This Row],[Ticket Priority]]="Critical",24,
IF(Tickets[[#This Row],[Ticket Priority]]="High",48,
IF(Tickets[[#This Row],[Ticket Priority]]="Medium",120,168)))</f>
        <v>168</v>
      </c>
      <c r="P1153" t="str">
        <f>IF(Tickets[[#This Row],[Resolution Duration Hours]] &lt;= Tickets[[#This Row],[SLA_Target_Hours]], "Yes", "No")</f>
        <v>No</v>
      </c>
    </row>
    <row r="1154" spans="1:16" hidden="1">
      <c r="A1154">
        <v>1153</v>
      </c>
      <c r="B1154" t="s">
        <v>1158</v>
      </c>
      <c r="C1154" t="s">
        <v>3133</v>
      </c>
      <c r="D1154" t="s">
        <v>3994</v>
      </c>
      <c r="E1154" s="1">
        <v>44026</v>
      </c>
      <c r="F1154" t="s">
        <v>3998</v>
      </c>
      <c r="G1154" t="s">
        <v>4005</v>
      </c>
      <c r="H1154" t="s">
        <v>4018</v>
      </c>
      <c r="I1154" t="s">
        <v>4024</v>
      </c>
      <c r="J1154" t="s">
        <v>4026</v>
      </c>
      <c r="K1154" s="2">
        <v>44059</v>
      </c>
      <c r="L1154" s="2">
        <v>44066</v>
      </c>
      <c r="M1154">
        <v>5</v>
      </c>
      <c r="N1154">
        <v>168</v>
      </c>
      <c r="O1154">
        <f>IF(Tickets[[#This Row],[Ticket Priority]]="Critical",24,
IF(Tickets[[#This Row],[Ticket Priority]]="High",48,
IF(Tickets[[#This Row],[Ticket Priority]]="Medium",120,168)))</f>
        <v>168</v>
      </c>
      <c r="P1154" t="str">
        <f>IF(Tickets[[#This Row],[Resolution Duration Hours]] &lt;= Tickets[[#This Row],[SLA_Target_Hours]], "Yes", "No")</f>
        <v>Yes</v>
      </c>
    </row>
    <row r="1155" spans="1:16" hidden="1">
      <c r="A1155">
        <v>1154</v>
      </c>
      <c r="B1155" t="s">
        <v>1159</v>
      </c>
      <c r="C1155" t="s">
        <v>3134</v>
      </c>
      <c r="D1155" t="s">
        <v>3995</v>
      </c>
      <c r="E1155" s="1">
        <v>44758</v>
      </c>
      <c r="F1155" t="s">
        <v>4000</v>
      </c>
      <c r="G1155" t="s">
        <v>4009</v>
      </c>
      <c r="H1155" t="s">
        <v>4018</v>
      </c>
      <c r="I1155" t="s">
        <v>4024</v>
      </c>
      <c r="J1155" t="s">
        <v>4026</v>
      </c>
      <c r="K1155" s="2">
        <v>44846</v>
      </c>
      <c r="L1155" s="2">
        <v>44852</v>
      </c>
      <c r="M1155">
        <v>3</v>
      </c>
      <c r="N1155">
        <v>144</v>
      </c>
      <c r="O1155">
        <f>IF(Tickets[[#This Row],[Ticket Priority]]="Critical",24,
IF(Tickets[[#This Row],[Ticket Priority]]="High",48,
IF(Tickets[[#This Row],[Ticket Priority]]="Medium",120,168)))</f>
        <v>168</v>
      </c>
      <c r="P1155" t="str">
        <f>IF(Tickets[[#This Row],[Resolution Duration Hours]] &lt;= Tickets[[#This Row],[SLA_Target_Hours]], "Yes", "No")</f>
        <v>Yes</v>
      </c>
    </row>
    <row r="1156" spans="1:16" hidden="1">
      <c r="A1156">
        <v>1155</v>
      </c>
      <c r="B1156" t="s">
        <v>1160</v>
      </c>
      <c r="C1156" t="s">
        <v>3135</v>
      </c>
      <c r="D1156" t="s">
        <v>3988</v>
      </c>
      <c r="E1156" s="1">
        <v>44790</v>
      </c>
      <c r="F1156" t="s">
        <v>4001</v>
      </c>
      <c r="G1156" t="s">
        <v>4008</v>
      </c>
      <c r="H1156" t="s">
        <v>4018</v>
      </c>
      <c r="I1156" t="s">
        <v>4021</v>
      </c>
      <c r="J1156" t="s">
        <v>4026</v>
      </c>
      <c r="K1156" s="2">
        <v>45079</v>
      </c>
      <c r="L1156" s="2">
        <v>45079</v>
      </c>
      <c r="M1156">
        <v>3</v>
      </c>
      <c r="N1156">
        <v>0</v>
      </c>
      <c r="O1156">
        <f>IF(Tickets[[#This Row],[Ticket Priority]]="Critical",24,
IF(Tickets[[#This Row],[Ticket Priority]]="High",48,
IF(Tickets[[#This Row],[Ticket Priority]]="Medium",120,168)))</f>
        <v>48</v>
      </c>
      <c r="P1156" t="str">
        <f>IF(Tickets[[#This Row],[Resolution Duration Hours]] &lt;= Tickets[[#This Row],[SLA_Target_Hours]], "Yes", "No")</f>
        <v>Yes</v>
      </c>
    </row>
    <row r="1157" spans="1:16" hidden="1">
      <c r="A1157">
        <v>1156</v>
      </c>
      <c r="B1157" t="s">
        <v>1161</v>
      </c>
      <c r="C1157" t="s">
        <v>3136</v>
      </c>
      <c r="D1157" t="s">
        <v>3987</v>
      </c>
      <c r="E1157" s="1">
        <v>44866</v>
      </c>
      <c r="F1157" t="s">
        <v>4002</v>
      </c>
      <c r="G1157" t="s">
        <v>4015</v>
      </c>
      <c r="H1157" t="s">
        <v>4018</v>
      </c>
      <c r="I1157" t="s">
        <v>4023</v>
      </c>
      <c r="J1157" t="s">
        <v>4028</v>
      </c>
      <c r="K1157" s="2">
        <v>44977</v>
      </c>
      <c r="L1157" s="2">
        <v>44978</v>
      </c>
      <c r="M1157">
        <v>4</v>
      </c>
      <c r="N1157">
        <v>24</v>
      </c>
      <c r="O1157">
        <f>IF(Tickets[[#This Row],[Ticket Priority]]="Critical",24,
IF(Tickets[[#This Row],[Ticket Priority]]="High",48,
IF(Tickets[[#This Row],[Ticket Priority]]="Medium",120,168)))</f>
        <v>120</v>
      </c>
      <c r="P1157" t="str">
        <f>IF(Tickets[[#This Row],[Resolution Duration Hours]] &lt;= Tickets[[#This Row],[SLA_Target_Hours]], "Yes", "No")</f>
        <v>Yes</v>
      </c>
    </row>
    <row r="1158" spans="1:16">
      <c r="A1158">
        <v>1100</v>
      </c>
      <c r="B1158" t="s">
        <v>1105</v>
      </c>
      <c r="C1158" t="s">
        <v>3081</v>
      </c>
      <c r="D1158" t="s">
        <v>3995</v>
      </c>
      <c r="E1158" s="1">
        <v>45068</v>
      </c>
      <c r="F1158" t="s">
        <v>3998</v>
      </c>
      <c r="G1158" t="s">
        <v>4006</v>
      </c>
      <c r="H1158" t="s">
        <v>4018</v>
      </c>
      <c r="I1158" t="s">
        <v>4024</v>
      </c>
      <c r="J1158" t="s">
        <v>4026</v>
      </c>
      <c r="K1158" s="2">
        <v>45390</v>
      </c>
      <c r="L1158" s="2">
        <v>45398</v>
      </c>
      <c r="M1158">
        <v>4</v>
      </c>
      <c r="N1158">
        <v>192</v>
      </c>
      <c r="O1158">
        <f>IF(Tickets[[#This Row],[Ticket Priority]]="Critical",24,
IF(Tickets[[#This Row],[Ticket Priority]]="High",48,
IF(Tickets[[#This Row],[Ticket Priority]]="Medium",120,168)))</f>
        <v>168</v>
      </c>
      <c r="P1158" t="str">
        <f>IF(Tickets[[#This Row],[Resolution Duration Hours]] &lt;= Tickets[[#This Row],[SLA_Target_Hours]], "Yes", "No")</f>
        <v>No</v>
      </c>
    </row>
    <row r="1159" spans="1:16" hidden="1">
      <c r="A1159">
        <v>1158</v>
      </c>
      <c r="B1159" t="s">
        <v>1163</v>
      </c>
      <c r="C1159" t="s">
        <v>3138</v>
      </c>
      <c r="D1159" t="s">
        <v>3989</v>
      </c>
      <c r="E1159" s="1">
        <v>44058</v>
      </c>
      <c r="F1159" t="s">
        <v>3998</v>
      </c>
      <c r="G1159" t="s">
        <v>4007</v>
      </c>
      <c r="H1159" t="s">
        <v>4018</v>
      </c>
      <c r="I1159" t="s">
        <v>4021</v>
      </c>
      <c r="J1159" t="s">
        <v>4028</v>
      </c>
      <c r="K1159" s="2">
        <v>44197</v>
      </c>
      <c r="L1159" s="2">
        <v>44197</v>
      </c>
      <c r="M1159">
        <v>5</v>
      </c>
      <c r="N1159">
        <v>0</v>
      </c>
      <c r="O1159">
        <f>IF(Tickets[[#This Row],[Ticket Priority]]="Critical",24,
IF(Tickets[[#This Row],[Ticket Priority]]="High",48,
IF(Tickets[[#This Row],[Ticket Priority]]="Medium",120,168)))</f>
        <v>48</v>
      </c>
      <c r="P1159" t="str">
        <f>IF(Tickets[[#This Row],[Resolution Duration Hours]] &lt;= Tickets[[#This Row],[SLA_Target_Hours]], "Yes", "No")</f>
        <v>Yes</v>
      </c>
    </row>
    <row r="1160" spans="1:16" hidden="1">
      <c r="A1160">
        <v>1159</v>
      </c>
      <c r="B1160" t="s">
        <v>1164</v>
      </c>
      <c r="C1160" t="s">
        <v>3139</v>
      </c>
      <c r="D1160" t="s">
        <v>3997</v>
      </c>
      <c r="E1160" s="1">
        <v>44814</v>
      </c>
      <c r="F1160" t="s">
        <v>3998</v>
      </c>
      <c r="G1160" t="s">
        <v>4005</v>
      </c>
      <c r="H1160" t="s">
        <v>4018</v>
      </c>
      <c r="I1160" t="s">
        <v>4024</v>
      </c>
      <c r="J1160" t="s">
        <v>4026</v>
      </c>
      <c r="K1160" s="2">
        <v>45044</v>
      </c>
      <c r="L1160" s="2">
        <v>45049</v>
      </c>
      <c r="N1160">
        <v>120</v>
      </c>
      <c r="O1160">
        <f>IF(Tickets[[#This Row],[Ticket Priority]]="Critical",24,
IF(Tickets[[#This Row],[Ticket Priority]]="High",48,
IF(Tickets[[#This Row],[Ticket Priority]]="Medium",120,168)))</f>
        <v>168</v>
      </c>
      <c r="P1160" t="str">
        <f>IF(Tickets[[#This Row],[Resolution Duration Hours]] &lt;= Tickets[[#This Row],[SLA_Target_Hours]], "Yes", "No")</f>
        <v>Yes</v>
      </c>
    </row>
    <row r="1161" spans="1:16" hidden="1">
      <c r="A1161">
        <v>1160</v>
      </c>
      <c r="B1161" t="s">
        <v>1165</v>
      </c>
      <c r="C1161" t="s">
        <v>3140</v>
      </c>
      <c r="D1161" t="s">
        <v>3995</v>
      </c>
      <c r="E1161" s="1">
        <v>44001</v>
      </c>
      <c r="F1161" t="s">
        <v>3999</v>
      </c>
      <c r="G1161" t="s">
        <v>4003</v>
      </c>
      <c r="H1161" t="s">
        <v>4019</v>
      </c>
      <c r="I1161" t="s">
        <v>4024</v>
      </c>
      <c r="J1161" t="s">
        <v>4028</v>
      </c>
      <c r="K1161" s="2">
        <v>44178</v>
      </c>
      <c r="L1161" s="2">
        <v>44185</v>
      </c>
      <c r="M1161">
        <v>5</v>
      </c>
      <c r="N1161">
        <v>168</v>
      </c>
      <c r="O1161">
        <f>IF(Tickets[[#This Row],[Ticket Priority]]="Critical",24,
IF(Tickets[[#This Row],[Ticket Priority]]="High",48,
IF(Tickets[[#This Row],[Ticket Priority]]="Medium",120,168)))</f>
        <v>168</v>
      </c>
      <c r="P1161" t="str">
        <f>IF(Tickets[[#This Row],[Resolution Duration Hours]] &lt;= Tickets[[#This Row],[SLA_Target_Hours]], "Yes", "No")</f>
        <v>Yes</v>
      </c>
    </row>
    <row r="1162" spans="1:16" hidden="1">
      <c r="A1162">
        <v>1161</v>
      </c>
      <c r="B1162" t="s">
        <v>1166</v>
      </c>
      <c r="C1162" t="s">
        <v>3141</v>
      </c>
      <c r="D1162" t="s">
        <v>3989</v>
      </c>
      <c r="E1162" s="1">
        <v>43894</v>
      </c>
      <c r="F1162" t="s">
        <v>4000</v>
      </c>
      <c r="G1162" t="s">
        <v>4009</v>
      </c>
      <c r="H1162" t="s">
        <v>4018</v>
      </c>
      <c r="I1162" t="s">
        <v>4023</v>
      </c>
      <c r="J1162" t="s">
        <v>4028</v>
      </c>
      <c r="K1162" s="2">
        <v>44026</v>
      </c>
      <c r="L1162" s="2">
        <v>44031</v>
      </c>
      <c r="M1162">
        <v>4</v>
      </c>
      <c r="N1162">
        <v>120</v>
      </c>
      <c r="O1162">
        <f>IF(Tickets[[#This Row],[Ticket Priority]]="Critical",24,
IF(Tickets[[#This Row],[Ticket Priority]]="High",48,
IF(Tickets[[#This Row],[Ticket Priority]]="Medium",120,168)))</f>
        <v>120</v>
      </c>
      <c r="P1162" t="str">
        <f>IF(Tickets[[#This Row],[Resolution Duration Hours]] &lt;= Tickets[[#This Row],[SLA_Target_Hours]], "Yes", "No")</f>
        <v>Yes</v>
      </c>
    </row>
    <row r="1163" spans="1:16" hidden="1">
      <c r="A1163">
        <v>1162</v>
      </c>
      <c r="B1163" t="s">
        <v>1167</v>
      </c>
      <c r="C1163" t="s">
        <v>3142</v>
      </c>
      <c r="D1163" t="s">
        <v>3980</v>
      </c>
      <c r="E1163" s="1">
        <v>44118</v>
      </c>
      <c r="F1163" t="s">
        <v>4001</v>
      </c>
      <c r="G1163" t="s">
        <v>4014</v>
      </c>
      <c r="H1163" t="s">
        <v>4017</v>
      </c>
      <c r="I1163" t="s">
        <v>4024</v>
      </c>
      <c r="J1163" t="s">
        <v>4026</v>
      </c>
      <c r="K1163" s="2">
        <v>44311</v>
      </c>
      <c r="L1163" s="2">
        <v>44315</v>
      </c>
      <c r="N1163">
        <v>96</v>
      </c>
      <c r="O1163">
        <f>IF(Tickets[[#This Row],[Ticket Priority]]="Critical",24,
IF(Tickets[[#This Row],[Ticket Priority]]="High",48,
IF(Tickets[[#This Row],[Ticket Priority]]="Medium",120,168)))</f>
        <v>168</v>
      </c>
      <c r="P1163" t="str">
        <f>IF(Tickets[[#This Row],[Resolution Duration Hours]] &lt;= Tickets[[#This Row],[SLA_Target_Hours]], "Yes", "No")</f>
        <v>Yes</v>
      </c>
    </row>
    <row r="1164" spans="1:16" hidden="1">
      <c r="A1164">
        <v>1163</v>
      </c>
      <c r="B1164" t="s">
        <v>1168</v>
      </c>
      <c r="C1164" t="s">
        <v>3143</v>
      </c>
      <c r="D1164" t="s">
        <v>3995</v>
      </c>
      <c r="E1164" s="1">
        <v>45027</v>
      </c>
      <c r="F1164" t="s">
        <v>4002</v>
      </c>
      <c r="G1164" t="s">
        <v>4008</v>
      </c>
      <c r="H1164" t="s">
        <v>4018</v>
      </c>
      <c r="I1164" t="s">
        <v>4023</v>
      </c>
      <c r="J1164" t="s">
        <v>4028</v>
      </c>
      <c r="K1164" s="2">
        <v>45270</v>
      </c>
      <c r="L1164" s="2">
        <v>45270</v>
      </c>
      <c r="M1164">
        <v>3</v>
      </c>
      <c r="N1164">
        <v>0</v>
      </c>
      <c r="O1164">
        <f>IF(Tickets[[#This Row],[Ticket Priority]]="Critical",24,
IF(Tickets[[#This Row],[Ticket Priority]]="High",48,
IF(Tickets[[#This Row],[Ticket Priority]]="Medium",120,168)))</f>
        <v>120</v>
      </c>
      <c r="P1164" t="str">
        <f>IF(Tickets[[#This Row],[Resolution Duration Hours]] &lt;= Tickets[[#This Row],[SLA_Target_Hours]], "Yes", "No")</f>
        <v>Yes</v>
      </c>
    </row>
    <row r="1165" spans="1:16" hidden="1">
      <c r="A1165">
        <v>1164</v>
      </c>
      <c r="B1165" t="s">
        <v>1169</v>
      </c>
      <c r="C1165" t="s">
        <v>3144</v>
      </c>
      <c r="D1165" t="s">
        <v>3984</v>
      </c>
      <c r="E1165" s="1">
        <v>44408</v>
      </c>
      <c r="F1165" t="s">
        <v>3999</v>
      </c>
      <c r="G1165" t="s">
        <v>4011</v>
      </c>
      <c r="H1165" t="s">
        <v>4018</v>
      </c>
      <c r="I1165" t="s">
        <v>4023</v>
      </c>
      <c r="J1165" t="s">
        <v>4026</v>
      </c>
      <c r="K1165" s="2">
        <v>44711</v>
      </c>
      <c r="L1165" s="2">
        <v>44714</v>
      </c>
      <c r="M1165">
        <v>3</v>
      </c>
      <c r="N1165">
        <v>72</v>
      </c>
      <c r="O1165">
        <f>IF(Tickets[[#This Row],[Ticket Priority]]="Critical",24,
IF(Tickets[[#This Row],[Ticket Priority]]="High",48,
IF(Tickets[[#This Row],[Ticket Priority]]="Medium",120,168)))</f>
        <v>120</v>
      </c>
      <c r="P1165" t="str">
        <f>IF(Tickets[[#This Row],[Resolution Duration Hours]] &lt;= Tickets[[#This Row],[SLA_Target_Hours]], "Yes", "No")</f>
        <v>Yes</v>
      </c>
    </row>
    <row r="1166" spans="1:16" hidden="1">
      <c r="A1166">
        <v>1165</v>
      </c>
      <c r="B1166" t="s">
        <v>1170</v>
      </c>
      <c r="C1166" t="s">
        <v>3145</v>
      </c>
      <c r="D1166" t="s">
        <v>3986</v>
      </c>
      <c r="E1166" s="1">
        <v>44765</v>
      </c>
      <c r="F1166" t="s">
        <v>3999</v>
      </c>
      <c r="G1166" t="s">
        <v>4009</v>
      </c>
      <c r="H1166" t="s">
        <v>4018</v>
      </c>
      <c r="I1166" t="s">
        <v>4024</v>
      </c>
      <c r="J1166" t="s">
        <v>4026</v>
      </c>
      <c r="K1166" s="2">
        <v>44786</v>
      </c>
      <c r="L1166" s="2">
        <v>44792</v>
      </c>
      <c r="M1166">
        <v>4</v>
      </c>
      <c r="N1166">
        <v>144</v>
      </c>
      <c r="O1166">
        <f>IF(Tickets[[#This Row],[Ticket Priority]]="Critical",24,
IF(Tickets[[#This Row],[Ticket Priority]]="High",48,
IF(Tickets[[#This Row],[Ticket Priority]]="Medium",120,168)))</f>
        <v>168</v>
      </c>
      <c r="P1166" t="str">
        <f>IF(Tickets[[#This Row],[Resolution Duration Hours]] &lt;= Tickets[[#This Row],[SLA_Target_Hours]], "Yes", "No")</f>
        <v>Yes</v>
      </c>
    </row>
    <row r="1167" spans="1:16" hidden="1">
      <c r="A1167">
        <v>1166</v>
      </c>
      <c r="B1167" t="s">
        <v>1171</v>
      </c>
      <c r="C1167" t="s">
        <v>3146</v>
      </c>
      <c r="D1167" t="s">
        <v>3987</v>
      </c>
      <c r="E1167" s="1">
        <v>43947</v>
      </c>
      <c r="F1167" t="s">
        <v>3998</v>
      </c>
      <c r="G1167" t="s">
        <v>4008</v>
      </c>
      <c r="H1167" t="s">
        <v>4019</v>
      </c>
      <c r="I1167" t="s">
        <v>4024</v>
      </c>
      <c r="J1167" t="s">
        <v>4026</v>
      </c>
      <c r="K1167" s="2">
        <v>44030</v>
      </c>
      <c r="L1167" s="2">
        <v>44036</v>
      </c>
      <c r="M1167">
        <v>3</v>
      </c>
      <c r="N1167">
        <v>144</v>
      </c>
      <c r="O1167">
        <f>IF(Tickets[[#This Row],[Ticket Priority]]="Critical",24,
IF(Tickets[[#This Row],[Ticket Priority]]="High",48,
IF(Tickets[[#This Row],[Ticket Priority]]="Medium",120,168)))</f>
        <v>168</v>
      </c>
      <c r="P1167" t="str">
        <f>IF(Tickets[[#This Row],[Resolution Duration Hours]] &lt;= Tickets[[#This Row],[SLA_Target_Hours]], "Yes", "No")</f>
        <v>Yes</v>
      </c>
    </row>
    <row r="1168" spans="1:16" hidden="1">
      <c r="A1168">
        <v>1167</v>
      </c>
      <c r="B1168" t="s">
        <v>1172</v>
      </c>
      <c r="C1168" t="s">
        <v>3147</v>
      </c>
      <c r="D1168" t="s">
        <v>3983</v>
      </c>
      <c r="E1168" s="1">
        <v>44950</v>
      </c>
      <c r="F1168" t="s">
        <v>4001</v>
      </c>
      <c r="G1168" t="s">
        <v>4013</v>
      </c>
      <c r="H1168" t="s">
        <v>4018</v>
      </c>
      <c r="I1168" t="s">
        <v>4023</v>
      </c>
      <c r="J1168" t="s">
        <v>4026</v>
      </c>
      <c r="K1168" s="2">
        <v>44978</v>
      </c>
      <c r="L1168" s="2">
        <v>44982</v>
      </c>
      <c r="M1168">
        <v>4</v>
      </c>
      <c r="N1168">
        <v>96</v>
      </c>
      <c r="O1168">
        <f>IF(Tickets[[#This Row],[Ticket Priority]]="Critical",24,
IF(Tickets[[#This Row],[Ticket Priority]]="High",48,
IF(Tickets[[#This Row],[Ticket Priority]]="Medium",120,168)))</f>
        <v>120</v>
      </c>
      <c r="P1168" t="str">
        <f>IF(Tickets[[#This Row],[Resolution Duration Hours]] &lt;= Tickets[[#This Row],[SLA_Target_Hours]], "Yes", "No")</f>
        <v>Yes</v>
      </c>
    </row>
    <row r="1169" spans="1:16" hidden="1">
      <c r="A1169">
        <v>1168</v>
      </c>
      <c r="B1169" t="s">
        <v>1173</v>
      </c>
      <c r="C1169" t="s">
        <v>3148</v>
      </c>
      <c r="D1169" t="s">
        <v>3982</v>
      </c>
      <c r="E1169" s="1">
        <v>44527</v>
      </c>
      <c r="F1169" t="s">
        <v>3998</v>
      </c>
      <c r="G1169" t="s">
        <v>4016</v>
      </c>
      <c r="H1169" t="s">
        <v>4018</v>
      </c>
      <c r="I1169" t="s">
        <v>4021</v>
      </c>
      <c r="J1169" t="s">
        <v>4026</v>
      </c>
      <c r="K1169" s="2">
        <v>44681</v>
      </c>
      <c r="L1169" s="2">
        <v>44682</v>
      </c>
      <c r="M1169">
        <v>5</v>
      </c>
      <c r="N1169">
        <v>24</v>
      </c>
      <c r="O1169">
        <f>IF(Tickets[[#This Row],[Ticket Priority]]="Critical",24,
IF(Tickets[[#This Row],[Ticket Priority]]="High",48,
IF(Tickets[[#This Row],[Ticket Priority]]="Medium",120,168)))</f>
        <v>48</v>
      </c>
      <c r="P1169" t="str">
        <f>IF(Tickets[[#This Row],[Resolution Duration Hours]] &lt;= Tickets[[#This Row],[SLA_Target_Hours]], "Yes", "No")</f>
        <v>Yes</v>
      </c>
    </row>
    <row r="1170" spans="1:16" hidden="1">
      <c r="A1170">
        <v>1169</v>
      </c>
      <c r="B1170" t="s">
        <v>1174</v>
      </c>
      <c r="C1170" t="s">
        <v>3149</v>
      </c>
      <c r="D1170" t="s">
        <v>3987</v>
      </c>
      <c r="E1170" s="1">
        <v>44090</v>
      </c>
      <c r="F1170" t="s">
        <v>4000</v>
      </c>
      <c r="G1170" t="s">
        <v>4016</v>
      </c>
      <c r="H1170" t="s">
        <v>4018</v>
      </c>
      <c r="I1170" t="s">
        <v>4021</v>
      </c>
      <c r="J1170" t="s">
        <v>4028</v>
      </c>
      <c r="K1170" s="2">
        <v>44334</v>
      </c>
      <c r="L1170" s="2">
        <v>44335</v>
      </c>
      <c r="M1170">
        <v>4</v>
      </c>
      <c r="N1170">
        <v>24</v>
      </c>
      <c r="O1170">
        <f>IF(Tickets[[#This Row],[Ticket Priority]]="Critical",24,
IF(Tickets[[#This Row],[Ticket Priority]]="High",48,
IF(Tickets[[#This Row],[Ticket Priority]]="Medium",120,168)))</f>
        <v>48</v>
      </c>
      <c r="P1170" t="str">
        <f>IF(Tickets[[#This Row],[Resolution Duration Hours]] &lt;= Tickets[[#This Row],[SLA_Target_Hours]], "Yes", "No")</f>
        <v>Yes</v>
      </c>
    </row>
    <row r="1171" spans="1:16" hidden="1">
      <c r="A1171">
        <v>1170</v>
      </c>
      <c r="B1171" t="s">
        <v>1175</v>
      </c>
      <c r="C1171" t="s">
        <v>3150</v>
      </c>
      <c r="D1171" t="s">
        <v>3993</v>
      </c>
      <c r="E1171" s="1">
        <v>44126</v>
      </c>
      <c r="F1171" t="s">
        <v>4000</v>
      </c>
      <c r="G1171" t="s">
        <v>4009</v>
      </c>
      <c r="H1171" t="s">
        <v>4018</v>
      </c>
      <c r="I1171" t="s">
        <v>4023</v>
      </c>
      <c r="J1171" t="s">
        <v>4026</v>
      </c>
      <c r="K1171" s="2">
        <v>44175</v>
      </c>
      <c r="L1171" s="2">
        <v>44180</v>
      </c>
      <c r="M1171">
        <v>4</v>
      </c>
      <c r="N1171">
        <v>120</v>
      </c>
      <c r="O1171">
        <f>IF(Tickets[[#This Row],[Ticket Priority]]="Critical",24,
IF(Tickets[[#This Row],[Ticket Priority]]="High",48,
IF(Tickets[[#This Row],[Ticket Priority]]="Medium",120,168)))</f>
        <v>120</v>
      </c>
      <c r="P1171" t="str">
        <f>IF(Tickets[[#This Row],[Resolution Duration Hours]] &lt;= Tickets[[#This Row],[SLA_Target_Hours]], "Yes", "No")</f>
        <v>Yes</v>
      </c>
    </row>
    <row r="1172" spans="1:16">
      <c r="A1172">
        <v>1157</v>
      </c>
      <c r="B1172" t="s">
        <v>1162</v>
      </c>
      <c r="C1172" t="s">
        <v>3137</v>
      </c>
      <c r="D1172" t="s">
        <v>3985</v>
      </c>
      <c r="E1172" s="1">
        <v>44124</v>
      </c>
      <c r="F1172" t="s">
        <v>4002</v>
      </c>
      <c r="G1172" t="s">
        <v>4016</v>
      </c>
      <c r="H1172" t="s">
        <v>4017</v>
      </c>
      <c r="I1172" t="s">
        <v>4024</v>
      </c>
      <c r="J1172" t="s">
        <v>4026</v>
      </c>
      <c r="K1172" s="2">
        <v>44282</v>
      </c>
      <c r="L1172" s="2">
        <v>44290</v>
      </c>
      <c r="N1172">
        <v>192</v>
      </c>
      <c r="O1172">
        <f>IF(Tickets[[#This Row],[Ticket Priority]]="Critical",24,
IF(Tickets[[#This Row],[Ticket Priority]]="High",48,
IF(Tickets[[#This Row],[Ticket Priority]]="Medium",120,168)))</f>
        <v>168</v>
      </c>
      <c r="P1172" t="str">
        <f>IF(Tickets[[#This Row],[Resolution Duration Hours]] &lt;= Tickets[[#This Row],[SLA_Target_Hours]], "Yes", "No")</f>
        <v>No</v>
      </c>
    </row>
    <row r="1173" spans="1:16" hidden="1">
      <c r="A1173">
        <v>1172</v>
      </c>
      <c r="B1173" t="s">
        <v>1177</v>
      </c>
      <c r="C1173" t="s">
        <v>3152</v>
      </c>
      <c r="D1173" t="s">
        <v>3987</v>
      </c>
      <c r="E1173" s="1">
        <v>44913</v>
      </c>
      <c r="F1173" t="s">
        <v>3999</v>
      </c>
      <c r="G1173" t="s">
        <v>4000</v>
      </c>
      <c r="H1173" t="s">
        <v>4018</v>
      </c>
      <c r="I1173" t="s">
        <v>4023</v>
      </c>
      <c r="J1173" t="s">
        <v>4026</v>
      </c>
      <c r="K1173" s="2">
        <v>45225</v>
      </c>
      <c r="L1173" s="2">
        <v>45228</v>
      </c>
      <c r="M1173">
        <v>4</v>
      </c>
      <c r="N1173">
        <v>72</v>
      </c>
      <c r="O1173">
        <f>IF(Tickets[[#This Row],[Ticket Priority]]="Critical",24,
IF(Tickets[[#This Row],[Ticket Priority]]="High",48,
IF(Tickets[[#This Row],[Ticket Priority]]="Medium",120,168)))</f>
        <v>120</v>
      </c>
      <c r="P1173" t="str">
        <f>IF(Tickets[[#This Row],[Resolution Duration Hours]] &lt;= Tickets[[#This Row],[SLA_Target_Hours]], "Yes", "No")</f>
        <v>Yes</v>
      </c>
    </row>
    <row r="1174" spans="1:16" hidden="1">
      <c r="A1174">
        <v>1173</v>
      </c>
      <c r="B1174" t="s">
        <v>1178</v>
      </c>
      <c r="C1174" t="s">
        <v>3153</v>
      </c>
      <c r="D1174" t="s">
        <v>3996</v>
      </c>
      <c r="E1174" s="1">
        <v>44248</v>
      </c>
      <c r="F1174" t="s">
        <v>4000</v>
      </c>
      <c r="G1174" t="s">
        <v>4014</v>
      </c>
      <c r="H1174" t="s">
        <v>4018</v>
      </c>
      <c r="I1174" t="s">
        <v>4021</v>
      </c>
      <c r="J1174" t="s">
        <v>4026</v>
      </c>
      <c r="K1174" s="2">
        <v>44582</v>
      </c>
      <c r="L1174" s="2">
        <v>44583</v>
      </c>
      <c r="M1174">
        <v>4</v>
      </c>
      <c r="N1174">
        <v>24</v>
      </c>
      <c r="O1174">
        <f>IF(Tickets[[#This Row],[Ticket Priority]]="Critical",24,
IF(Tickets[[#This Row],[Ticket Priority]]="High",48,
IF(Tickets[[#This Row],[Ticket Priority]]="Medium",120,168)))</f>
        <v>48</v>
      </c>
      <c r="P1174" t="str">
        <f>IF(Tickets[[#This Row],[Resolution Duration Hours]] &lt;= Tickets[[#This Row],[SLA_Target_Hours]], "Yes", "No")</f>
        <v>Yes</v>
      </c>
    </row>
    <row r="1175" spans="1:16" hidden="1">
      <c r="A1175">
        <v>1174</v>
      </c>
      <c r="B1175" t="s">
        <v>1179</v>
      </c>
      <c r="C1175" t="s">
        <v>3154</v>
      </c>
      <c r="D1175" t="s">
        <v>3997</v>
      </c>
      <c r="E1175" s="1">
        <v>44037</v>
      </c>
      <c r="F1175" t="s">
        <v>4001</v>
      </c>
      <c r="G1175" t="s">
        <v>4014</v>
      </c>
      <c r="H1175" t="s">
        <v>4017</v>
      </c>
      <c r="I1175" t="s">
        <v>4021</v>
      </c>
      <c r="J1175" t="s">
        <v>4027</v>
      </c>
      <c r="K1175" s="2">
        <v>44091</v>
      </c>
      <c r="L1175" s="2">
        <v>44092</v>
      </c>
      <c r="N1175">
        <v>24</v>
      </c>
      <c r="O1175">
        <f>IF(Tickets[[#This Row],[Ticket Priority]]="Critical",24,
IF(Tickets[[#This Row],[Ticket Priority]]="High",48,
IF(Tickets[[#This Row],[Ticket Priority]]="Medium",120,168)))</f>
        <v>48</v>
      </c>
      <c r="P1175" t="str">
        <f>IF(Tickets[[#This Row],[Resolution Duration Hours]] &lt;= Tickets[[#This Row],[SLA_Target_Hours]], "Yes", "No")</f>
        <v>Yes</v>
      </c>
    </row>
    <row r="1176" spans="1:16" hidden="1">
      <c r="A1176">
        <v>1175</v>
      </c>
      <c r="B1176" t="s">
        <v>1180</v>
      </c>
      <c r="C1176" t="s">
        <v>3155</v>
      </c>
      <c r="D1176" t="s">
        <v>3983</v>
      </c>
      <c r="E1176" s="1">
        <v>43833</v>
      </c>
      <c r="F1176" t="s">
        <v>4001</v>
      </c>
      <c r="G1176" t="s">
        <v>4012</v>
      </c>
      <c r="H1176" t="s">
        <v>4019</v>
      </c>
      <c r="I1176" t="s">
        <v>4023</v>
      </c>
      <c r="J1176" t="s">
        <v>4026</v>
      </c>
      <c r="K1176" s="2">
        <v>43898</v>
      </c>
      <c r="L1176" s="2">
        <v>43901</v>
      </c>
      <c r="M1176">
        <v>4</v>
      </c>
      <c r="N1176">
        <v>72</v>
      </c>
      <c r="O1176">
        <f>IF(Tickets[[#This Row],[Ticket Priority]]="Critical",24,
IF(Tickets[[#This Row],[Ticket Priority]]="High",48,
IF(Tickets[[#This Row],[Ticket Priority]]="Medium",120,168)))</f>
        <v>120</v>
      </c>
      <c r="P1176" t="str">
        <f>IF(Tickets[[#This Row],[Resolution Duration Hours]] &lt;= Tickets[[#This Row],[SLA_Target_Hours]], "Yes", "No")</f>
        <v>Yes</v>
      </c>
    </row>
    <row r="1177" spans="1:16" hidden="1">
      <c r="A1177">
        <v>1176</v>
      </c>
      <c r="B1177" t="s">
        <v>1181</v>
      </c>
      <c r="C1177" t="s">
        <v>3156</v>
      </c>
      <c r="D1177" t="s">
        <v>3979</v>
      </c>
      <c r="E1177" s="1">
        <v>44038</v>
      </c>
      <c r="F1177" t="s">
        <v>3999</v>
      </c>
      <c r="G1177" t="s">
        <v>4003</v>
      </c>
      <c r="H1177" t="s">
        <v>4018</v>
      </c>
      <c r="I1177" t="s">
        <v>4024</v>
      </c>
      <c r="J1177" t="s">
        <v>4025</v>
      </c>
      <c r="K1177" s="2">
        <v>44347</v>
      </c>
      <c r="L1177" s="2">
        <v>44348</v>
      </c>
      <c r="M1177">
        <v>4</v>
      </c>
      <c r="N1177">
        <v>24</v>
      </c>
      <c r="O1177">
        <f>IF(Tickets[[#This Row],[Ticket Priority]]="Critical",24,
IF(Tickets[[#This Row],[Ticket Priority]]="High",48,
IF(Tickets[[#This Row],[Ticket Priority]]="Medium",120,168)))</f>
        <v>168</v>
      </c>
      <c r="P1177" t="str">
        <f>IF(Tickets[[#This Row],[Resolution Duration Hours]] &lt;= Tickets[[#This Row],[SLA_Target_Hours]], "Yes", "No")</f>
        <v>Yes</v>
      </c>
    </row>
    <row r="1178" spans="1:16" hidden="1">
      <c r="A1178">
        <v>1177</v>
      </c>
      <c r="B1178" t="s">
        <v>1182</v>
      </c>
      <c r="C1178" t="s">
        <v>3157</v>
      </c>
      <c r="D1178" t="s">
        <v>3995</v>
      </c>
      <c r="E1178" s="1">
        <v>44171</v>
      </c>
      <c r="F1178" t="s">
        <v>3998</v>
      </c>
      <c r="G1178" t="s">
        <v>4012</v>
      </c>
      <c r="H1178" t="s">
        <v>4017</v>
      </c>
      <c r="I1178" t="s">
        <v>4024</v>
      </c>
      <c r="J1178" t="s">
        <v>4027</v>
      </c>
      <c r="K1178" s="2">
        <v>44443</v>
      </c>
      <c r="L1178" s="2">
        <v>44450</v>
      </c>
      <c r="N1178">
        <v>168</v>
      </c>
      <c r="O1178">
        <f>IF(Tickets[[#This Row],[Ticket Priority]]="Critical",24,
IF(Tickets[[#This Row],[Ticket Priority]]="High",48,
IF(Tickets[[#This Row],[Ticket Priority]]="Medium",120,168)))</f>
        <v>168</v>
      </c>
      <c r="P1178" t="str">
        <f>IF(Tickets[[#This Row],[Resolution Duration Hours]] &lt;= Tickets[[#This Row],[SLA_Target_Hours]], "Yes", "No")</f>
        <v>Yes</v>
      </c>
    </row>
    <row r="1179" spans="1:16" hidden="1">
      <c r="A1179">
        <v>1178</v>
      </c>
      <c r="B1179" t="s">
        <v>1183</v>
      </c>
      <c r="C1179" t="s">
        <v>3158</v>
      </c>
      <c r="D1179" t="s">
        <v>3989</v>
      </c>
      <c r="E1179" s="1">
        <v>43996</v>
      </c>
      <c r="F1179" t="s">
        <v>4001</v>
      </c>
      <c r="G1179" t="s">
        <v>4016</v>
      </c>
      <c r="H1179" t="s">
        <v>4017</v>
      </c>
      <c r="I1179" t="s">
        <v>4024</v>
      </c>
      <c r="J1179" t="s">
        <v>4026</v>
      </c>
      <c r="K1179" s="2">
        <v>44259</v>
      </c>
      <c r="L1179" s="2">
        <v>44266</v>
      </c>
      <c r="N1179">
        <v>168</v>
      </c>
      <c r="O1179">
        <f>IF(Tickets[[#This Row],[Ticket Priority]]="Critical",24,
IF(Tickets[[#This Row],[Ticket Priority]]="High",48,
IF(Tickets[[#This Row],[Ticket Priority]]="Medium",120,168)))</f>
        <v>168</v>
      </c>
      <c r="P1179" t="str">
        <f>IF(Tickets[[#This Row],[Resolution Duration Hours]] &lt;= Tickets[[#This Row],[SLA_Target_Hours]], "Yes", "No")</f>
        <v>Yes</v>
      </c>
    </row>
    <row r="1180" spans="1:16" hidden="1">
      <c r="A1180">
        <v>1179</v>
      </c>
      <c r="B1180" t="s">
        <v>1184</v>
      </c>
      <c r="C1180" t="s">
        <v>3159</v>
      </c>
      <c r="D1180" t="s">
        <v>3992</v>
      </c>
      <c r="E1180" s="1">
        <v>44517</v>
      </c>
      <c r="F1180" t="s">
        <v>4001</v>
      </c>
      <c r="G1180" t="s">
        <v>4004</v>
      </c>
      <c r="H1180" t="s">
        <v>4018</v>
      </c>
      <c r="I1180" t="s">
        <v>4024</v>
      </c>
      <c r="J1180" t="s">
        <v>4026</v>
      </c>
      <c r="K1180" s="2">
        <v>44752</v>
      </c>
      <c r="L1180" s="2">
        <v>44756</v>
      </c>
      <c r="M1180">
        <v>5</v>
      </c>
      <c r="N1180">
        <v>96</v>
      </c>
      <c r="O1180">
        <f>IF(Tickets[[#This Row],[Ticket Priority]]="Critical",24,
IF(Tickets[[#This Row],[Ticket Priority]]="High",48,
IF(Tickets[[#This Row],[Ticket Priority]]="Medium",120,168)))</f>
        <v>168</v>
      </c>
      <c r="P1180" t="str">
        <f>IF(Tickets[[#This Row],[Resolution Duration Hours]] &lt;= Tickets[[#This Row],[SLA_Target_Hours]], "Yes", "No")</f>
        <v>Yes</v>
      </c>
    </row>
    <row r="1181" spans="1:16" hidden="1">
      <c r="A1181">
        <v>1180</v>
      </c>
      <c r="B1181" t="s">
        <v>1185</v>
      </c>
      <c r="C1181" t="s">
        <v>3160</v>
      </c>
      <c r="D1181" t="s">
        <v>3986</v>
      </c>
      <c r="E1181" s="1">
        <v>44959</v>
      </c>
      <c r="F1181" t="s">
        <v>4001</v>
      </c>
      <c r="G1181" t="s">
        <v>4004</v>
      </c>
      <c r="H1181" t="s">
        <v>4017</v>
      </c>
      <c r="I1181" t="s">
        <v>4023</v>
      </c>
      <c r="J1181" t="s">
        <v>4026</v>
      </c>
      <c r="K1181" s="2">
        <v>45141</v>
      </c>
      <c r="L1181" s="2">
        <v>45143</v>
      </c>
      <c r="N1181">
        <v>48</v>
      </c>
      <c r="O1181">
        <f>IF(Tickets[[#This Row],[Ticket Priority]]="Critical",24,
IF(Tickets[[#This Row],[Ticket Priority]]="High",48,
IF(Tickets[[#This Row],[Ticket Priority]]="Medium",120,168)))</f>
        <v>120</v>
      </c>
      <c r="P1181" t="str">
        <f>IF(Tickets[[#This Row],[Resolution Duration Hours]] &lt;= Tickets[[#This Row],[SLA_Target_Hours]], "Yes", "No")</f>
        <v>Yes</v>
      </c>
    </row>
    <row r="1182" spans="1:16" hidden="1">
      <c r="A1182">
        <v>1181</v>
      </c>
      <c r="B1182" t="s">
        <v>1186</v>
      </c>
      <c r="C1182" t="s">
        <v>3161</v>
      </c>
      <c r="D1182" t="s">
        <v>3996</v>
      </c>
      <c r="E1182" s="1">
        <v>44124</v>
      </c>
      <c r="F1182" t="s">
        <v>3999</v>
      </c>
      <c r="G1182" t="s">
        <v>4007</v>
      </c>
      <c r="H1182" t="s">
        <v>4017</v>
      </c>
      <c r="I1182" t="s">
        <v>4023</v>
      </c>
      <c r="J1182" t="s">
        <v>4028</v>
      </c>
      <c r="K1182" s="2">
        <v>44251</v>
      </c>
      <c r="L1182" s="2">
        <v>44256</v>
      </c>
      <c r="N1182">
        <v>120</v>
      </c>
      <c r="O1182">
        <f>IF(Tickets[[#This Row],[Ticket Priority]]="Critical",24,
IF(Tickets[[#This Row],[Ticket Priority]]="High",48,
IF(Tickets[[#This Row],[Ticket Priority]]="Medium",120,168)))</f>
        <v>120</v>
      </c>
      <c r="P1182" t="str">
        <f>IF(Tickets[[#This Row],[Resolution Duration Hours]] &lt;= Tickets[[#This Row],[SLA_Target_Hours]], "Yes", "No")</f>
        <v>Yes</v>
      </c>
    </row>
    <row r="1183" spans="1:16">
      <c r="A1183">
        <v>1182</v>
      </c>
      <c r="B1183" t="s">
        <v>1187</v>
      </c>
      <c r="C1183" t="s">
        <v>3162</v>
      </c>
      <c r="D1183" t="s">
        <v>3984</v>
      </c>
      <c r="E1183" s="1">
        <v>44898</v>
      </c>
      <c r="F1183" t="s">
        <v>4001</v>
      </c>
      <c r="G1183" t="s">
        <v>4003</v>
      </c>
      <c r="H1183" t="s">
        <v>4020</v>
      </c>
      <c r="I1183" t="s">
        <v>4024</v>
      </c>
      <c r="J1183" t="s">
        <v>4028</v>
      </c>
      <c r="K1183" s="2">
        <v>45250</v>
      </c>
      <c r="L1183" s="2">
        <v>45258</v>
      </c>
      <c r="N1183">
        <v>192</v>
      </c>
      <c r="O1183">
        <f>IF(Tickets[[#This Row],[Ticket Priority]]="Critical",24,
IF(Tickets[[#This Row],[Ticket Priority]]="High",48,
IF(Tickets[[#This Row],[Ticket Priority]]="Medium",120,168)))</f>
        <v>168</v>
      </c>
      <c r="P1183" t="str">
        <f>IF(Tickets[[#This Row],[Resolution Duration Hours]] &lt;= Tickets[[#This Row],[SLA_Target_Hours]], "Yes", "No")</f>
        <v>No</v>
      </c>
    </row>
    <row r="1184" spans="1:16" hidden="1">
      <c r="A1184">
        <v>1183</v>
      </c>
      <c r="B1184" t="s">
        <v>1188</v>
      </c>
      <c r="C1184" t="s">
        <v>3163</v>
      </c>
      <c r="D1184" t="s">
        <v>3983</v>
      </c>
      <c r="E1184" s="1">
        <v>43986</v>
      </c>
      <c r="F1184" t="s">
        <v>4001</v>
      </c>
      <c r="G1184" t="s">
        <v>4007</v>
      </c>
      <c r="H1184" t="s">
        <v>4018</v>
      </c>
      <c r="I1184" t="s">
        <v>4023</v>
      </c>
      <c r="J1184" t="s">
        <v>4028</v>
      </c>
      <c r="K1184" s="2">
        <v>44176</v>
      </c>
      <c r="L1184" s="2">
        <v>44178</v>
      </c>
      <c r="N1184">
        <v>48</v>
      </c>
      <c r="O1184">
        <f>IF(Tickets[[#This Row],[Ticket Priority]]="Critical",24,
IF(Tickets[[#This Row],[Ticket Priority]]="High",48,
IF(Tickets[[#This Row],[Ticket Priority]]="Medium",120,168)))</f>
        <v>120</v>
      </c>
      <c r="P1184" t="str">
        <f>IF(Tickets[[#This Row],[Resolution Duration Hours]] &lt;= Tickets[[#This Row],[SLA_Target_Hours]], "Yes", "No")</f>
        <v>Yes</v>
      </c>
    </row>
    <row r="1185" spans="1:16">
      <c r="A1185">
        <v>1207</v>
      </c>
      <c r="B1185" t="s">
        <v>891</v>
      </c>
      <c r="C1185" t="s">
        <v>3187</v>
      </c>
      <c r="D1185" t="s">
        <v>3984</v>
      </c>
      <c r="E1185" s="1">
        <v>44610</v>
      </c>
      <c r="F1185" t="s">
        <v>3999</v>
      </c>
      <c r="G1185" t="s">
        <v>4010</v>
      </c>
      <c r="H1185" t="s">
        <v>4020</v>
      </c>
      <c r="I1185" t="s">
        <v>4024</v>
      </c>
      <c r="J1185" t="s">
        <v>4026</v>
      </c>
      <c r="K1185" s="2">
        <v>44779</v>
      </c>
      <c r="L1185" s="2">
        <v>44787</v>
      </c>
      <c r="N1185">
        <v>192</v>
      </c>
      <c r="O1185">
        <f>IF(Tickets[[#This Row],[Ticket Priority]]="Critical",24,
IF(Tickets[[#This Row],[Ticket Priority]]="High",48,
IF(Tickets[[#This Row],[Ticket Priority]]="Medium",120,168)))</f>
        <v>168</v>
      </c>
      <c r="P1185" t="str">
        <f>IF(Tickets[[#This Row],[Resolution Duration Hours]] &lt;= Tickets[[#This Row],[SLA_Target_Hours]], "Yes", "No")</f>
        <v>No</v>
      </c>
    </row>
    <row r="1186" spans="1:16" hidden="1">
      <c r="A1186">
        <v>1185</v>
      </c>
      <c r="B1186" t="s">
        <v>1190</v>
      </c>
      <c r="C1186" t="s">
        <v>3165</v>
      </c>
      <c r="D1186" t="s">
        <v>3980</v>
      </c>
      <c r="E1186" s="1">
        <v>44052</v>
      </c>
      <c r="F1186" t="s">
        <v>3998</v>
      </c>
      <c r="G1186" t="s">
        <v>4011</v>
      </c>
      <c r="H1186" t="s">
        <v>4018</v>
      </c>
      <c r="I1186" t="s">
        <v>4023</v>
      </c>
      <c r="J1186" t="s">
        <v>4026</v>
      </c>
      <c r="K1186" s="2">
        <v>44186</v>
      </c>
      <c r="L1186" s="2">
        <v>44191</v>
      </c>
      <c r="M1186">
        <v>5</v>
      </c>
      <c r="N1186">
        <v>120</v>
      </c>
      <c r="O1186">
        <f>IF(Tickets[[#This Row],[Ticket Priority]]="Critical",24,
IF(Tickets[[#This Row],[Ticket Priority]]="High",48,
IF(Tickets[[#This Row],[Ticket Priority]]="Medium",120,168)))</f>
        <v>120</v>
      </c>
      <c r="P1186" t="str">
        <f>IF(Tickets[[#This Row],[Resolution Duration Hours]] &lt;= Tickets[[#This Row],[SLA_Target_Hours]], "Yes", "No")</f>
        <v>Yes</v>
      </c>
    </row>
    <row r="1187" spans="1:16" hidden="1">
      <c r="A1187">
        <v>1186</v>
      </c>
      <c r="B1187" t="s">
        <v>1191</v>
      </c>
      <c r="C1187" t="s">
        <v>3166</v>
      </c>
      <c r="D1187" t="s">
        <v>3995</v>
      </c>
      <c r="E1187" s="1">
        <v>44356</v>
      </c>
      <c r="F1187" t="s">
        <v>3999</v>
      </c>
      <c r="G1187" t="s">
        <v>4012</v>
      </c>
      <c r="H1187" t="s">
        <v>4018</v>
      </c>
      <c r="I1187" t="s">
        <v>4024</v>
      </c>
      <c r="J1187" t="s">
        <v>4027</v>
      </c>
      <c r="K1187" s="2">
        <v>44496</v>
      </c>
      <c r="L1187" s="2">
        <v>44501</v>
      </c>
      <c r="M1187">
        <v>5</v>
      </c>
      <c r="N1187">
        <v>120</v>
      </c>
      <c r="O1187">
        <f>IF(Tickets[[#This Row],[Ticket Priority]]="Critical",24,
IF(Tickets[[#This Row],[Ticket Priority]]="High",48,
IF(Tickets[[#This Row],[Ticket Priority]]="Medium",120,168)))</f>
        <v>168</v>
      </c>
      <c r="P1187" t="str">
        <f>IF(Tickets[[#This Row],[Resolution Duration Hours]] &lt;= Tickets[[#This Row],[SLA_Target_Hours]], "Yes", "No")</f>
        <v>Yes</v>
      </c>
    </row>
    <row r="1188" spans="1:16" hidden="1">
      <c r="A1188">
        <v>1187</v>
      </c>
      <c r="B1188" t="s">
        <v>1192</v>
      </c>
      <c r="C1188" t="s">
        <v>3167</v>
      </c>
      <c r="D1188" t="s">
        <v>3989</v>
      </c>
      <c r="E1188" s="1">
        <v>44574</v>
      </c>
      <c r="F1188" t="s">
        <v>4001</v>
      </c>
      <c r="G1188" t="s">
        <v>4005</v>
      </c>
      <c r="H1188" t="s">
        <v>4020</v>
      </c>
      <c r="I1188" t="s">
        <v>4024</v>
      </c>
      <c r="J1188" t="s">
        <v>4028</v>
      </c>
      <c r="K1188" s="2">
        <v>44583</v>
      </c>
      <c r="L1188" s="2">
        <v>44589</v>
      </c>
      <c r="N1188">
        <v>144</v>
      </c>
      <c r="O1188">
        <f>IF(Tickets[[#This Row],[Ticket Priority]]="Critical",24,
IF(Tickets[[#This Row],[Ticket Priority]]="High",48,
IF(Tickets[[#This Row],[Ticket Priority]]="Medium",120,168)))</f>
        <v>168</v>
      </c>
      <c r="P1188" t="str">
        <f>IF(Tickets[[#This Row],[Resolution Duration Hours]] &lt;= Tickets[[#This Row],[SLA_Target_Hours]], "Yes", "No")</f>
        <v>Yes</v>
      </c>
    </row>
    <row r="1189" spans="1:16" hidden="1">
      <c r="A1189">
        <v>1188</v>
      </c>
      <c r="B1189" t="s">
        <v>1193</v>
      </c>
      <c r="C1189" t="s">
        <v>3168</v>
      </c>
      <c r="D1189" t="s">
        <v>3993</v>
      </c>
      <c r="E1189" s="1">
        <v>44291</v>
      </c>
      <c r="F1189" t="s">
        <v>4000</v>
      </c>
      <c r="G1189" t="s">
        <v>4013</v>
      </c>
      <c r="H1189" t="s">
        <v>4018</v>
      </c>
      <c r="I1189" t="s">
        <v>4021</v>
      </c>
      <c r="J1189" t="s">
        <v>4028</v>
      </c>
      <c r="K1189" s="2">
        <v>44300</v>
      </c>
      <c r="L1189" s="2">
        <v>44302</v>
      </c>
      <c r="M1189">
        <v>4</v>
      </c>
      <c r="N1189">
        <v>48</v>
      </c>
      <c r="O1189">
        <f>IF(Tickets[[#This Row],[Ticket Priority]]="Critical",24,
IF(Tickets[[#This Row],[Ticket Priority]]="High",48,
IF(Tickets[[#This Row],[Ticket Priority]]="Medium",120,168)))</f>
        <v>48</v>
      </c>
      <c r="P1189" t="str">
        <f>IF(Tickets[[#This Row],[Resolution Duration Hours]] &lt;= Tickets[[#This Row],[SLA_Target_Hours]], "Yes", "No")</f>
        <v>Yes</v>
      </c>
    </row>
    <row r="1190" spans="1:16" hidden="1">
      <c r="A1190">
        <v>1189</v>
      </c>
      <c r="B1190" t="s">
        <v>1194</v>
      </c>
      <c r="C1190" t="s">
        <v>3169</v>
      </c>
      <c r="D1190" t="s">
        <v>3991</v>
      </c>
      <c r="E1190" s="1">
        <v>44429</v>
      </c>
      <c r="F1190" t="s">
        <v>4000</v>
      </c>
      <c r="G1190" t="s">
        <v>4005</v>
      </c>
      <c r="H1190" t="s">
        <v>4020</v>
      </c>
      <c r="I1190" t="s">
        <v>4023</v>
      </c>
      <c r="J1190" t="s">
        <v>4026</v>
      </c>
      <c r="K1190" s="2">
        <v>44628</v>
      </c>
      <c r="L1190" s="2">
        <v>44631</v>
      </c>
      <c r="N1190">
        <v>72</v>
      </c>
      <c r="O1190">
        <f>IF(Tickets[[#This Row],[Ticket Priority]]="Critical",24,
IF(Tickets[[#This Row],[Ticket Priority]]="High",48,
IF(Tickets[[#This Row],[Ticket Priority]]="Medium",120,168)))</f>
        <v>120</v>
      </c>
      <c r="P1190" t="str">
        <f>IF(Tickets[[#This Row],[Resolution Duration Hours]] &lt;= Tickets[[#This Row],[SLA_Target_Hours]], "Yes", "No")</f>
        <v>Yes</v>
      </c>
    </row>
    <row r="1191" spans="1:16" hidden="1">
      <c r="A1191">
        <v>1190</v>
      </c>
      <c r="B1191" t="s">
        <v>1195</v>
      </c>
      <c r="C1191" t="s">
        <v>3170</v>
      </c>
      <c r="D1191" t="s">
        <v>3991</v>
      </c>
      <c r="E1191" s="1">
        <v>44595</v>
      </c>
      <c r="F1191" t="s">
        <v>4000</v>
      </c>
      <c r="G1191" t="s">
        <v>4004</v>
      </c>
      <c r="H1191" t="s">
        <v>4018</v>
      </c>
      <c r="I1191" t="s">
        <v>4023</v>
      </c>
      <c r="J1191" t="s">
        <v>4026</v>
      </c>
      <c r="K1191" s="2">
        <v>44952</v>
      </c>
      <c r="L1191" s="2">
        <v>44957</v>
      </c>
      <c r="N1191">
        <v>120</v>
      </c>
      <c r="O1191">
        <f>IF(Tickets[[#This Row],[Ticket Priority]]="Critical",24,
IF(Tickets[[#This Row],[Ticket Priority]]="High",48,
IF(Tickets[[#This Row],[Ticket Priority]]="Medium",120,168)))</f>
        <v>120</v>
      </c>
      <c r="P1191" t="str">
        <f>IF(Tickets[[#This Row],[Resolution Duration Hours]] &lt;= Tickets[[#This Row],[SLA_Target_Hours]], "Yes", "No")</f>
        <v>Yes</v>
      </c>
    </row>
    <row r="1192" spans="1:16" hidden="1">
      <c r="A1192">
        <v>1191</v>
      </c>
      <c r="B1192" t="s">
        <v>1196</v>
      </c>
      <c r="C1192" t="s">
        <v>3171</v>
      </c>
      <c r="D1192" t="s">
        <v>3988</v>
      </c>
      <c r="E1192" s="1">
        <v>44391</v>
      </c>
      <c r="F1192" t="s">
        <v>4002</v>
      </c>
      <c r="G1192" t="s">
        <v>4009</v>
      </c>
      <c r="H1192" t="s">
        <v>4018</v>
      </c>
      <c r="I1192" t="s">
        <v>4023</v>
      </c>
      <c r="J1192" t="s">
        <v>4028</v>
      </c>
      <c r="K1192" s="2">
        <v>44497</v>
      </c>
      <c r="L1192" s="2">
        <v>44502</v>
      </c>
      <c r="M1192">
        <v>3</v>
      </c>
      <c r="N1192">
        <v>120</v>
      </c>
      <c r="O1192">
        <f>IF(Tickets[[#This Row],[Ticket Priority]]="Critical",24,
IF(Tickets[[#This Row],[Ticket Priority]]="High",48,
IF(Tickets[[#This Row],[Ticket Priority]]="Medium",120,168)))</f>
        <v>120</v>
      </c>
      <c r="P1192" t="str">
        <f>IF(Tickets[[#This Row],[Resolution Duration Hours]] &lt;= Tickets[[#This Row],[SLA_Target_Hours]], "Yes", "No")</f>
        <v>Yes</v>
      </c>
    </row>
    <row r="1193" spans="1:16">
      <c r="A1193">
        <v>1209</v>
      </c>
      <c r="B1193" t="s">
        <v>1213</v>
      </c>
      <c r="C1193" t="s">
        <v>3189</v>
      </c>
      <c r="D1193" t="s">
        <v>3985</v>
      </c>
      <c r="E1193" s="1">
        <v>43950</v>
      </c>
      <c r="F1193" t="s">
        <v>4002</v>
      </c>
      <c r="G1193" t="s">
        <v>4009</v>
      </c>
      <c r="H1193" t="s">
        <v>4020</v>
      </c>
      <c r="I1193" t="s">
        <v>4024</v>
      </c>
      <c r="J1193" t="s">
        <v>4028</v>
      </c>
      <c r="K1193" s="2">
        <v>44025</v>
      </c>
      <c r="L1193" s="2">
        <v>44033</v>
      </c>
      <c r="N1193">
        <v>192</v>
      </c>
      <c r="O1193">
        <f>IF(Tickets[[#This Row],[Ticket Priority]]="Critical",24,
IF(Tickets[[#This Row],[Ticket Priority]]="High",48,
IF(Tickets[[#This Row],[Ticket Priority]]="Medium",120,168)))</f>
        <v>168</v>
      </c>
      <c r="P1193" t="str">
        <f>IF(Tickets[[#This Row],[Resolution Duration Hours]] &lt;= Tickets[[#This Row],[SLA_Target_Hours]], "Yes", "No")</f>
        <v>No</v>
      </c>
    </row>
    <row r="1194" spans="1:16" hidden="1">
      <c r="A1194">
        <v>1193</v>
      </c>
      <c r="B1194" t="s">
        <v>1198</v>
      </c>
      <c r="C1194" t="s">
        <v>3173</v>
      </c>
      <c r="D1194" t="s">
        <v>3985</v>
      </c>
      <c r="E1194" s="1">
        <v>44252</v>
      </c>
      <c r="F1194" t="s">
        <v>4002</v>
      </c>
      <c r="G1194" t="s">
        <v>4016</v>
      </c>
      <c r="H1194" t="s">
        <v>4019</v>
      </c>
      <c r="I1194" t="s">
        <v>4024</v>
      </c>
      <c r="J1194" t="s">
        <v>4028</v>
      </c>
      <c r="K1194" s="2">
        <v>44445</v>
      </c>
      <c r="L1194" s="2">
        <v>44447</v>
      </c>
      <c r="M1194">
        <v>5</v>
      </c>
      <c r="N1194">
        <v>48</v>
      </c>
      <c r="O1194">
        <f>IF(Tickets[[#This Row],[Ticket Priority]]="Critical",24,
IF(Tickets[[#This Row],[Ticket Priority]]="High",48,
IF(Tickets[[#This Row],[Ticket Priority]]="Medium",120,168)))</f>
        <v>168</v>
      </c>
      <c r="P1194" t="str">
        <f>IF(Tickets[[#This Row],[Resolution Duration Hours]] &lt;= Tickets[[#This Row],[SLA_Target_Hours]], "Yes", "No")</f>
        <v>Yes</v>
      </c>
    </row>
    <row r="1195" spans="1:16">
      <c r="A1195">
        <v>1223</v>
      </c>
      <c r="B1195" t="s">
        <v>1226</v>
      </c>
      <c r="C1195" t="s">
        <v>3203</v>
      </c>
      <c r="D1195" t="s">
        <v>3982</v>
      </c>
      <c r="E1195" s="1">
        <v>43892</v>
      </c>
      <c r="F1195" t="s">
        <v>4001</v>
      </c>
      <c r="G1195" t="s">
        <v>4013</v>
      </c>
      <c r="H1195" t="s">
        <v>4018</v>
      </c>
      <c r="I1195" t="s">
        <v>4024</v>
      </c>
      <c r="J1195" t="s">
        <v>4028</v>
      </c>
      <c r="K1195" s="2">
        <v>43991</v>
      </c>
      <c r="L1195" s="2">
        <v>43999</v>
      </c>
      <c r="M1195">
        <v>4</v>
      </c>
      <c r="N1195">
        <v>192</v>
      </c>
      <c r="O1195">
        <f>IF(Tickets[[#This Row],[Ticket Priority]]="Critical",24,
IF(Tickets[[#This Row],[Ticket Priority]]="High",48,
IF(Tickets[[#This Row],[Ticket Priority]]="Medium",120,168)))</f>
        <v>168</v>
      </c>
      <c r="P1195" t="str">
        <f>IF(Tickets[[#This Row],[Resolution Duration Hours]] &lt;= Tickets[[#This Row],[SLA_Target_Hours]], "Yes", "No")</f>
        <v>No</v>
      </c>
    </row>
    <row r="1196" spans="1:16" hidden="1">
      <c r="A1196">
        <v>1195</v>
      </c>
      <c r="B1196" t="s">
        <v>1200</v>
      </c>
      <c r="C1196" t="s">
        <v>3175</v>
      </c>
      <c r="D1196" t="s">
        <v>3983</v>
      </c>
      <c r="E1196" s="1">
        <v>44495</v>
      </c>
      <c r="F1196" t="s">
        <v>4000</v>
      </c>
      <c r="G1196" t="s">
        <v>4014</v>
      </c>
      <c r="H1196" t="s">
        <v>4018</v>
      </c>
      <c r="I1196" t="s">
        <v>4023</v>
      </c>
      <c r="J1196" t="s">
        <v>4025</v>
      </c>
      <c r="K1196" s="2">
        <v>44752</v>
      </c>
      <c r="L1196" s="2">
        <v>44754</v>
      </c>
      <c r="N1196">
        <v>48</v>
      </c>
      <c r="O1196">
        <f>IF(Tickets[[#This Row],[Ticket Priority]]="Critical",24,
IF(Tickets[[#This Row],[Ticket Priority]]="High",48,
IF(Tickets[[#This Row],[Ticket Priority]]="Medium",120,168)))</f>
        <v>120</v>
      </c>
      <c r="P1196" t="str">
        <f>IF(Tickets[[#This Row],[Resolution Duration Hours]] &lt;= Tickets[[#This Row],[SLA_Target_Hours]], "Yes", "No")</f>
        <v>Yes</v>
      </c>
    </row>
    <row r="1197" spans="1:16" hidden="1">
      <c r="A1197">
        <v>1196</v>
      </c>
      <c r="B1197" t="s">
        <v>1201</v>
      </c>
      <c r="C1197" t="s">
        <v>3176</v>
      </c>
      <c r="D1197" t="s">
        <v>3982</v>
      </c>
      <c r="E1197" s="1">
        <v>44598</v>
      </c>
      <c r="F1197" t="s">
        <v>4000</v>
      </c>
      <c r="G1197" t="s">
        <v>4009</v>
      </c>
      <c r="H1197" t="s">
        <v>4018</v>
      </c>
      <c r="I1197" t="s">
        <v>4023</v>
      </c>
      <c r="J1197" t="s">
        <v>4027</v>
      </c>
      <c r="K1197" s="2">
        <v>44802</v>
      </c>
      <c r="L1197" s="2">
        <v>44805</v>
      </c>
      <c r="M1197">
        <v>3</v>
      </c>
      <c r="N1197">
        <v>72</v>
      </c>
      <c r="O1197">
        <f>IF(Tickets[[#This Row],[Ticket Priority]]="Critical",24,
IF(Tickets[[#This Row],[Ticket Priority]]="High",48,
IF(Tickets[[#This Row],[Ticket Priority]]="Medium",120,168)))</f>
        <v>120</v>
      </c>
      <c r="P1197" t="str">
        <f>IF(Tickets[[#This Row],[Resolution Duration Hours]] &lt;= Tickets[[#This Row],[SLA_Target_Hours]], "Yes", "No")</f>
        <v>Yes</v>
      </c>
    </row>
    <row r="1198" spans="1:16" hidden="1">
      <c r="A1198">
        <v>1197</v>
      </c>
      <c r="B1198" t="s">
        <v>1202</v>
      </c>
      <c r="C1198" t="s">
        <v>3177</v>
      </c>
      <c r="D1198" t="s">
        <v>3995</v>
      </c>
      <c r="E1198" s="1">
        <v>44684</v>
      </c>
      <c r="F1198" t="s">
        <v>3998</v>
      </c>
      <c r="G1198" t="s">
        <v>4015</v>
      </c>
      <c r="H1198" t="s">
        <v>4018</v>
      </c>
      <c r="I1198" t="s">
        <v>4022</v>
      </c>
      <c r="J1198" t="s">
        <v>4026</v>
      </c>
      <c r="K1198" s="2">
        <v>44894</v>
      </c>
      <c r="L1198" s="2">
        <v>44894</v>
      </c>
      <c r="M1198">
        <v>4</v>
      </c>
      <c r="N1198">
        <v>0</v>
      </c>
      <c r="O1198">
        <f>IF(Tickets[[#This Row],[Ticket Priority]]="Critical",24,
IF(Tickets[[#This Row],[Ticket Priority]]="High",48,
IF(Tickets[[#This Row],[Ticket Priority]]="Medium",120,168)))</f>
        <v>24</v>
      </c>
      <c r="P1198" t="str">
        <f>IF(Tickets[[#This Row],[Resolution Duration Hours]] &lt;= Tickets[[#This Row],[SLA_Target_Hours]], "Yes", "No")</f>
        <v>Yes</v>
      </c>
    </row>
    <row r="1199" spans="1:16" hidden="1">
      <c r="A1199">
        <v>1198</v>
      </c>
      <c r="B1199" t="s">
        <v>1203</v>
      </c>
      <c r="C1199" t="s">
        <v>3178</v>
      </c>
      <c r="D1199" t="s">
        <v>3987</v>
      </c>
      <c r="E1199" s="1">
        <v>44649</v>
      </c>
      <c r="F1199" t="s">
        <v>3998</v>
      </c>
      <c r="G1199" t="s">
        <v>4006</v>
      </c>
      <c r="H1199" t="s">
        <v>4019</v>
      </c>
      <c r="I1199" t="s">
        <v>4021</v>
      </c>
      <c r="J1199" t="s">
        <v>4026</v>
      </c>
      <c r="K1199" s="2">
        <v>44815</v>
      </c>
      <c r="L1199" s="2">
        <v>44817</v>
      </c>
      <c r="M1199">
        <v>5</v>
      </c>
      <c r="N1199">
        <v>48</v>
      </c>
      <c r="O1199">
        <f>IF(Tickets[[#This Row],[Ticket Priority]]="Critical",24,
IF(Tickets[[#This Row],[Ticket Priority]]="High",48,
IF(Tickets[[#This Row],[Ticket Priority]]="Medium",120,168)))</f>
        <v>48</v>
      </c>
      <c r="P1199" t="str">
        <f>IF(Tickets[[#This Row],[Resolution Duration Hours]] &lt;= Tickets[[#This Row],[SLA_Target_Hours]], "Yes", "No")</f>
        <v>Yes</v>
      </c>
    </row>
    <row r="1200" spans="1:16">
      <c r="A1200">
        <v>1239</v>
      </c>
      <c r="B1200" t="s">
        <v>1241</v>
      </c>
      <c r="C1200" t="s">
        <v>3219</v>
      </c>
      <c r="D1200" t="s">
        <v>3983</v>
      </c>
      <c r="E1200" s="1">
        <v>44679</v>
      </c>
      <c r="F1200" t="s">
        <v>4001</v>
      </c>
      <c r="G1200" t="s">
        <v>4000</v>
      </c>
      <c r="H1200" t="s">
        <v>4018</v>
      </c>
      <c r="I1200" t="s">
        <v>4023</v>
      </c>
      <c r="J1200" t="s">
        <v>4027</v>
      </c>
      <c r="K1200" s="2">
        <v>44716</v>
      </c>
      <c r="L1200" s="2">
        <v>44724</v>
      </c>
      <c r="M1200">
        <v>3</v>
      </c>
      <c r="N1200">
        <v>192</v>
      </c>
      <c r="O1200">
        <f>IF(Tickets[[#This Row],[Ticket Priority]]="Critical",24,
IF(Tickets[[#This Row],[Ticket Priority]]="High",48,
IF(Tickets[[#This Row],[Ticket Priority]]="Medium",120,168)))</f>
        <v>120</v>
      </c>
      <c r="P1200" t="str">
        <f>IF(Tickets[[#This Row],[Resolution Duration Hours]] &lt;= Tickets[[#This Row],[SLA_Target_Hours]], "Yes", "No")</f>
        <v>No</v>
      </c>
    </row>
    <row r="1201" spans="1:16" hidden="1">
      <c r="A1201">
        <v>1200</v>
      </c>
      <c r="B1201" t="s">
        <v>1205</v>
      </c>
      <c r="C1201" t="s">
        <v>3180</v>
      </c>
      <c r="D1201" t="s">
        <v>3989</v>
      </c>
      <c r="E1201" s="1">
        <v>44288</v>
      </c>
      <c r="F1201" t="s">
        <v>4000</v>
      </c>
      <c r="G1201" t="s">
        <v>4005</v>
      </c>
      <c r="H1201" t="s">
        <v>4018</v>
      </c>
      <c r="I1201" t="s">
        <v>4022</v>
      </c>
      <c r="J1201" t="s">
        <v>4028</v>
      </c>
      <c r="K1201" s="2">
        <v>44453</v>
      </c>
      <c r="L1201" s="2">
        <v>44453</v>
      </c>
      <c r="M1201">
        <v>3</v>
      </c>
      <c r="N1201">
        <v>0</v>
      </c>
      <c r="O1201">
        <f>IF(Tickets[[#This Row],[Ticket Priority]]="Critical",24,
IF(Tickets[[#This Row],[Ticket Priority]]="High",48,
IF(Tickets[[#This Row],[Ticket Priority]]="Medium",120,168)))</f>
        <v>24</v>
      </c>
      <c r="P1201" t="str">
        <f>IF(Tickets[[#This Row],[Resolution Duration Hours]] &lt;= Tickets[[#This Row],[SLA_Target_Hours]], "Yes", "No")</f>
        <v>Yes</v>
      </c>
    </row>
    <row r="1202" spans="1:16" hidden="1">
      <c r="A1202">
        <v>1201</v>
      </c>
      <c r="B1202" t="s">
        <v>1206</v>
      </c>
      <c r="C1202" t="s">
        <v>3181</v>
      </c>
      <c r="D1202" t="s">
        <v>3984</v>
      </c>
      <c r="E1202" s="1">
        <v>44991</v>
      </c>
      <c r="F1202" t="s">
        <v>4001</v>
      </c>
      <c r="G1202" t="s">
        <v>4010</v>
      </c>
      <c r="H1202" t="s">
        <v>4020</v>
      </c>
      <c r="I1202" t="s">
        <v>4024</v>
      </c>
      <c r="J1202" t="s">
        <v>4026</v>
      </c>
      <c r="K1202" s="2">
        <v>45247</v>
      </c>
      <c r="L1202" s="2">
        <v>45251</v>
      </c>
      <c r="N1202">
        <v>96</v>
      </c>
      <c r="O1202">
        <f>IF(Tickets[[#This Row],[Ticket Priority]]="Critical",24,
IF(Tickets[[#This Row],[Ticket Priority]]="High",48,
IF(Tickets[[#This Row],[Ticket Priority]]="Medium",120,168)))</f>
        <v>168</v>
      </c>
      <c r="P1202" t="str">
        <f>IF(Tickets[[#This Row],[Resolution Duration Hours]] &lt;= Tickets[[#This Row],[SLA_Target_Hours]], "Yes", "No")</f>
        <v>Yes</v>
      </c>
    </row>
    <row r="1203" spans="1:16">
      <c r="A1203">
        <v>1244</v>
      </c>
      <c r="B1203" t="s">
        <v>1246</v>
      </c>
      <c r="C1203" t="s">
        <v>3224</v>
      </c>
      <c r="D1203" t="s">
        <v>3996</v>
      </c>
      <c r="E1203" s="1">
        <v>43970</v>
      </c>
      <c r="F1203" t="s">
        <v>4002</v>
      </c>
      <c r="G1203" t="s">
        <v>4008</v>
      </c>
      <c r="H1203" t="s">
        <v>4018</v>
      </c>
      <c r="I1203" t="s">
        <v>4024</v>
      </c>
      <c r="J1203" t="s">
        <v>4026</v>
      </c>
      <c r="K1203" s="2">
        <v>43983</v>
      </c>
      <c r="L1203" s="2">
        <v>43991</v>
      </c>
      <c r="M1203">
        <v>4</v>
      </c>
      <c r="N1203">
        <v>192</v>
      </c>
      <c r="O1203">
        <f>IF(Tickets[[#This Row],[Ticket Priority]]="Critical",24,
IF(Tickets[[#This Row],[Ticket Priority]]="High",48,
IF(Tickets[[#This Row],[Ticket Priority]]="Medium",120,168)))</f>
        <v>168</v>
      </c>
      <c r="P1203" t="str">
        <f>IF(Tickets[[#This Row],[Resolution Duration Hours]] &lt;= Tickets[[#This Row],[SLA_Target_Hours]], "Yes", "No")</f>
        <v>No</v>
      </c>
    </row>
    <row r="1204" spans="1:16" hidden="1">
      <c r="A1204">
        <v>1203</v>
      </c>
      <c r="B1204" t="s">
        <v>1208</v>
      </c>
      <c r="C1204" t="s">
        <v>3183</v>
      </c>
      <c r="D1204" t="s">
        <v>3979</v>
      </c>
      <c r="E1204" s="1">
        <v>44059</v>
      </c>
      <c r="F1204" t="s">
        <v>4000</v>
      </c>
      <c r="G1204" t="s">
        <v>4016</v>
      </c>
      <c r="H1204" t="s">
        <v>4018</v>
      </c>
      <c r="I1204" t="s">
        <v>4023</v>
      </c>
      <c r="J1204" t="s">
        <v>4026</v>
      </c>
      <c r="K1204" s="2">
        <v>44369</v>
      </c>
      <c r="L1204" s="2">
        <v>44371</v>
      </c>
      <c r="M1204">
        <v>4</v>
      </c>
      <c r="N1204">
        <v>48</v>
      </c>
      <c r="O1204">
        <f>IF(Tickets[[#This Row],[Ticket Priority]]="Critical",24,
IF(Tickets[[#This Row],[Ticket Priority]]="High",48,
IF(Tickets[[#This Row],[Ticket Priority]]="Medium",120,168)))</f>
        <v>120</v>
      </c>
      <c r="P1204" t="str">
        <f>IF(Tickets[[#This Row],[Resolution Duration Hours]] &lt;= Tickets[[#This Row],[SLA_Target_Hours]], "Yes", "No")</f>
        <v>Yes</v>
      </c>
    </row>
    <row r="1205" spans="1:16" hidden="1">
      <c r="A1205">
        <v>1204</v>
      </c>
      <c r="B1205" t="s">
        <v>1209</v>
      </c>
      <c r="C1205" t="s">
        <v>3184</v>
      </c>
      <c r="D1205" t="s">
        <v>3994</v>
      </c>
      <c r="E1205" s="1">
        <v>44986</v>
      </c>
      <c r="F1205" t="s">
        <v>3999</v>
      </c>
      <c r="G1205" t="s">
        <v>4008</v>
      </c>
      <c r="H1205" t="s">
        <v>4020</v>
      </c>
      <c r="I1205" t="s">
        <v>4024</v>
      </c>
      <c r="J1205" t="s">
        <v>4026</v>
      </c>
      <c r="K1205" s="2">
        <v>45172</v>
      </c>
      <c r="L1205" s="2">
        <v>45178</v>
      </c>
      <c r="N1205">
        <v>144</v>
      </c>
      <c r="O1205">
        <f>IF(Tickets[[#This Row],[Ticket Priority]]="Critical",24,
IF(Tickets[[#This Row],[Ticket Priority]]="High",48,
IF(Tickets[[#This Row],[Ticket Priority]]="Medium",120,168)))</f>
        <v>168</v>
      </c>
      <c r="P1205" t="str">
        <f>IF(Tickets[[#This Row],[Resolution Duration Hours]] &lt;= Tickets[[#This Row],[SLA_Target_Hours]], "Yes", "No")</f>
        <v>Yes</v>
      </c>
    </row>
    <row r="1206" spans="1:16" hidden="1">
      <c r="A1206">
        <v>1205</v>
      </c>
      <c r="B1206" t="s">
        <v>1210</v>
      </c>
      <c r="C1206" t="s">
        <v>3185</v>
      </c>
      <c r="D1206" t="s">
        <v>3980</v>
      </c>
      <c r="E1206" s="1">
        <v>45044</v>
      </c>
      <c r="F1206" t="s">
        <v>4000</v>
      </c>
      <c r="G1206" t="s">
        <v>4005</v>
      </c>
      <c r="H1206" t="s">
        <v>4017</v>
      </c>
      <c r="I1206" t="s">
        <v>4023</v>
      </c>
      <c r="J1206" t="s">
        <v>4026</v>
      </c>
      <c r="K1206" s="2">
        <v>45101</v>
      </c>
      <c r="L1206" s="2">
        <v>45105</v>
      </c>
      <c r="N1206">
        <v>96</v>
      </c>
      <c r="O1206">
        <f>IF(Tickets[[#This Row],[Ticket Priority]]="Critical",24,
IF(Tickets[[#This Row],[Ticket Priority]]="High",48,
IF(Tickets[[#This Row],[Ticket Priority]]="Medium",120,168)))</f>
        <v>120</v>
      </c>
      <c r="P1206" t="str">
        <f>IF(Tickets[[#This Row],[Resolution Duration Hours]] &lt;= Tickets[[#This Row],[SLA_Target_Hours]], "Yes", "No")</f>
        <v>Yes</v>
      </c>
    </row>
    <row r="1207" spans="1:16" hidden="1">
      <c r="A1207">
        <v>1206</v>
      </c>
      <c r="B1207" t="s">
        <v>1211</v>
      </c>
      <c r="C1207" t="s">
        <v>3186</v>
      </c>
      <c r="D1207" t="s">
        <v>3990</v>
      </c>
      <c r="E1207" s="1">
        <v>44612</v>
      </c>
      <c r="F1207" t="s">
        <v>3999</v>
      </c>
      <c r="G1207" t="s">
        <v>4012</v>
      </c>
      <c r="H1207" t="s">
        <v>4020</v>
      </c>
      <c r="I1207" t="s">
        <v>4024</v>
      </c>
      <c r="J1207" t="s">
        <v>4025</v>
      </c>
      <c r="K1207" s="2">
        <v>44661</v>
      </c>
      <c r="L1207" s="2">
        <v>44665</v>
      </c>
      <c r="N1207">
        <v>96</v>
      </c>
      <c r="O1207">
        <f>IF(Tickets[[#This Row],[Ticket Priority]]="Critical",24,
IF(Tickets[[#This Row],[Ticket Priority]]="High",48,
IF(Tickets[[#This Row],[Ticket Priority]]="Medium",120,168)))</f>
        <v>168</v>
      </c>
      <c r="P1207" t="str">
        <f>IF(Tickets[[#This Row],[Resolution Duration Hours]] &lt;= Tickets[[#This Row],[SLA_Target_Hours]], "Yes", "No")</f>
        <v>Yes</v>
      </c>
    </row>
    <row r="1208" spans="1:16">
      <c r="A1208">
        <v>1261</v>
      </c>
      <c r="B1208" t="s">
        <v>1263</v>
      </c>
      <c r="C1208" t="s">
        <v>3241</v>
      </c>
      <c r="D1208" t="s">
        <v>3982</v>
      </c>
      <c r="E1208" s="1">
        <v>44773</v>
      </c>
      <c r="F1208" t="s">
        <v>3998</v>
      </c>
      <c r="G1208" t="s">
        <v>4012</v>
      </c>
      <c r="H1208" t="s">
        <v>4018</v>
      </c>
      <c r="I1208" t="s">
        <v>4024</v>
      </c>
      <c r="J1208" t="s">
        <v>4027</v>
      </c>
      <c r="K1208" s="2">
        <v>44903</v>
      </c>
      <c r="L1208" s="2">
        <v>44911</v>
      </c>
      <c r="M1208">
        <v>2</v>
      </c>
      <c r="N1208">
        <v>192</v>
      </c>
      <c r="O1208">
        <f>IF(Tickets[[#This Row],[Ticket Priority]]="Critical",24,
IF(Tickets[[#This Row],[Ticket Priority]]="High",48,
IF(Tickets[[#This Row],[Ticket Priority]]="Medium",120,168)))</f>
        <v>168</v>
      </c>
      <c r="P1208" t="str">
        <f>IF(Tickets[[#This Row],[Resolution Duration Hours]] &lt;= Tickets[[#This Row],[SLA_Target_Hours]], "Yes", "No")</f>
        <v>No</v>
      </c>
    </row>
    <row r="1209" spans="1:16" hidden="1">
      <c r="A1209">
        <v>1208</v>
      </c>
      <c r="B1209" t="s">
        <v>1212</v>
      </c>
      <c r="C1209" t="s">
        <v>3188</v>
      </c>
      <c r="D1209" t="s">
        <v>3993</v>
      </c>
      <c r="E1209" s="1">
        <v>44985</v>
      </c>
      <c r="F1209" t="s">
        <v>4000</v>
      </c>
      <c r="G1209" t="s">
        <v>4013</v>
      </c>
      <c r="H1209" t="s">
        <v>4018</v>
      </c>
      <c r="I1209" t="s">
        <v>4024</v>
      </c>
      <c r="J1209" t="s">
        <v>4026</v>
      </c>
      <c r="K1209" s="2">
        <v>45174</v>
      </c>
      <c r="L1209" s="2">
        <v>45179</v>
      </c>
      <c r="M1209">
        <v>4</v>
      </c>
      <c r="N1209">
        <v>120</v>
      </c>
      <c r="O1209">
        <f>IF(Tickets[[#This Row],[Ticket Priority]]="Critical",24,
IF(Tickets[[#This Row],[Ticket Priority]]="High",48,
IF(Tickets[[#This Row],[Ticket Priority]]="Medium",120,168)))</f>
        <v>168</v>
      </c>
      <c r="P1209" t="str">
        <f>IF(Tickets[[#This Row],[Resolution Duration Hours]] &lt;= Tickets[[#This Row],[SLA_Target_Hours]], "Yes", "No")</f>
        <v>Yes</v>
      </c>
    </row>
    <row r="1210" spans="1:16">
      <c r="A1210">
        <v>1262</v>
      </c>
      <c r="B1210" t="s">
        <v>1264</v>
      </c>
      <c r="C1210" t="s">
        <v>3242</v>
      </c>
      <c r="D1210" t="s">
        <v>3981</v>
      </c>
      <c r="E1210" s="1">
        <v>43838</v>
      </c>
      <c r="F1210" t="s">
        <v>3998</v>
      </c>
      <c r="G1210" t="s">
        <v>4015</v>
      </c>
      <c r="H1210" t="s">
        <v>4018</v>
      </c>
      <c r="I1210" t="s">
        <v>4024</v>
      </c>
      <c r="J1210" t="s">
        <v>4026</v>
      </c>
      <c r="K1210" s="2">
        <v>44056</v>
      </c>
      <c r="L1210" s="2">
        <v>44064</v>
      </c>
      <c r="M1210">
        <v>4</v>
      </c>
      <c r="N1210">
        <v>192</v>
      </c>
      <c r="O1210">
        <f>IF(Tickets[[#This Row],[Ticket Priority]]="Critical",24,
IF(Tickets[[#This Row],[Ticket Priority]]="High",48,
IF(Tickets[[#This Row],[Ticket Priority]]="Medium",120,168)))</f>
        <v>168</v>
      </c>
      <c r="P1210" t="str">
        <f>IF(Tickets[[#This Row],[Resolution Duration Hours]] &lt;= Tickets[[#This Row],[SLA_Target_Hours]], "Yes", "No")</f>
        <v>No</v>
      </c>
    </row>
    <row r="1211" spans="1:16" hidden="1">
      <c r="A1211">
        <v>1210</v>
      </c>
      <c r="B1211" t="s">
        <v>1214</v>
      </c>
      <c r="C1211" t="s">
        <v>3190</v>
      </c>
      <c r="D1211" t="s">
        <v>3987</v>
      </c>
      <c r="E1211" s="1">
        <v>44408</v>
      </c>
      <c r="F1211" t="s">
        <v>3999</v>
      </c>
      <c r="G1211" t="s">
        <v>4013</v>
      </c>
      <c r="H1211" t="s">
        <v>4018</v>
      </c>
      <c r="I1211" t="s">
        <v>4023</v>
      </c>
      <c r="J1211" t="s">
        <v>4027</v>
      </c>
      <c r="K1211" s="2">
        <v>44540</v>
      </c>
      <c r="L1211" s="2">
        <v>44544</v>
      </c>
      <c r="M1211">
        <v>4</v>
      </c>
      <c r="N1211">
        <v>96</v>
      </c>
      <c r="O1211">
        <f>IF(Tickets[[#This Row],[Ticket Priority]]="Critical",24,
IF(Tickets[[#This Row],[Ticket Priority]]="High",48,
IF(Tickets[[#This Row],[Ticket Priority]]="Medium",120,168)))</f>
        <v>120</v>
      </c>
      <c r="P1211" t="str">
        <f>IF(Tickets[[#This Row],[Resolution Duration Hours]] &lt;= Tickets[[#This Row],[SLA_Target_Hours]], "Yes", "No")</f>
        <v>Yes</v>
      </c>
    </row>
    <row r="1212" spans="1:16" hidden="1">
      <c r="A1212">
        <v>1211</v>
      </c>
      <c r="B1212" t="s">
        <v>1215</v>
      </c>
      <c r="C1212" t="s">
        <v>3191</v>
      </c>
      <c r="D1212" t="s">
        <v>3997</v>
      </c>
      <c r="E1212" s="1">
        <v>43874</v>
      </c>
      <c r="F1212" t="s">
        <v>4000</v>
      </c>
      <c r="G1212" t="s">
        <v>4006</v>
      </c>
      <c r="H1212" t="s">
        <v>4020</v>
      </c>
      <c r="I1212" t="s">
        <v>4023</v>
      </c>
      <c r="J1212" t="s">
        <v>4028</v>
      </c>
      <c r="K1212" s="2">
        <v>44034</v>
      </c>
      <c r="L1212" s="2">
        <v>44037</v>
      </c>
      <c r="N1212">
        <v>72</v>
      </c>
      <c r="O1212">
        <f>IF(Tickets[[#This Row],[Ticket Priority]]="Critical",24,
IF(Tickets[[#This Row],[Ticket Priority]]="High",48,
IF(Tickets[[#This Row],[Ticket Priority]]="Medium",120,168)))</f>
        <v>120</v>
      </c>
      <c r="P1212" t="str">
        <f>IF(Tickets[[#This Row],[Resolution Duration Hours]] &lt;= Tickets[[#This Row],[SLA_Target_Hours]], "Yes", "No")</f>
        <v>Yes</v>
      </c>
    </row>
    <row r="1213" spans="1:16" hidden="1">
      <c r="A1213">
        <v>1212</v>
      </c>
      <c r="B1213" t="s">
        <v>1216</v>
      </c>
      <c r="C1213" t="s">
        <v>3192</v>
      </c>
      <c r="D1213" t="s">
        <v>3996</v>
      </c>
      <c r="E1213" s="1">
        <v>44122</v>
      </c>
      <c r="F1213" t="s">
        <v>4001</v>
      </c>
      <c r="G1213" t="s">
        <v>4013</v>
      </c>
      <c r="H1213" t="s">
        <v>4018</v>
      </c>
      <c r="I1213" t="s">
        <v>4022</v>
      </c>
      <c r="J1213" t="s">
        <v>4028</v>
      </c>
      <c r="K1213" s="2">
        <v>44129</v>
      </c>
      <c r="L1213" s="2">
        <v>44129</v>
      </c>
      <c r="M1213">
        <v>4</v>
      </c>
      <c r="N1213">
        <v>0</v>
      </c>
      <c r="O1213">
        <f>IF(Tickets[[#This Row],[Ticket Priority]]="Critical",24,
IF(Tickets[[#This Row],[Ticket Priority]]="High",48,
IF(Tickets[[#This Row],[Ticket Priority]]="Medium",120,168)))</f>
        <v>24</v>
      </c>
      <c r="P1213" t="str">
        <f>IF(Tickets[[#This Row],[Resolution Duration Hours]] &lt;= Tickets[[#This Row],[SLA_Target_Hours]], "Yes", "No")</f>
        <v>Yes</v>
      </c>
    </row>
    <row r="1214" spans="1:16">
      <c r="A1214">
        <v>1271</v>
      </c>
      <c r="B1214" t="s">
        <v>1273</v>
      </c>
      <c r="C1214" t="s">
        <v>3251</v>
      </c>
      <c r="D1214" t="s">
        <v>3997</v>
      </c>
      <c r="E1214" s="1">
        <v>44498</v>
      </c>
      <c r="F1214" t="s">
        <v>3998</v>
      </c>
      <c r="G1214" t="s">
        <v>4015</v>
      </c>
      <c r="H1214" t="s">
        <v>4018</v>
      </c>
      <c r="I1214" t="s">
        <v>4024</v>
      </c>
      <c r="J1214" t="s">
        <v>4025</v>
      </c>
      <c r="K1214" s="2">
        <v>44657</v>
      </c>
      <c r="L1214" s="2">
        <v>44665</v>
      </c>
      <c r="M1214">
        <v>3</v>
      </c>
      <c r="N1214">
        <v>192</v>
      </c>
      <c r="O1214">
        <f>IF(Tickets[[#This Row],[Ticket Priority]]="Critical",24,
IF(Tickets[[#This Row],[Ticket Priority]]="High",48,
IF(Tickets[[#This Row],[Ticket Priority]]="Medium",120,168)))</f>
        <v>168</v>
      </c>
      <c r="P1214" t="str">
        <f>IF(Tickets[[#This Row],[Resolution Duration Hours]] &lt;= Tickets[[#This Row],[SLA_Target_Hours]], "Yes", "No")</f>
        <v>No</v>
      </c>
    </row>
    <row r="1215" spans="1:16" hidden="1">
      <c r="A1215">
        <v>1214</v>
      </c>
      <c r="B1215" t="s">
        <v>1218</v>
      </c>
      <c r="C1215" t="s">
        <v>3194</v>
      </c>
      <c r="D1215" t="s">
        <v>3983</v>
      </c>
      <c r="E1215" s="1">
        <v>44608</v>
      </c>
      <c r="F1215" t="s">
        <v>4001</v>
      </c>
      <c r="G1215" t="s">
        <v>4011</v>
      </c>
      <c r="H1215" t="s">
        <v>4020</v>
      </c>
      <c r="I1215" t="s">
        <v>4023</v>
      </c>
      <c r="J1215" t="s">
        <v>4027</v>
      </c>
      <c r="K1215" s="2">
        <v>44867</v>
      </c>
      <c r="L1215" s="2">
        <v>44871</v>
      </c>
      <c r="N1215">
        <v>96</v>
      </c>
      <c r="O1215">
        <f>IF(Tickets[[#This Row],[Ticket Priority]]="Critical",24,
IF(Tickets[[#This Row],[Ticket Priority]]="High",48,
IF(Tickets[[#This Row],[Ticket Priority]]="Medium",120,168)))</f>
        <v>120</v>
      </c>
      <c r="P1215" t="str">
        <f>IF(Tickets[[#This Row],[Resolution Duration Hours]] &lt;= Tickets[[#This Row],[SLA_Target_Hours]], "Yes", "No")</f>
        <v>Yes</v>
      </c>
    </row>
    <row r="1216" spans="1:16" hidden="1">
      <c r="A1216">
        <v>1215</v>
      </c>
      <c r="B1216" t="s">
        <v>1219</v>
      </c>
      <c r="C1216" t="s">
        <v>3195</v>
      </c>
      <c r="D1216" t="s">
        <v>3980</v>
      </c>
      <c r="E1216" s="1">
        <v>44982</v>
      </c>
      <c r="F1216" t="s">
        <v>4000</v>
      </c>
      <c r="G1216" t="s">
        <v>4014</v>
      </c>
      <c r="H1216" t="s">
        <v>4018</v>
      </c>
      <c r="I1216" t="s">
        <v>4023</v>
      </c>
      <c r="J1216" t="s">
        <v>4026</v>
      </c>
      <c r="K1216" s="2">
        <v>45249</v>
      </c>
      <c r="L1216" s="2">
        <v>45252</v>
      </c>
      <c r="M1216">
        <v>5</v>
      </c>
      <c r="N1216">
        <v>72</v>
      </c>
      <c r="O1216">
        <f>IF(Tickets[[#This Row],[Ticket Priority]]="Critical",24,
IF(Tickets[[#This Row],[Ticket Priority]]="High",48,
IF(Tickets[[#This Row],[Ticket Priority]]="Medium",120,168)))</f>
        <v>120</v>
      </c>
      <c r="P1216" t="str">
        <f>IF(Tickets[[#This Row],[Resolution Duration Hours]] &lt;= Tickets[[#This Row],[SLA_Target_Hours]], "Yes", "No")</f>
        <v>Yes</v>
      </c>
    </row>
    <row r="1217" spans="1:16" hidden="1">
      <c r="A1217">
        <v>1216</v>
      </c>
      <c r="B1217" t="s">
        <v>1220</v>
      </c>
      <c r="C1217" t="s">
        <v>3196</v>
      </c>
      <c r="D1217" t="s">
        <v>3990</v>
      </c>
      <c r="E1217" s="1">
        <v>43889</v>
      </c>
      <c r="F1217" t="s">
        <v>3999</v>
      </c>
      <c r="G1217" t="s">
        <v>4010</v>
      </c>
      <c r="H1217" t="s">
        <v>4020</v>
      </c>
      <c r="I1217" t="s">
        <v>4024</v>
      </c>
      <c r="J1217" t="s">
        <v>4026</v>
      </c>
      <c r="K1217" s="2">
        <v>44171</v>
      </c>
      <c r="L1217" s="2">
        <v>44177</v>
      </c>
      <c r="N1217">
        <v>144</v>
      </c>
      <c r="O1217">
        <f>IF(Tickets[[#This Row],[Ticket Priority]]="Critical",24,
IF(Tickets[[#This Row],[Ticket Priority]]="High",48,
IF(Tickets[[#This Row],[Ticket Priority]]="Medium",120,168)))</f>
        <v>168</v>
      </c>
      <c r="P1217" t="str">
        <f>IF(Tickets[[#This Row],[Resolution Duration Hours]] &lt;= Tickets[[#This Row],[SLA_Target_Hours]], "Yes", "No")</f>
        <v>Yes</v>
      </c>
    </row>
    <row r="1218" spans="1:16">
      <c r="A1218">
        <v>1272</v>
      </c>
      <c r="B1218" t="s">
        <v>1274</v>
      </c>
      <c r="C1218" t="s">
        <v>3252</v>
      </c>
      <c r="D1218" t="s">
        <v>3985</v>
      </c>
      <c r="E1218" s="1">
        <v>44325</v>
      </c>
      <c r="F1218" t="s">
        <v>3999</v>
      </c>
      <c r="G1218" t="s">
        <v>4003</v>
      </c>
      <c r="H1218" t="s">
        <v>4019</v>
      </c>
      <c r="I1218" t="s">
        <v>4024</v>
      </c>
      <c r="J1218" t="s">
        <v>4026</v>
      </c>
      <c r="K1218" s="2">
        <v>44361</v>
      </c>
      <c r="L1218" s="2">
        <v>44369</v>
      </c>
      <c r="M1218">
        <v>5</v>
      </c>
      <c r="N1218">
        <v>192</v>
      </c>
      <c r="O1218">
        <f>IF(Tickets[[#This Row],[Ticket Priority]]="Critical",24,
IF(Tickets[[#This Row],[Ticket Priority]]="High",48,
IF(Tickets[[#This Row],[Ticket Priority]]="Medium",120,168)))</f>
        <v>168</v>
      </c>
      <c r="P1218" t="str">
        <f>IF(Tickets[[#This Row],[Resolution Duration Hours]] &lt;= Tickets[[#This Row],[SLA_Target_Hours]], "Yes", "No")</f>
        <v>No</v>
      </c>
    </row>
    <row r="1219" spans="1:16" hidden="1">
      <c r="A1219">
        <v>1218</v>
      </c>
      <c r="B1219" t="s">
        <v>1222</v>
      </c>
      <c r="C1219" t="s">
        <v>3198</v>
      </c>
      <c r="D1219" t="s">
        <v>3988</v>
      </c>
      <c r="E1219" s="1">
        <v>44390</v>
      </c>
      <c r="F1219" t="s">
        <v>3998</v>
      </c>
      <c r="G1219" t="s">
        <v>4011</v>
      </c>
      <c r="H1219" t="s">
        <v>4017</v>
      </c>
      <c r="I1219" t="s">
        <v>4023</v>
      </c>
      <c r="J1219" t="s">
        <v>4028</v>
      </c>
      <c r="K1219" s="2">
        <v>44490</v>
      </c>
      <c r="L1219" s="2">
        <v>44494</v>
      </c>
      <c r="N1219">
        <v>96</v>
      </c>
      <c r="O1219">
        <f>IF(Tickets[[#This Row],[Ticket Priority]]="Critical",24,
IF(Tickets[[#This Row],[Ticket Priority]]="High",48,
IF(Tickets[[#This Row],[Ticket Priority]]="Medium",120,168)))</f>
        <v>120</v>
      </c>
      <c r="P1219" t="str">
        <f>IF(Tickets[[#This Row],[Resolution Duration Hours]] &lt;= Tickets[[#This Row],[SLA_Target_Hours]], "Yes", "No")</f>
        <v>Yes</v>
      </c>
    </row>
    <row r="1220" spans="1:16" hidden="1">
      <c r="A1220">
        <v>1219</v>
      </c>
      <c r="B1220" t="s">
        <v>537</v>
      </c>
      <c r="C1220" t="s">
        <v>3199</v>
      </c>
      <c r="D1220" t="s">
        <v>3986</v>
      </c>
      <c r="E1220" s="1">
        <v>43947</v>
      </c>
      <c r="F1220" t="s">
        <v>3998</v>
      </c>
      <c r="G1220" t="s">
        <v>4008</v>
      </c>
      <c r="H1220" t="s">
        <v>4018</v>
      </c>
      <c r="I1220" t="s">
        <v>4023</v>
      </c>
      <c r="J1220" t="s">
        <v>4028</v>
      </c>
      <c r="K1220" s="2">
        <v>44238</v>
      </c>
      <c r="L1220" s="2">
        <v>44241</v>
      </c>
      <c r="M1220">
        <v>4</v>
      </c>
      <c r="N1220">
        <v>72</v>
      </c>
      <c r="O1220">
        <f>IF(Tickets[[#This Row],[Ticket Priority]]="Critical",24,
IF(Tickets[[#This Row],[Ticket Priority]]="High",48,
IF(Tickets[[#This Row],[Ticket Priority]]="Medium",120,168)))</f>
        <v>120</v>
      </c>
      <c r="P1220" t="str">
        <f>IF(Tickets[[#This Row],[Resolution Duration Hours]] &lt;= Tickets[[#This Row],[SLA_Target_Hours]], "Yes", "No")</f>
        <v>Yes</v>
      </c>
    </row>
    <row r="1221" spans="1:16" hidden="1">
      <c r="A1221">
        <v>1220</v>
      </c>
      <c r="B1221" t="s">
        <v>1223</v>
      </c>
      <c r="C1221" t="s">
        <v>3200</v>
      </c>
      <c r="D1221" t="s">
        <v>3984</v>
      </c>
      <c r="E1221" s="1">
        <v>44680</v>
      </c>
      <c r="F1221" t="s">
        <v>3999</v>
      </c>
      <c r="G1221" t="s">
        <v>4013</v>
      </c>
      <c r="H1221" t="s">
        <v>4018</v>
      </c>
      <c r="I1221" t="s">
        <v>4023</v>
      </c>
      <c r="J1221" t="s">
        <v>4028</v>
      </c>
      <c r="K1221" s="2">
        <v>44680</v>
      </c>
      <c r="L1221" s="2">
        <v>44681</v>
      </c>
      <c r="M1221">
        <v>3</v>
      </c>
      <c r="N1221">
        <v>24</v>
      </c>
      <c r="O1221">
        <f>IF(Tickets[[#This Row],[Ticket Priority]]="Critical",24,
IF(Tickets[[#This Row],[Ticket Priority]]="High",48,
IF(Tickets[[#This Row],[Ticket Priority]]="Medium",120,168)))</f>
        <v>120</v>
      </c>
      <c r="P1221" t="str">
        <f>IF(Tickets[[#This Row],[Resolution Duration Hours]] &lt;= Tickets[[#This Row],[SLA_Target_Hours]], "Yes", "No")</f>
        <v>Yes</v>
      </c>
    </row>
    <row r="1222" spans="1:16" hidden="1">
      <c r="A1222">
        <v>1221</v>
      </c>
      <c r="B1222" t="s">
        <v>1224</v>
      </c>
      <c r="C1222" t="s">
        <v>3201</v>
      </c>
      <c r="D1222" t="s">
        <v>3991</v>
      </c>
      <c r="E1222" s="1">
        <v>44290</v>
      </c>
      <c r="F1222" t="s">
        <v>4002</v>
      </c>
      <c r="G1222" t="s">
        <v>4011</v>
      </c>
      <c r="H1222" t="s">
        <v>4018</v>
      </c>
      <c r="I1222" t="s">
        <v>4024</v>
      </c>
      <c r="J1222" t="s">
        <v>4025</v>
      </c>
      <c r="K1222" s="2">
        <v>44417</v>
      </c>
      <c r="L1222" s="2">
        <v>44420</v>
      </c>
      <c r="M1222">
        <v>4</v>
      </c>
      <c r="N1222">
        <v>72</v>
      </c>
      <c r="O1222">
        <f>IF(Tickets[[#This Row],[Ticket Priority]]="Critical",24,
IF(Tickets[[#This Row],[Ticket Priority]]="High",48,
IF(Tickets[[#This Row],[Ticket Priority]]="Medium",120,168)))</f>
        <v>168</v>
      </c>
      <c r="P1222" t="str">
        <f>IF(Tickets[[#This Row],[Resolution Duration Hours]] &lt;= Tickets[[#This Row],[SLA_Target_Hours]], "Yes", "No")</f>
        <v>Yes</v>
      </c>
    </row>
    <row r="1223" spans="1:16">
      <c r="A1223">
        <v>1274</v>
      </c>
      <c r="B1223" t="s">
        <v>1276</v>
      </c>
      <c r="C1223" t="s">
        <v>3254</v>
      </c>
      <c r="D1223" t="s">
        <v>3981</v>
      </c>
      <c r="E1223" s="1">
        <v>44486</v>
      </c>
      <c r="F1223" t="s">
        <v>3999</v>
      </c>
      <c r="G1223" t="s">
        <v>4016</v>
      </c>
      <c r="H1223" t="s">
        <v>4018</v>
      </c>
      <c r="I1223" t="s">
        <v>4024</v>
      </c>
      <c r="J1223" t="s">
        <v>4028</v>
      </c>
      <c r="K1223" s="2">
        <v>44609</v>
      </c>
      <c r="L1223" s="2">
        <v>44617</v>
      </c>
      <c r="M1223">
        <v>4</v>
      </c>
      <c r="N1223">
        <v>192</v>
      </c>
      <c r="O1223">
        <f>IF(Tickets[[#This Row],[Ticket Priority]]="Critical",24,
IF(Tickets[[#This Row],[Ticket Priority]]="High",48,
IF(Tickets[[#This Row],[Ticket Priority]]="Medium",120,168)))</f>
        <v>168</v>
      </c>
      <c r="P1223" t="str">
        <f>IF(Tickets[[#This Row],[Resolution Duration Hours]] &lt;= Tickets[[#This Row],[SLA_Target_Hours]], "Yes", "No")</f>
        <v>No</v>
      </c>
    </row>
    <row r="1224" spans="1:16">
      <c r="A1224">
        <v>1297</v>
      </c>
      <c r="B1224" t="s">
        <v>1299</v>
      </c>
      <c r="C1224" t="s">
        <v>3277</v>
      </c>
      <c r="D1224" t="s">
        <v>3987</v>
      </c>
      <c r="E1224" s="1">
        <v>44971</v>
      </c>
      <c r="F1224" t="s">
        <v>4000</v>
      </c>
      <c r="G1224" t="s">
        <v>4015</v>
      </c>
      <c r="H1224" t="s">
        <v>4018</v>
      </c>
      <c r="I1224" t="s">
        <v>4024</v>
      </c>
      <c r="J1224" t="s">
        <v>4026</v>
      </c>
      <c r="K1224" s="2">
        <v>45283</v>
      </c>
      <c r="L1224" s="2">
        <v>45291</v>
      </c>
      <c r="M1224">
        <v>5</v>
      </c>
      <c r="N1224">
        <v>192</v>
      </c>
      <c r="O1224">
        <f>IF(Tickets[[#This Row],[Ticket Priority]]="Critical",24,
IF(Tickets[[#This Row],[Ticket Priority]]="High",48,
IF(Tickets[[#This Row],[Ticket Priority]]="Medium",120,168)))</f>
        <v>168</v>
      </c>
      <c r="P1224" t="str">
        <f>IF(Tickets[[#This Row],[Resolution Duration Hours]] &lt;= Tickets[[#This Row],[SLA_Target_Hours]], "Yes", "No")</f>
        <v>No</v>
      </c>
    </row>
    <row r="1225" spans="1:16" hidden="1">
      <c r="A1225">
        <v>1224</v>
      </c>
      <c r="B1225" t="s">
        <v>1227</v>
      </c>
      <c r="C1225" t="s">
        <v>3204</v>
      </c>
      <c r="D1225" t="s">
        <v>3989</v>
      </c>
      <c r="E1225" s="1">
        <v>44318</v>
      </c>
      <c r="F1225" t="s">
        <v>4002</v>
      </c>
      <c r="G1225" t="s">
        <v>4007</v>
      </c>
      <c r="H1225" t="s">
        <v>4018</v>
      </c>
      <c r="I1225" t="s">
        <v>4023</v>
      </c>
      <c r="J1225" t="s">
        <v>4026</v>
      </c>
      <c r="K1225" s="2">
        <v>44610</v>
      </c>
      <c r="L1225" s="2">
        <v>44611</v>
      </c>
      <c r="N1225">
        <v>24</v>
      </c>
      <c r="O1225">
        <f>IF(Tickets[[#This Row],[Ticket Priority]]="Critical",24,
IF(Tickets[[#This Row],[Ticket Priority]]="High",48,
IF(Tickets[[#This Row],[Ticket Priority]]="Medium",120,168)))</f>
        <v>120</v>
      </c>
      <c r="P1225" t="str">
        <f>IF(Tickets[[#This Row],[Resolution Duration Hours]] &lt;= Tickets[[#This Row],[SLA_Target_Hours]], "Yes", "No")</f>
        <v>Yes</v>
      </c>
    </row>
    <row r="1226" spans="1:16" hidden="1">
      <c r="A1226">
        <v>1225</v>
      </c>
      <c r="B1226" t="s">
        <v>1228</v>
      </c>
      <c r="C1226" t="s">
        <v>3205</v>
      </c>
      <c r="D1226" t="s">
        <v>3992</v>
      </c>
      <c r="E1226" s="1">
        <v>43919</v>
      </c>
      <c r="F1226" t="s">
        <v>3999</v>
      </c>
      <c r="G1226" t="s">
        <v>4007</v>
      </c>
      <c r="H1226" t="s">
        <v>4018</v>
      </c>
      <c r="I1226" t="s">
        <v>4023</v>
      </c>
      <c r="J1226" t="s">
        <v>4027</v>
      </c>
      <c r="K1226" s="2">
        <v>44253</v>
      </c>
      <c r="L1226" s="2">
        <v>44256</v>
      </c>
      <c r="M1226">
        <v>3</v>
      </c>
      <c r="N1226">
        <v>72</v>
      </c>
      <c r="O1226">
        <f>IF(Tickets[[#This Row],[Ticket Priority]]="Critical",24,
IF(Tickets[[#This Row],[Ticket Priority]]="High",48,
IF(Tickets[[#This Row],[Ticket Priority]]="Medium",120,168)))</f>
        <v>120</v>
      </c>
      <c r="P1226" t="str">
        <f>IF(Tickets[[#This Row],[Resolution Duration Hours]] &lt;= Tickets[[#This Row],[SLA_Target_Hours]], "Yes", "No")</f>
        <v>Yes</v>
      </c>
    </row>
    <row r="1227" spans="1:16" hidden="1">
      <c r="A1227">
        <v>1226</v>
      </c>
      <c r="B1227" t="s">
        <v>1229</v>
      </c>
      <c r="C1227" t="s">
        <v>3206</v>
      </c>
      <c r="D1227" t="s">
        <v>3983</v>
      </c>
      <c r="E1227" s="1">
        <v>44076</v>
      </c>
      <c r="F1227" t="s">
        <v>4000</v>
      </c>
      <c r="G1227" t="s">
        <v>4010</v>
      </c>
      <c r="H1227" t="s">
        <v>4020</v>
      </c>
      <c r="I1227" t="s">
        <v>4023</v>
      </c>
      <c r="J1227" t="s">
        <v>4026</v>
      </c>
      <c r="K1227" s="2">
        <v>44257</v>
      </c>
      <c r="L1227" s="2">
        <v>44260</v>
      </c>
      <c r="N1227">
        <v>72</v>
      </c>
      <c r="O1227">
        <f>IF(Tickets[[#This Row],[Ticket Priority]]="Critical",24,
IF(Tickets[[#This Row],[Ticket Priority]]="High",48,
IF(Tickets[[#This Row],[Ticket Priority]]="Medium",120,168)))</f>
        <v>120</v>
      </c>
      <c r="P1227" t="str">
        <f>IF(Tickets[[#This Row],[Resolution Duration Hours]] &lt;= Tickets[[#This Row],[SLA_Target_Hours]], "Yes", "No")</f>
        <v>Yes</v>
      </c>
    </row>
    <row r="1228" spans="1:16" hidden="1">
      <c r="A1228">
        <v>1227</v>
      </c>
      <c r="B1228" t="s">
        <v>1230</v>
      </c>
      <c r="C1228" t="s">
        <v>3207</v>
      </c>
      <c r="D1228" t="s">
        <v>3995</v>
      </c>
      <c r="E1228" s="1">
        <v>44558</v>
      </c>
      <c r="F1228" t="s">
        <v>3999</v>
      </c>
      <c r="G1228" t="s">
        <v>4012</v>
      </c>
      <c r="H1228" t="s">
        <v>4020</v>
      </c>
      <c r="I1228" t="s">
        <v>4021</v>
      </c>
      <c r="J1228" t="s">
        <v>4026</v>
      </c>
      <c r="K1228" s="2">
        <v>44739</v>
      </c>
      <c r="L1228" s="2">
        <v>44740</v>
      </c>
      <c r="N1228">
        <v>24</v>
      </c>
      <c r="O1228">
        <f>IF(Tickets[[#This Row],[Ticket Priority]]="Critical",24,
IF(Tickets[[#This Row],[Ticket Priority]]="High",48,
IF(Tickets[[#This Row],[Ticket Priority]]="Medium",120,168)))</f>
        <v>48</v>
      </c>
      <c r="P1228" t="str">
        <f>IF(Tickets[[#This Row],[Resolution Duration Hours]] &lt;= Tickets[[#This Row],[SLA_Target_Hours]], "Yes", "No")</f>
        <v>Yes</v>
      </c>
    </row>
    <row r="1229" spans="1:16" hidden="1">
      <c r="A1229">
        <v>1228</v>
      </c>
      <c r="B1229" t="s">
        <v>1231</v>
      </c>
      <c r="C1229" t="s">
        <v>3208</v>
      </c>
      <c r="D1229" t="s">
        <v>3981</v>
      </c>
      <c r="E1229" s="1">
        <v>45024</v>
      </c>
      <c r="F1229" t="s">
        <v>3998</v>
      </c>
      <c r="G1229" t="s">
        <v>4011</v>
      </c>
      <c r="H1229" t="s">
        <v>4018</v>
      </c>
      <c r="I1229" t="s">
        <v>4024</v>
      </c>
      <c r="J1229" t="s">
        <v>4026</v>
      </c>
      <c r="K1229" s="2">
        <v>45036</v>
      </c>
      <c r="L1229" s="2">
        <v>45041</v>
      </c>
      <c r="N1229">
        <v>120</v>
      </c>
      <c r="O1229">
        <f>IF(Tickets[[#This Row],[Ticket Priority]]="Critical",24,
IF(Tickets[[#This Row],[Ticket Priority]]="High",48,
IF(Tickets[[#This Row],[Ticket Priority]]="Medium",120,168)))</f>
        <v>168</v>
      </c>
      <c r="P1229" t="str">
        <f>IF(Tickets[[#This Row],[Resolution Duration Hours]] &lt;= Tickets[[#This Row],[SLA_Target_Hours]], "Yes", "No")</f>
        <v>Yes</v>
      </c>
    </row>
    <row r="1230" spans="1:16" hidden="1">
      <c r="A1230">
        <v>1229</v>
      </c>
      <c r="B1230" t="s">
        <v>1232</v>
      </c>
      <c r="C1230" t="s">
        <v>3209</v>
      </c>
      <c r="D1230" t="s">
        <v>3979</v>
      </c>
      <c r="E1230" s="1">
        <v>44982</v>
      </c>
      <c r="F1230" t="s">
        <v>4001</v>
      </c>
      <c r="G1230" t="s">
        <v>4008</v>
      </c>
      <c r="H1230" t="s">
        <v>4018</v>
      </c>
      <c r="I1230" t="s">
        <v>4023</v>
      </c>
      <c r="J1230" t="s">
        <v>4027</v>
      </c>
      <c r="K1230" s="2">
        <v>45020</v>
      </c>
      <c r="L1230" s="2">
        <v>45020</v>
      </c>
      <c r="M1230">
        <v>5</v>
      </c>
      <c r="N1230">
        <v>0</v>
      </c>
      <c r="O1230">
        <f>IF(Tickets[[#This Row],[Ticket Priority]]="Critical",24,
IF(Tickets[[#This Row],[Ticket Priority]]="High",48,
IF(Tickets[[#This Row],[Ticket Priority]]="Medium",120,168)))</f>
        <v>120</v>
      </c>
      <c r="P1230" t="str">
        <f>IF(Tickets[[#This Row],[Resolution Duration Hours]] &lt;= Tickets[[#This Row],[SLA_Target_Hours]], "Yes", "No")</f>
        <v>Yes</v>
      </c>
    </row>
    <row r="1231" spans="1:16" hidden="1">
      <c r="A1231">
        <v>1230</v>
      </c>
      <c r="B1231" t="s">
        <v>1233</v>
      </c>
      <c r="C1231" t="s">
        <v>3210</v>
      </c>
      <c r="D1231" t="s">
        <v>3992</v>
      </c>
      <c r="E1231" s="1">
        <v>44328</v>
      </c>
      <c r="F1231" t="s">
        <v>3999</v>
      </c>
      <c r="G1231" t="s">
        <v>4004</v>
      </c>
      <c r="H1231" t="s">
        <v>4017</v>
      </c>
      <c r="I1231" t="s">
        <v>4023</v>
      </c>
      <c r="J1231" t="s">
        <v>4028</v>
      </c>
      <c r="K1231" s="2">
        <v>44455</v>
      </c>
      <c r="L1231" s="2">
        <v>44457</v>
      </c>
      <c r="N1231">
        <v>48</v>
      </c>
      <c r="O1231">
        <f>IF(Tickets[[#This Row],[Ticket Priority]]="Critical",24,
IF(Tickets[[#This Row],[Ticket Priority]]="High",48,
IF(Tickets[[#This Row],[Ticket Priority]]="Medium",120,168)))</f>
        <v>120</v>
      </c>
      <c r="P1231" t="str">
        <f>IF(Tickets[[#This Row],[Resolution Duration Hours]] &lt;= Tickets[[#This Row],[SLA_Target_Hours]], "Yes", "No")</f>
        <v>Yes</v>
      </c>
    </row>
    <row r="1232" spans="1:16" hidden="1">
      <c r="A1232">
        <v>1231</v>
      </c>
      <c r="B1232" t="s">
        <v>1234</v>
      </c>
      <c r="C1232" t="s">
        <v>3211</v>
      </c>
      <c r="D1232" t="s">
        <v>3981</v>
      </c>
      <c r="E1232" s="1">
        <v>44566</v>
      </c>
      <c r="F1232" t="s">
        <v>4000</v>
      </c>
      <c r="G1232" t="s">
        <v>4016</v>
      </c>
      <c r="H1232" t="s">
        <v>4018</v>
      </c>
      <c r="I1232" t="s">
        <v>4021</v>
      </c>
      <c r="J1232" t="s">
        <v>4025</v>
      </c>
      <c r="K1232" s="2">
        <v>44790</v>
      </c>
      <c r="L1232" s="2">
        <v>44792</v>
      </c>
      <c r="M1232">
        <v>5</v>
      </c>
      <c r="N1232">
        <v>48</v>
      </c>
      <c r="O1232">
        <f>IF(Tickets[[#This Row],[Ticket Priority]]="Critical",24,
IF(Tickets[[#This Row],[Ticket Priority]]="High",48,
IF(Tickets[[#This Row],[Ticket Priority]]="Medium",120,168)))</f>
        <v>48</v>
      </c>
      <c r="P1232" t="str">
        <f>IF(Tickets[[#This Row],[Resolution Duration Hours]] &lt;= Tickets[[#This Row],[SLA_Target_Hours]], "Yes", "No")</f>
        <v>Yes</v>
      </c>
    </row>
    <row r="1233" spans="1:16" hidden="1">
      <c r="A1233">
        <v>1232</v>
      </c>
      <c r="B1233" t="s">
        <v>1235</v>
      </c>
      <c r="C1233" t="s">
        <v>3212</v>
      </c>
      <c r="D1233" t="s">
        <v>3985</v>
      </c>
      <c r="E1233" s="1">
        <v>43960</v>
      </c>
      <c r="F1233" t="s">
        <v>3999</v>
      </c>
      <c r="G1233" t="s">
        <v>4004</v>
      </c>
      <c r="H1233" t="s">
        <v>4018</v>
      </c>
      <c r="I1233" t="s">
        <v>4021</v>
      </c>
      <c r="J1233" t="s">
        <v>4025</v>
      </c>
      <c r="K1233" s="2">
        <v>44261</v>
      </c>
      <c r="L1233" s="2">
        <v>44262</v>
      </c>
      <c r="M1233">
        <v>2</v>
      </c>
      <c r="N1233">
        <v>24</v>
      </c>
      <c r="O1233">
        <f>IF(Tickets[[#This Row],[Ticket Priority]]="Critical",24,
IF(Tickets[[#This Row],[Ticket Priority]]="High",48,
IF(Tickets[[#This Row],[Ticket Priority]]="Medium",120,168)))</f>
        <v>48</v>
      </c>
      <c r="P1233" t="str">
        <f>IF(Tickets[[#This Row],[Resolution Duration Hours]] &lt;= Tickets[[#This Row],[SLA_Target_Hours]], "Yes", "No")</f>
        <v>Yes</v>
      </c>
    </row>
    <row r="1234" spans="1:16" hidden="1">
      <c r="A1234">
        <v>1233</v>
      </c>
      <c r="B1234" t="s">
        <v>366</v>
      </c>
      <c r="C1234" t="s">
        <v>3213</v>
      </c>
      <c r="D1234" t="s">
        <v>3986</v>
      </c>
      <c r="E1234" s="1">
        <v>44871</v>
      </c>
      <c r="F1234" t="s">
        <v>3999</v>
      </c>
      <c r="G1234" t="s">
        <v>4006</v>
      </c>
      <c r="H1234" t="s">
        <v>4018</v>
      </c>
      <c r="I1234" t="s">
        <v>4024</v>
      </c>
      <c r="J1234" t="s">
        <v>4026</v>
      </c>
      <c r="K1234" s="2">
        <v>45224</v>
      </c>
      <c r="L1234" s="2">
        <v>45230</v>
      </c>
      <c r="M1234">
        <v>5</v>
      </c>
      <c r="N1234">
        <v>144</v>
      </c>
      <c r="O1234">
        <f>IF(Tickets[[#This Row],[Ticket Priority]]="Critical",24,
IF(Tickets[[#This Row],[Ticket Priority]]="High",48,
IF(Tickets[[#This Row],[Ticket Priority]]="Medium",120,168)))</f>
        <v>168</v>
      </c>
      <c r="P1234" t="str">
        <f>IF(Tickets[[#This Row],[Resolution Duration Hours]] &lt;= Tickets[[#This Row],[SLA_Target_Hours]], "Yes", "No")</f>
        <v>Yes</v>
      </c>
    </row>
    <row r="1235" spans="1:16">
      <c r="A1235">
        <v>1348</v>
      </c>
      <c r="B1235" t="s">
        <v>1349</v>
      </c>
      <c r="C1235" t="s">
        <v>3328</v>
      </c>
      <c r="D1235" t="s">
        <v>3996</v>
      </c>
      <c r="E1235" s="1">
        <v>44386</v>
      </c>
      <c r="F1235" t="s">
        <v>4000</v>
      </c>
      <c r="G1235" t="s">
        <v>4000</v>
      </c>
      <c r="H1235" t="s">
        <v>4020</v>
      </c>
      <c r="I1235" t="s">
        <v>4024</v>
      </c>
      <c r="J1235" t="s">
        <v>4027</v>
      </c>
      <c r="K1235" s="2">
        <v>44584</v>
      </c>
      <c r="L1235" s="2">
        <v>44592</v>
      </c>
      <c r="N1235">
        <v>192</v>
      </c>
      <c r="O1235">
        <f>IF(Tickets[[#This Row],[Ticket Priority]]="Critical",24,
IF(Tickets[[#This Row],[Ticket Priority]]="High",48,
IF(Tickets[[#This Row],[Ticket Priority]]="Medium",120,168)))</f>
        <v>168</v>
      </c>
      <c r="P1235" t="str">
        <f>IF(Tickets[[#This Row],[Resolution Duration Hours]] &lt;= Tickets[[#This Row],[SLA_Target_Hours]], "Yes", "No")</f>
        <v>No</v>
      </c>
    </row>
    <row r="1236" spans="1:16" hidden="1">
      <c r="A1236">
        <v>1235</v>
      </c>
      <c r="B1236" t="s">
        <v>1237</v>
      </c>
      <c r="C1236" t="s">
        <v>3215</v>
      </c>
      <c r="D1236" t="s">
        <v>3985</v>
      </c>
      <c r="E1236" s="1">
        <v>44716</v>
      </c>
      <c r="F1236" t="s">
        <v>3998</v>
      </c>
      <c r="G1236" t="s">
        <v>4007</v>
      </c>
      <c r="H1236" t="s">
        <v>4020</v>
      </c>
      <c r="I1236" t="s">
        <v>4023</v>
      </c>
      <c r="J1236" t="s">
        <v>4026</v>
      </c>
      <c r="K1236" s="2">
        <v>44777</v>
      </c>
      <c r="L1236" s="2">
        <v>44779</v>
      </c>
      <c r="N1236">
        <v>48</v>
      </c>
      <c r="O1236">
        <f>IF(Tickets[[#This Row],[Ticket Priority]]="Critical",24,
IF(Tickets[[#This Row],[Ticket Priority]]="High",48,
IF(Tickets[[#This Row],[Ticket Priority]]="Medium",120,168)))</f>
        <v>120</v>
      </c>
      <c r="P1236" t="str">
        <f>IF(Tickets[[#This Row],[Resolution Duration Hours]] &lt;= Tickets[[#This Row],[SLA_Target_Hours]], "Yes", "No")</f>
        <v>Yes</v>
      </c>
    </row>
    <row r="1237" spans="1:16" hidden="1">
      <c r="A1237">
        <v>1236</v>
      </c>
      <c r="B1237" t="s">
        <v>1238</v>
      </c>
      <c r="C1237" t="s">
        <v>3216</v>
      </c>
      <c r="D1237" t="s">
        <v>3987</v>
      </c>
      <c r="E1237" s="1">
        <v>44055</v>
      </c>
      <c r="F1237" t="s">
        <v>3998</v>
      </c>
      <c r="G1237" t="s">
        <v>4007</v>
      </c>
      <c r="H1237" t="s">
        <v>4020</v>
      </c>
      <c r="I1237" t="s">
        <v>4022</v>
      </c>
      <c r="J1237" t="s">
        <v>4028</v>
      </c>
      <c r="K1237" s="2">
        <v>44344</v>
      </c>
      <c r="L1237" s="2">
        <v>44345</v>
      </c>
      <c r="N1237">
        <v>24</v>
      </c>
      <c r="O1237">
        <f>IF(Tickets[[#This Row],[Ticket Priority]]="Critical",24,
IF(Tickets[[#This Row],[Ticket Priority]]="High",48,
IF(Tickets[[#This Row],[Ticket Priority]]="Medium",120,168)))</f>
        <v>24</v>
      </c>
      <c r="P1237" t="str">
        <f>IF(Tickets[[#This Row],[Resolution Duration Hours]] &lt;= Tickets[[#This Row],[SLA_Target_Hours]], "Yes", "No")</f>
        <v>Yes</v>
      </c>
    </row>
    <row r="1238" spans="1:16" hidden="1">
      <c r="A1238">
        <v>1237</v>
      </c>
      <c r="B1238" t="s">
        <v>1239</v>
      </c>
      <c r="C1238" t="s">
        <v>3217</v>
      </c>
      <c r="D1238" t="s">
        <v>3988</v>
      </c>
      <c r="E1238" s="1">
        <v>44322</v>
      </c>
      <c r="F1238" t="s">
        <v>4001</v>
      </c>
      <c r="G1238" t="s">
        <v>4009</v>
      </c>
      <c r="H1238" t="s">
        <v>4020</v>
      </c>
      <c r="I1238" t="s">
        <v>4024</v>
      </c>
      <c r="J1238" t="s">
        <v>4025</v>
      </c>
      <c r="K1238" s="2">
        <v>44360</v>
      </c>
      <c r="L1238" s="2">
        <v>44365</v>
      </c>
      <c r="N1238">
        <v>120</v>
      </c>
      <c r="O1238">
        <f>IF(Tickets[[#This Row],[Ticket Priority]]="Critical",24,
IF(Tickets[[#This Row],[Ticket Priority]]="High",48,
IF(Tickets[[#This Row],[Ticket Priority]]="Medium",120,168)))</f>
        <v>168</v>
      </c>
      <c r="P1238" t="str">
        <f>IF(Tickets[[#This Row],[Resolution Duration Hours]] &lt;= Tickets[[#This Row],[SLA_Target_Hours]], "Yes", "No")</f>
        <v>Yes</v>
      </c>
    </row>
    <row r="1239" spans="1:16" hidden="1">
      <c r="A1239">
        <v>1238</v>
      </c>
      <c r="B1239" t="s">
        <v>1240</v>
      </c>
      <c r="C1239" t="s">
        <v>3218</v>
      </c>
      <c r="D1239" t="s">
        <v>3984</v>
      </c>
      <c r="E1239" s="1">
        <v>44816</v>
      </c>
      <c r="F1239" t="s">
        <v>4002</v>
      </c>
      <c r="G1239" t="s">
        <v>4013</v>
      </c>
      <c r="H1239" t="s">
        <v>4020</v>
      </c>
      <c r="I1239" t="s">
        <v>4021</v>
      </c>
      <c r="J1239" t="s">
        <v>4028</v>
      </c>
      <c r="K1239" s="2">
        <v>45128</v>
      </c>
      <c r="L1239" s="2">
        <v>45129</v>
      </c>
      <c r="N1239">
        <v>24</v>
      </c>
      <c r="O1239">
        <f>IF(Tickets[[#This Row],[Ticket Priority]]="Critical",24,
IF(Tickets[[#This Row],[Ticket Priority]]="High",48,
IF(Tickets[[#This Row],[Ticket Priority]]="Medium",120,168)))</f>
        <v>48</v>
      </c>
      <c r="P1239" t="str">
        <f>IF(Tickets[[#This Row],[Resolution Duration Hours]] &lt;= Tickets[[#This Row],[SLA_Target_Hours]], "Yes", "No")</f>
        <v>Yes</v>
      </c>
    </row>
    <row r="1240" spans="1:16">
      <c r="A1240">
        <v>1359</v>
      </c>
      <c r="B1240" t="s">
        <v>1360</v>
      </c>
      <c r="C1240" t="s">
        <v>3339</v>
      </c>
      <c r="D1240" t="s">
        <v>3981</v>
      </c>
      <c r="E1240" s="1">
        <v>44219</v>
      </c>
      <c r="F1240" t="s">
        <v>4000</v>
      </c>
      <c r="G1240" t="s">
        <v>4007</v>
      </c>
      <c r="H1240" t="s">
        <v>4020</v>
      </c>
      <c r="I1240" t="s">
        <v>4024</v>
      </c>
      <c r="J1240" t="s">
        <v>4028</v>
      </c>
      <c r="K1240" s="2">
        <v>44576</v>
      </c>
      <c r="L1240" s="2">
        <v>44584</v>
      </c>
      <c r="N1240">
        <v>192</v>
      </c>
      <c r="O1240">
        <f>IF(Tickets[[#This Row],[Ticket Priority]]="Critical",24,
IF(Tickets[[#This Row],[Ticket Priority]]="High",48,
IF(Tickets[[#This Row],[Ticket Priority]]="Medium",120,168)))</f>
        <v>168</v>
      </c>
      <c r="P1240" t="str">
        <f>IF(Tickets[[#This Row],[Resolution Duration Hours]] &lt;= Tickets[[#This Row],[SLA_Target_Hours]], "Yes", "No")</f>
        <v>No</v>
      </c>
    </row>
    <row r="1241" spans="1:16" hidden="1">
      <c r="A1241">
        <v>1240</v>
      </c>
      <c r="B1241" t="s">
        <v>1242</v>
      </c>
      <c r="C1241" t="s">
        <v>3220</v>
      </c>
      <c r="D1241" t="s">
        <v>3987</v>
      </c>
      <c r="E1241" s="1">
        <v>43853</v>
      </c>
      <c r="F1241" t="s">
        <v>3999</v>
      </c>
      <c r="G1241" t="s">
        <v>4004</v>
      </c>
      <c r="H1241" t="s">
        <v>4018</v>
      </c>
      <c r="I1241" t="s">
        <v>4022</v>
      </c>
      <c r="J1241" t="s">
        <v>4026</v>
      </c>
      <c r="K1241" s="2">
        <v>44172</v>
      </c>
      <c r="L1241" s="2">
        <v>44173</v>
      </c>
      <c r="M1241">
        <v>4</v>
      </c>
      <c r="N1241">
        <v>24</v>
      </c>
      <c r="O1241">
        <f>IF(Tickets[[#This Row],[Ticket Priority]]="Critical",24,
IF(Tickets[[#This Row],[Ticket Priority]]="High",48,
IF(Tickets[[#This Row],[Ticket Priority]]="Medium",120,168)))</f>
        <v>24</v>
      </c>
      <c r="P1241" t="str">
        <f>IF(Tickets[[#This Row],[Resolution Duration Hours]] &lt;= Tickets[[#This Row],[SLA_Target_Hours]], "Yes", "No")</f>
        <v>Yes</v>
      </c>
    </row>
    <row r="1242" spans="1:16">
      <c r="A1242">
        <v>1365</v>
      </c>
      <c r="B1242" t="s">
        <v>1366</v>
      </c>
      <c r="C1242" t="s">
        <v>3345</v>
      </c>
      <c r="D1242" t="s">
        <v>3995</v>
      </c>
      <c r="E1242" s="1">
        <v>44915</v>
      </c>
      <c r="F1242" t="s">
        <v>4000</v>
      </c>
      <c r="G1242" t="s">
        <v>4009</v>
      </c>
      <c r="H1242" t="s">
        <v>4017</v>
      </c>
      <c r="I1242" t="s">
        <v>4024</v>
      </c>
      <c r="J1242" t="s">
        <v>4027</v>
      </c>
      <c r="K1242" s="2">
        <v>44996</v>
      </c>
      <c r="L1242" s="2">
        <v>45004</v>
      </c>
      <c r="N1242">
        <v>192</v>
      </c>
      <c r="O1242">
        <f>IF(Tickets[[#This Row],[Ticket Priority]]="Critical",24,
IF(Tickets[[#This Row],[Ticket Priority]]="High",48,
IF(Tickets[[#This Row],[Ticket Priority]]="Medium",120,168)))</f>
        <v>168</v>
      </c>
      <c r="P1242" t="str">
        <f>IF(Tickets[[#This Row],[Resolution Duration Hours]] &lt;= Tickets[[#This Row],[SLA_Target_Hours]], "Yes", "No")</f>
        <v>No</v>
      </c>
    </row>
    <row r="1243" spans="1:16" hidden="1">
      <c r="A1243">
        <v>1242</v>
      </c>
      <c r="B1243" t="s">
        <v>1244</v>
      </c>
      <c r="C1243" t="s">
        <v>3222</v>
      </c>
      <c r="D1243" t="s">
        <v>3991</v>
      </c>
      <c r="E1243" s="1">
        <v>44007</v>
      </c>
      <c r="F1243" t="s">
        <v>4002</v>
      </c>
      <c r="G1243" t="s">
        <v>4013</v>
      </c>
      <c r="H1243" t="s">
        <v>4018</v>
      </c>
      <c r="I1243" t="s">
        <v>4022</v>
      </c>
      <c r="J1243" t="s">
        <v>4027</v>
      </c>
      <c r="K1243" s="2">
        <v>44315</v>
      </c>
      <c r="L1243" s="2">
        <v>44316</v>
      </c>
      <c r="M1243">
        <v>4</v>
      </c>
      <c r="N1243">
        <v>24</v>
      </c>
      <c r="O1243">
        <f>IF(Tickets[[#This Row],[Ticket Priority]]="Critical",24,
IF(Tickets[[#This Row],[Ticket Priority]]="High",48,
IF(Tickets[[#This Row],[Ticket Priority]]="Medium",120,168)))</f>
        <v>24</v>
      </c>
      <c r="P1243" t="str">
        <f>IF(Tickets[[#This Row],[Resolution Duration Hours]] &lt;= Tickets[[#This Row],[SLA_Target_Hours]], "Yes", "No")</f>
        <v>Yes</v>
      </c>
    </row>
    <row r="1244" spans="1:16" hidden="1">
      <c r="A1244">
        <v>1243</v>
      </c>
      <c r="B1244" t="s">
        <v>1245</v>
      </c>
      <c r="C1244" t="s">
        <v>3223</v>
      </c>
      <c r="D1244" t="s">
        <v>3986</v>
      </c>
      <c r="E1244" s="1">
        <v>44900</v>
      </c>
      <c r="F1244" t="s">
        <v>4000</v>
      </c>
      <c r="G1244" t="s">
        <v>4003</v>
      </c>
      <c r="H1244" t="s">
        <v>4018</v>
      </c>
      <c r="I1244" t="s">
        <v>4023</v>
      </c>
      <c r="J1244" t="s">
        <v>4026</v>
      </c>
      <c r="K1244" s="2">
        <v>44983</v>
      </c>
      <c r="L1244" s="2">
        <v>44987</v>
      </c>
      <c r="M1244">
        <v>4</v>
      </c>
      <c r="N1244">
        <v>96</v>
      </c>
      <c r="O1244">
        <f>IF(Tickets[[#This Row],[Ticket Priority]]="Critical",24,
IF(Tickets[[#This Row],[Ticket Priority]]="High",48,
IF(Tickets[[#This Row],[Ticket Priority]]="Medium",120,168)))</f>
        <v>120</v>
      </c>
      <c r="P1244" t="str">
        <f>IF(Tickets[[#This Row],[Resolution Duration Hours]] &lt;= Tickets[[#This Row],[SLA_Target_Hours]], "Yes", "No")</f>
        <v>Yes</v>
      </c>
    </row>
    <row r="1245" spans="1:16">
      <c r="A1245">
        <v>1382</v>
      </c>
      <c r="B1245" t="s">
        <v>1383</v>
      </c>
      <c r="C1245" t="s">
        <v>3362</v>
      </c>
      <c r="D1245" t="s">
        <v>3989</v>
      </c>
      <c r="E1245" s="1">
        <v>44053</v>
      </c>
      <c r="F1245" t="s">
        <v>4001</v>
      </c>
      <c r="G1245" t="s">
        <v>4010</v>
      </c>
      <c r="H1245" t="s">
        <v>4018</v>
      </c>
      <c r="I1245" t="s">
        <v>4024</v>
      </c>
      <c r="J1245" t="s">
        <v>4028</v>
      </c>
      <c r="K1245" s="2">
        <v>44282</v>
      </c>
      <c r="L1245" s="2">
        <v>44290</v>
      </c>
      <c r="M1245">
        <v>3</v>
      </c>
      <c r="N1245">
        <v>192</v>
      </c>
      <c r="O1245">
        <f>IF(Tickets[[#This Row],[Ticket Priority]]="Critical",24,
IF(Tickets[[#This Row],[Ticket Priority]]="High",48,
IF(Tickets[[#This Row],[Ticket Priority]]="Medium",120,168)))</f>
        <v>168</v>
      </c>
      <c r="P1245" t="str">
        <f>IF(Tickets[[#This Row],[Resolution Duration Hours]] &lt;= Tickets[[#This Row],[SLA_Target_Hours]], "Yes", "No")</f>
        <v>No</v>
      </c>
    </row>
    <row r="1246" spans="1:16" hidden="1">
      <c r="A1246">
        <v>1245</v>
      </c>
      <c r="B1246" t="s">
        <v>1247</v>
      </c>
      <c r="C1246" t="s">
        <v>3225</v>
      </c>
      <c r="D1246" t="s">
        <v>3979</v>
      </c>
      <c r="E1246" s="1">
        <v>43985</v>
      </c>
      <c r="F1246" t="s">
        <v>4000</v>
      </c>
      <c r="G1246" t="s">
        <v>4015</v>
      </c>
      <c r="H1246" t="s">
        <v>4018</v>
      </c>
      <c r="I1246" t="s">
        <v>4023</v>
      </c>
      <c r="J1246" t="s">
        <v>4026</v>
      </c>
      <c r="K1246" s="2">
        <v>44033</v>
      </c>
      <c r="L1246" s="2">
        <v>44037</v>
      </c>
      <c r="M1246">
        <v>4</v>
      </c>
      <c r="N1246">
        <v>96</v>
      </c>
      <c r="O1246">
        <f>IF(Tickets[[#This Row],[Ticket Priority]]="Critical",24,
IF(Tickets[[#This Row],[Ticket Priority]]="High",48,
IF(Tickets[[#This Row],[Ticket Priority]]="Medium",120,168)))</f>
        <v>120</v>
      </c>
      <c r="P1246" t="str">
        <f>IF(Tickets[[#This Row],[Resolution Duration Hours]] &lt;= Tickets[[#This Row],[SLA_Target_Hours]], "Yes", "No")</f>
        <v>Yes</v>
      </c>
    </row>
    <row r="1247" spans="1:16">
      <c r="A1247">
        <v>1407</v>
      </c>
      <c r="B1247" t="s">
        <v>1408</v>
      </c>
      <c r="C1247" t="s">
        <v>3387</v>
      </c>
      <c r="D1247" t="s">
        <v>3984</v>
      </c>
      <c r="E1247" s="1">
        <v>44263</v>
      </c>
      <c r="F1247" t="s">
        <v>3998</v>
      </c>
      <c r="G1247" t="s">
        <v>4008</v>
      </c>
      <c r="H1247" t="s">
        <v>4017</v>
      </c>
      <c r="I1247" t="s">
        <v>4024</v>
      </c>
      <c r="J1247" t="s">
        <v>4025</v>
      </c>
      <c r="K1247" s="2">
        <v>44342</v>
      </c>
      <c r="L1247" s="2">
        <v>44350</v>
      </c>
      <c r="N1247">
        <v>192</v>
      </c>
      <c r="O1247">
        <f>IF(Tickets[[#This Row],[Ticket Priority]]="Critical",24,
IF(Tickets[[#This Row],[Ticket Priority]]="High",48,
IF(Tickets[[#This Row],[Ticket Priority]]="Medium",120,168)))</f>
        <v>168</v>
      </c>
      <c r="P1247" t="str">
        <f>IF(Tickets[[#This Row],[Resolution Duration Hours]] &lt;= Tickets[[#This Row],[SLA_Target_Hours]], "Yes", "No")</f>
        <v>No</v>
      </c>
    </row>
    <row r="1248" spans="1:16" hidden="1">
      <c r="A1248">
        <v>1247</v>
      </c>
      <c r="B1248" t="s">
        <v>1249</v>
      </c>
      <c r="C1248" t="s">
        <v>3227</v>
      </c>
      <c r="D1248" t="s">
        <v>3995</v>
      </c>
      <c r="E1248" s="1">
        <v>44472</v>
      </c>
      <c r="F1248" t="s">
        <v>3999</v>
      </c>
      <c r="G1248" t="s">
        <v>4005</v>
      </c>
      <c r="H1248" t="s">
        <v>4018</v>
      </c>
      <c r="I1248" t="s">
        <v>4021</v>
      </c>
      <c r="J1248" t="s">
        <v>4027</v>
      </c>
      <c r="K1248" s="2">
        <v>44677</v>
      </c>
      <c r="L1248" s="2">
        <v>44677</v>
      </c>
      <c r="N1248">
        <v>0</v>
      </c>
      <c r="O1248">
        <f>IF(Tickets[[#This Row],[Ticket Priority]]="Critical",24,
IF(Tickets[[#This Row],[Ticket Priority]]="High",48,
IF(Tickets[[#This Row],[Ticket Priority]]="Medium",120,168)))</f>
        <v>48</v>
      </c>
      <c r="P1248" t="str">
        <f>IF(Tickets[[#This Row],[Resolution Duration Hours]] &lt;= Tickets[[#This Row],[SLA_Target_Hours]], "Yes", "No")</f>
        <v>Yes</v>
      </c>
    </row>
    <row r="1249" spans="1:16">
      <c r="A1249">
        <v>1453</v>
      </c>
      <c r="B1249" t="s">
        <v>1452</v>
      </c>
      <c r="C1249" t="s">
        <v>3433</v>
      </c>
      <c r="D1249" t="s">
        <v>3995</v>
      </c>
      <c r="E1249" s="1">
        <v>44205</v>
      </c>
      <c r="F1249" t="s">
        <v>4002</v>
      </c>
      <c r="G1249" t="s">
        <v>4004</v>
      </c>
      <c r="H1249" t="s">
        <v>4018</v>
      </c>
      <c r="I1249" t="s">
        <v>4024</v>
      </c>
      <c r="J1249" t="s">
        <v>4026</v>
      </c>
      <c r="K1249" s="2">
        <v>44290</v>
      </c>
      <c r="L1249" s="2">
        <v>44298</v>
      </c>
      <c r="M1249">
        <v>3</v>
      </c>
      <c r="N1249">
        <v>192</v>
      </c>
      <c r="O1249">
        <f>IF(Tickets[[#This Row],[Ticket Priority]]="Critical",24,
IF(Tickets[[#This Row],[Ticket Priority]]="High",48,
IF(Tickets[[#This Row],[Ticket Priority]]="Medium",120,168)))</f>
        <v>168</v>
      </c>
      <c r="P1249" t="str">
        <f>IF(Tickets[[#This Row],[Resolution Duration Hours]] &lt;= Tickets[[#This Row],[SLA_Target_Hours]], "Yes", "No")</f>
        <v>No</v>
      </c>
    </row>
    <row r="1250" spans="1:16" hidden="1">
      <c r="A1250">
        <v>1249</v>
      </c>
      <c r="B1250" t="s">
        <v>1251</v>
      </c>
      <c r="C1250" t="s">
        <v>3229</v>
      </c>
      <c r="D1250" t="s">
        <v>3993</v>
      </c>
      <c r="E1250" s="1">
        <v>43881</v>
      </c>
      <c r="F1250" t="s">
        <v>4002</v>
      </c>
      <c r="G1250" t="s">
        <v>4016</v>
      </c>
      <c r="H1250" t="s">
        <v>4020</v>
      </c>
      <c r="I1250" t="s">
        <v>4021</v>
      </c>
      <c r="J1250" t="s">
        <v>4026</v>
      </c>
      <c r="K1250" s="2">
        <v>43971</v>
      </c>
      <c r="L1250" s="2">
        <v>43972</v>
      </c>
      <c r="N1250">
        <v>24</v>
      </c>
      <c r="O1250">
        <f>IF(Tickets[[#This Row],[Ticket Priority]]="Critical",24,
IF(Tickets[[#This Row],[Ticket Priority]]="High",48,
IF(Tickets[[#This Row],[Ticket Priority]]="Medium",120,168)))</f>
        <v>48</v>
      </c>
      <c r="P1250" t="str">
        <f>IF(Tickets[[#This Row],[Resolution Duration Hours]] &lt;= Tickets[[#This Row],[SLA_Target_Hours]], "Yes", "No")</f>
        <v>Yes</v>
      </c>
    </row>
    <row r="1251" spans="1:16" hidden="1">
      <c r="A1251">
        <v>1250</v>
      </c>
      <c r="B1251" t="s">
        <v>1252</v>
      </c>
      <c r="C1251" t="s">
        <v>3230</v>
      </c>
      <c r="D1251" t="s">
        <v>3986</v>
      </c>
      <c r="E1251" s="1">
        <v>44694</v>
      </c>
      <c r="F1251" t="s">
        <v>4002</v>
      </c>
      <c r="G1251" t="s">
        <v>4007</v>
      </c>
      <c r="H1251" t="s">
        <v>4018</v>
      </c>
      <c r="I1251" t="s">
        <v>4024</v>
      </c>
      <c r="J1251" t="s">
        <v>4026</v>
      </c>
      <c r="K1251" s="2">
        <v>44884</v>
      </c>
      <c r="L1251" s="2">
        <v>44889</v>
      </c>
      <c r="N1251">
        <v>120</v>
      </c>
      <c r="O1251">
        <f>IF(Tickets[[#This Row],[Ticket Priority]]="Critical",24,
IF(Tickets[[#This Row],[Ticket Priority]]="High",48,
IF(Tickets[[#This Row],[Ticket Priority]]="Medium",120,168)))</f>
        <v>168</v>
      </c>
      <c r="P1251" t="str">
        <f>IF(Tickets[[#This Row],[Resolution Duration Hours]] &lt;= Tickets[[#This Row],[SLA_Target_Hours]], "Yes", "No")</f>
        <v>Yes</v>
      </c>
    </row>
    <row r="1252" spans="1:16">
      <c r="A1252">
        <v>1454</v>
      </c>
      <c r="B1252" t="s">
        <v>1453</v>
      </c>
      <c r="C1252" t="s">
        <v>3434</v>
      </c>
      <c r="D1252" t="s">
        <v>3984</v>
      </c>
      <c r="E1252" s="1">
        <v>44655</v>
      </c>
      <c r="F1252" t="s">
        <v>4002</v>
      </c>
      <c r="G1252" t="s">
        <v>4008</v>
      </c>
      <c r="H1252" t="s">
        <v>4018</v>
      </c>
      <c r="I1252" t="s">
        <v>4024</v>
      </c>
      <c r="J1252" t="s">
        <v>4026</v>
      </c>
      <c r="K1252" s="2">
        <v>44938</v>
      </c>
      <c r="L1252" s="2">
        <v>44946</v>
      </c>
      <c r="M1252">
        <v>4</v>
      </c>
      <c r="N1252">
        <v>192</v>
      </c>
      <c r="O1252">
        <f>IF(Tickets[[#This Row],[Ticket Priority]]="Critical",24,
IF(Tickets[[#This Row],[Ticket Priority]]="High",48,
IF(Tickets[[#This Row],[Ticket Priority]]="Medium",120,168)))</f>
        <v>168</v>
      </c>
      <c r="P1252" t="str">
        <f>IF(Tickets[[#This Row],[Resolution Duration Hours]] &lt;= Tickets[[#This Row],[SLA_Target_Hours]], "Yes", "No")</f>
        <v>No</v>
      </c>
    </row>
    <row r="1253" spans="1:16" hidden="1">
      <c r="A1253">
        <v>1252</v>
      </c>
      <c r="B1253" t="s">
        <v>1254</v>
      </c>
      <c r="C1253" t="s">
        <v>3232</v>
      </c>
      <c r="D1253" t="s">
        <v>3987</v>
      </c>
      <c r="E1253" s="1">
        <v>44933</v>
      </c>
      <c r="F1253" t="s">
        <v>3998</v>
      </c>
      <c r="G1253" t="s">
        <v>4000</v>
      </c>
      <c r="H1253" t="s">
        <v>4017</v>
      </c>
      <c r="I1253" t="s">
        <v>4023</v>
      </c>
      <c r="J1253" t="s">
        <v>4026</v>
      </c>
      <c r="K1253" s="2">
        <v>45102</v>
      </c>
      <c r="L1253" s="2">
        <v>45102</v>
      </c>
      <c r="N1253">
        <v>0</v>
      </c>
      <c r="O1253">
        <f>IF(Tickets[[#This Row],[Ticket Priority]]="Critical",24,
IF(Tickets[[#This Row],[Ticket Priority]]="High",48,
IF(Tickets[[#This Row],[Ticket Priority]]="Medium",120,168)))</f>
        <v>120</v>
      </c>
      <c r="P1253" t="str">
        <f>IF(Tickets[[#This Row],[Resolution Duration Hours]] &lt;= Tickets[[#This Row],[SLA_Target_Hours]], "Yes", "No")</f>
        <v>Yes</v>
      </c>
    </row>
    <row r="1254" spans="1:16">
      <c r="A1254">
        <v>1476</v>
      </c>
      <c r="B1254" t="s">
        <v>1475</v>
      </c>
      <c r="C1254" t="s">
        <v>3456</v>
      </c>
      <c r="D1254" t="s">
        <v>3983</v>
      </c>
      <c r="E1254" s="1">
        <v>44409</v>
      </c>
      <c r="F1254" t="s">
        <v>4001</v>
      </c>
      <c r="G1254" t="s">
        <v>4012</v>
      </c>
      <c r="H1254" t="s">
        <v>4017</v>
      </c>
      <c r="I1254" t="s">
        <v>4024</v>
      </c>
      <c r="J1254" t="s">
        <v>4027</v>
      </c>
      <c r="K1254" s="2">
        <v>44438</v>
      </c>
      <c r="L1254" s="2">
        <v>44446</v>
      </c>
      <c r="N1254">
        <v>192</v>
      </c>
      <c r="O1254">
        <f>IF(Tickets[[#This Row],[Ticket Priority]]="Critical",24,
IF(Tickets[[#This Row],[Ticket Priority]]="High",48,
IF(Tickets[[#This Row],[Ticket Priority]]="Medium",120,168)))</f>
        <v>168</v>
      </c>
      <c r="P1254" t="str">
        <f>IF(Tickets[[#This Row],[Resolution Duration Hours]] &lt;= Tickets[[#This Row],[SLA_Target_Hours]], "Yes", "No")</f>
        <v>No</v>
      </c>
    </row>
    <row r="1255" spans="1:16" hidden="1">
      <c r="A1255">
        <v>1254</v>
      </c>
      <c r="B1255" t="s">
        <v>1256</v>
      </c>
      <c r="C1255" t="s">
        <v>3234</v>
      </c>
      <c r="D1255" t="s">
        <v>3984</v>
      </c>
      <c r="E1255" s="1">
        <v>44068</v>
      </c>
      <c r="F1255" t="s">
        <v>4000</v>
      </c>
      <c r="G1255" t="s">
        <v>4006</v>
      </c>
      <c r="H1255" t="s">
        <v>4018</v>
      </c>
      <c r="I1255" t="s">
        <v>4023</v>
      </c>
      <c r="J1255" t="s">
        <v>4026</v>
      </c>
      <c r="K1255" s="2">
        <v>44280</v>
      </c>
      <c r="L1255" s="2">
        <v>44285</v>
      </c>
      <c r="N1255">
        <v>120</v>
      </c>
      <c r="O1255">
        <f>IF(Tickets[[#This Row],[Ticket Priority]]="Critical",24,
IF(Tickets[[#This Row],[Ticket Priority]]="High",48,
IF(Tickets[[#This Row],[Ticket Priority]]="Medium",120,168)))</f>
        <v>120</v>
      </c>
      <c r="P1255" t="str">
        <f>IF(Tickets[[#This Row],[Resolution Duration Hours]] &lt;= Tickets[[#This Row],[SLA_Target_Hours]], "Yes", "No")</f>
        <v>Yes</v>
      </c>
    </row>
    <row r="1256" spans="1:16" hidden="1">
      <c r="A1256">
        <v>1255</v>
      </c>
      <c r="B1256" t="s">
        <v>1257</v>
      </c>
      <c r="C1256" t="s">
        <v>3235</v>
      </c>
      <c r="D1256" t="s">
        <v>3985</v>
      </c>
      <c r="E1256" s="1">
        <v>44033</v>
      </c>
      <c r="F1256" t="s">
        <v>3998</v>
      </c>
      <c r="G1256" t="s">
        <v>4005</v>
      </c>
      <c r="H1256" t="s">
        <v>4018</v>
      </c>
      <c r="I1256" t="s">
        <v>4023</v>
      </c>
      <c r="J1256" t="s">
        <v>4025</v>
      </c>
      <c r="K1256" s="2">
        <v>44198</v>
      </c>
      <c r="L1256" s="2">
        <v>44202</v>
      </c>
      <c r="M1256">
        <v>4</v>
      </c>
      <c r="N1256">
        <v>96</v>
      </c>
      <c r="O1256">
        <f>IF(Tickets[[#This Row],[Ticket Priority]]="Critical",24,
IF(Tickets[[#This Row],[Ticket Priority]]="High",48,
IF(Tickets[[#This Row],[Ticket Priority]]="Medium",120,168)))</f>
        <v>120</v>
      </c>
      <c r="P1256" t="str">
        <f>IF(Tickets[[#This Row],[Resolution Duration Hours]] &lt;= Tickets[[#This Row],[SLA_Target_Hours]], "Yes", "No")</f>
        <v>Yes</v>
      </c>
    </row>
    <row r="1257" spans="1:16" hidden="1">
      <c r="A1257">
        <v>1256</v>
      </c>
      <c r="B1257" t="s">
        <v>1258</v>
      </c>
      <c r="C1257" t="s">
        <v>3236</v>
      </c>
      <c r="D1257" t="s">
        <v>3997</v>
      </c>
      <c r="E1257" s="1">
        <v>44959</v>
      </c>
      <c r="F1257" t="s">
        <v>3998</v>
      </c>
      <c r="G1257" t="s">
        <v>4003</v>
      </c>
      <c r="H1257" t="s">
        <v>4018</v>
      </c>
      <c r="I1257" t="s">
        <v>4021</v>
      </c>
      <c r="J1257" t="s">
        <v>4026</v>
      </c>
      <c r="K1257" s="2">
        <v>45025</v>
      </c>
      <c r="L1257" s="2">
        <v>45027</v>
      </c>
      <c r="M1257">
        <v>4</v>
      </c>
      <c r="N1257">
        <v>48</v>
      </c>
      <c r="O1257">
        <f>IF(Tickets[[#This Row],[Ticket Priority]]="Critical",24,
IF(Tickets[[#This Row],[Ticket Priority]]="High",48,
IF(Tickets[[#This Row],[Ticket Priority]]="Medium",120,168)))</f>
        <v>48</v>
      </c>
      <c r="P1257" t="str">
        <f>IF(Tickets[[#This Row],[Resolution Duration Hours]] &lt;= Tickets[[#This Row],[SLA_Target_Hours]], "Yes", "No")</f>
        <v>Yes</v>
      </c>
    </row>
    <row r="1258" spans="1:16" hidden="1">
      <c r="A1258">
        <v>1257</v>
      </c>
      <c r="B1258" t="s">
        <v>1259</v>
      </c>
      <c r="C1258" t="s">
        <v>3237</v>
      </c>
      <c r="D1258" t="s">
        <v>3990</v>
      </c>
      <c r="E1258" s="1">
        <v>43866</v>
      </c>
      <c r="F1258" t="s">
        <v>3999</v>
      </c>
      <c r="G1258" t="s">
        <v>4008</v>
      </c>
      <c r="H1258" t="s">
        <v>4018</v>
      </c>
      <c r="I1258" t="s">
        <v>4023</v>
      </c>
      <c r="J1258" t="s">
        <v>4028</v>
      </c>
      <c r="K1258" s="2">
        <v>43960</v>
      </c>
      <c r="L1258" s="2">
        <v>43965</v>
      </c>
      <c r="N1258">
        <v>120</v>
      </c>
      <c r="O1258">
        <f>IF(Tickets[[#This Row],[Ticket Priority]]="Critical",24,
IF(Tickets[[#This Row],[Ticket Priority]]="High",48,
IF(Tickets[[#This Row],[Ticket Priority]]="Medium",120,168)))</f>
        <v>120</v>
      </c>
      <c r="P1258" t="str">
        <f>IF(Tickets[[#This Row],[Resolution Duration Hours]] &lt;= Tickets[[#This Row],[SLA_Target_Hours]], "Yes", "No")</f>
        <v>Yes</v>
      </c>
    </row>
    <row r="1259" spans="1:16" hidden="1">
      <c r="A1259">
        <v>1258</v>
      </c>
      <c r="B1259" t="s">
        <v>1260</v>
      </c>
      <c r="C1259" t="s">
        <v>3238</v>
      </c>
      <c r="D1259" t="s">
        <v>3983</v>
      </c>
      <c r="E1259" s="1">
        <v>44051</v>
      </c>
      <c r="F1259" t="s">
        <v>4001</v>
      </c>
      <c r="G1259" t="s">
        <v>4008</v>
      </c>
      <c r="H1259" t="s">
        <v>4018</v>
      </c>
      <c r="I1259" t="s">
        <v>4021</v>
      </c>
      <c r="J1259" t="s">
        <v>4025</v>
      </c>
      <c r="K1259" s="2">
        <v>44267</v>
      </c>
      <c r="L1259" s="2">
        <v>44269</v>
      </c>
      <c r="M1259">
        <v>4</v>
      </c>
      <c r="N1259">
        <v>48</v>
      </c>
      <c r="O1259">
        <f>IF(Tickets[[#This Row],[Ticket Priority]]="Critical",24,
IF(Tickets[[#This Row],[Ticket Priority]]="High",48,
IF(Tickets[[#This Row],[Ticket Priority]]="Medium",120,168)))</f>
        <v>48</v>
      </c>
      <c r="P1259" t="str">
        <f>IF(Tickets[[#This Row],[Resolution Duration Hours]] &lt;= Tickets[[#This Row],[SLA_Target_Hours]], "Yes", "No")</f>
        <v>Yes</v>
      </c>
    </row>
    <row r="1260" spans="1:16" hidden="1">
      <c r="A1260">
        <v>1259</v>
      </c>
      <c r="B1260" t="s">
        <v>1261</v>
      </c>
      <c r="C1260" t="s">
        <v>3239</v>
      </c>
      <c r="D1260" t="s">
        <v>3982</v>
      </c>
      <c r="E1260" s="1">
        <v>43987</v>
      </c>
      <c r="F1260" t="s">
        <v>4000</v>
      </c>
      <c r="G1260" t="s">
        <v>4016</v>
      </c>
      <c r="H1260" t="s">
        <v>4018</v>
      </c>
      <c r="I1260" t="s">
        <v>4022</v>
      </c>
      <c r="J1260" t="s">
        <v>4028</v>
      </c>
      <c r="K1260" s="2">
        <v>43994</v>
      </c>
      <c r="L1260" s="2">
        <v>43994</v>
      </c>
      <c r="M1260">
        <v>4</v>
      </c>
      <c r="N1260">
        <v>0</v>
      </c>
      <c r="O1260">
        <f>IF(Tickets[[#This Row],[Ticket Priority]]="Critical",24,
IF(Tickets[[#This Row],[Ticket Priority]]="High",48,
IF(Tickets[[#This Row],[Ticket Priority]]="Medium",120,168)))</f>
        <v>24</v>
      </c>
      <c r="P1260" t="str">
        <f>IF(Tickets[[#This Row],[Resolution Duration Hours]] &lt;= Tickets[[#This Row],[SLA_Target_Hours]], "Yes", "No")</f>
        <v>Yes</v>
      </c>
    </row>
    <row r="1261" spans="1:16" hidden="1">
      <c r="A1261">
        <v>1260</v>
      </c>
      <c r="B1261" t="s">
        <v>1262</v>
      </c>
      <c r="C1261" t="s">
        <v>3240</v>
      </c>
      <c r="D1261" t="s">
        <v>3980</v>
      </c>
      <c r="E1261" s="1">
        <v>44815</v>
      </c>
      <c r="F1261" t="s">
        <v>3998</v>
      </c>
      <c r="G1261" t="s">
        <v>4006</v>
      </c>
      <c r="H1261" t="s">
        <v>4018</v>
      </c>
      <c r="I1261" t="s">
        <v>4021</v>
      </c>
      <c r="J1261" t="s">
        <v>4026</v>
      </c>
      <c r="K1261" s="2">
        <v>45022</v>
      </c>
      <c r="L1261" s="2">
        <v>45023</v>
      </c>
      <c r="M1261">
        <v>5</v>
      </c>
      <c r="N1261">
        <v>24</v>
      </c>
      <c r="O1261">
        <f>IF(Tickets[[#This Row],[Ticket Priority]]="Critical",24,
IF(Tickets[[#This Row],[Ticket Priority]]="High",48,
IF(Tickets[[#This Row],[Ticket Priority]]="Medium",120,168)))</f>
        <v>48</v>
      </c>
      <c r="P1261" t="str">
        <f>IF(Tickets[[#This Row],[Resolution Duration Hours]] &lt;= Tickets[[#This Row],[SLA_Target_Hours]], "Yes", "No")</f>
        <v>Yes</v>
      </c>
    </row>
    <row r="1262" spans="1:16">
      <c r="A1262">
        <v>1491</v>
      </c>
      <c r="B1262" t="s">
        <v>1490</v>
      </c>
      <c r="C1262" t="s">
        <v>3471</v>
      </c>
      <c r="D1262" t="s">
        <v>3989</v>
      </c>
      <c r="E1262" s="1">
        <v>44879</v>
      </c>
      <c r="F1262" t="s">
        <v>4001</v>
      </c>
      <c r="G1262" t="s">
        <v>4003</v>
      </c>
      <c r="H1262" t="s">
        <v>4020</v>
      </c>
      <c r="I1262" t="s">
        <v>4024</v>
      </c>
      <c r="J1262" t="s">
        <v>4026</v>
      </c>
      <c r="K1262" s="2">
        <v>44971</v>
      </c>
      <c r="L1262" s="2">
        <v>44979</v>
      </c>
      <c r="N1262">
        <v>192</v>
      </c>
      <c r="O1262">
        <f>IF(Tickets[[#This Row],[Ticket Priority]]="Critical",24,
IF(Tickets[[#This Row],[Ticket Priority]]="High",48,
IF(Tickets[[#This Row],[Ticket Priority]]="Medium",120,168)))</f>
        <v>168</v>
      </c>
      <c r="P1262" t="str">
        <f>IF(Tickets[[#This Row],[Resolution Duration Hours]] &lt;= Tickets[[#This Row],[SLA_Target_Hours]], "Yes", "No")</f>
        <v>No</v>
      </c>
    </row>
    <row r="1263" spans="1:16">
      <c r="A1263">
        <v>1500</v>
      </c>
      <c r="B1263" t="s">
        <v>1499</v>
      </c>
      <c r="C1263" t="s">
        <v>3480</v>
      </c>
      <c r="D1263" t="s">
        <v>3979</v>
      </c>
      <c r="E1263" s="1">
        <v>44385</v>
      </c>
      <c r="F1263" t="s">
        <v>4000</v>
      </c>
      <c r="G1263" t="s">
        <v>4005</v>
      </c>
      <c r="H1263" t="s">
        <v>4018</v>
      </c>
      <c r="I1263" t="s">
        <v>4024</v>
      </c>
      <c r="J1263" t="s">
        <v>4026</v>
      </c>
      <c r="K1263" s="2">
        <v>44451</v>
      </c>
      <c r="L1263" s="2">
        <v>44459</v>
      </c>
      <c r="M1263">
        <v>4</v>
      </c>
      <c r="N1263">
        <v>192</v>
      </c>
      <c r="O1263">
        <f>IF(Tickets[[#This Row],[Ticket Priority]]="Critical",24,
IF(Tickets[[#This Row],[Ticket Priority]]="High",48,
IF(Tickets[[#This Row],[Ticket Priority]]="Medium",120,168)))</f>
        <v>168</v>
      </c>
      <c r="P1263" t="str">
        <f>IF(Tickets[[#This Row],[Resolution Duration Hours]] &lt;= Tickets[[#This Row],[SLA_Target_Hours]], "Yes", "No")</f>
        <v>No</v>
      </c>
    </row>
    <row r="1264" spans="1:16" hidden="1">
      <c r="A1264">
        <v>1263</v>
      </c>
      <c r="B1264" t="s">
        <v>1265</v>
      </c>
      <c r="C1264" t="s">
        <v>3243</v>
      </c>
      <c r="D1264" t="s">
        <v>3981</v>
      </c>
      <c r="E1264" s="1">
        <v>44625</v>
      </c>
      <c r="F1264" t="s">
        <v>3998</v>
      </c>
      <c r="G1264" t="s">
        <v>4005</v>
      </c>
      <c r="H1264" t="s">
        <v>4019</v>
      </c>
      <c r="I1264" t="s">
        <v>4023</v>
      </c>
      <c r="J1264" t="s">
        <v>4026</v>
      </c>
      <c r="K1264" s="2">
        <v>44782</v>
      </c>
      <c r="L1264" s="2">
        <v>44785</v>
      </c>
      <c r="M1264">
        <v>4</v>
      </c>
      <c r="N1264">
        <v>72</v>
      </c>
      <c r="O1264">
        <f>IF(Tickets[[#This Row],[Ticket Priority]]="Critical",24,
IF(Tickets[[#This Row],[Ticket Priority]]="High",48,
IF(Tickets[[#This Row],[Ticket Priority]]="Medium",120,168)))</f>
        <v>120</v>
      </c>
      <c r="P1264" t="str">
        <f>IF(Tickets[[#This Row],[Resolution Duration Hours]] &lt;= Tickets[[#This Row],[SLA_Target_Hours]], "Yes", "No")</f>
        <v>Yes</v>
      </c>
    </row>
    <row r="1265" spans="1:16">
      <c r="A1265">
        <v>1502</v>
      </c>
      <c r="B1265" t="s">
        <v>1501</v>
      </c>
      <c r="C1265" t="s">
        <v>3482</v>
      </c>
      <c r="D1265" t="s">
        <v>3987</v>
      </c>
      <c r="E1265" s="1">
        <v>44644</v>
      </c>
      <c r="F1265" t="s">
        <v>3999</v>
      </c>
      <c r="G1265" t="s">
        <v>4003</v>
      </c>
      <c r="H1265" t="s">
        <v>4018</v>
      </c>
      <c r="I1265" t="s">
        <v>4024</v>
      </c>
      <c r="J1265" t="s">
        <v>4025</v>
      </c>
      <c r="K1265" s="2">
        <v>44766</v>
      </c>
      <c r="L1265" s="2">
        <v>44774</v>
      </c>
      <c r="M1265">
        <v>3</v>
      </c>
      <c r="N1265">
        <v>192</v>
      </c>
      <c r="O1265">
        <f>IF(Tickets[[#This Row],[Ticket Priority]]="Critical",24,
IF(Tickets[[#This Row],[Ticket Priority]]="High",48,
IF(Tickets[[#This Row],[Ticket Priority]]="Medium",120,168)))</f>
        <v>168</v>
      </c>
      <c r="P1265" t="str">
        <f>IF(Tickets[[#This Row],[Resolution Duration Hours]] &lt;= Tickets[[#This Row],[SLA_Target_Hours]], "Yes", "No")</f>
        <v>No</v>
      </c>
    </row>
    <row r="1266" spans="1:16" hidden="1">
      <c r="A1266">
        <v>1265</v>
      </c>
      <c r="B1266" t="s">
        <v>1267</v>
      </c>
      <c r="C1266" t="s">
        <v>3245</v>
      </c>
      <c r="D1266" t="s">
        <v>3991</v>
      </c>
      <c r="E1266" s="1">
        <v>44843</v>
      </c>
      <c r="F1266" t="s">
        <v>3998</v>
      </c>
      <c r="G1266" t="s">
        <v>4005</v>
      </c>
      <c r="H1266" t="s">
        <v>4018</v>
      </c>
      <c r="I1266" t="s">
        <v>4024</v>
      </c>
      <c r="J1266" t="s">
        <v>4028</v>
      </c>
      <c r="K1266" s="2">
        <v>44960</v>
      </c>
      <c r="L1266" s="2">
        <v>44964</v>
      </c>
      <c r="M1266">
        <v>4</v>
      </c>
      <c r="N1266">
        <v>96</v>
      </c>
      <c r="O1266">
        <f>IF(Tickets[[#This Row],[Ticket Priority]]="Critical",24,
IF(Tickets[[#This Row],[Ticket Priority]]="High",48,
IF(Tickets[[#This Row],[Ticket Priority]]="Medium",120,168)))</f>
        <v>168</v>
      </c>
      <c r="P1266" t="str">
        <f>IF(Tickets[[#This Row],[Resolution Duration Hours]] &lt;= Tickets[[#This Row],[SLA_Target_Hours]], "Yes", "No")</f>
        <v>Yes</v>
      </c>
    </row>
    <row r="1267" spans="1:16" hidden="1">
      <c r="A1267">
        <v>1266</v>
      </c>
      <c r="B1267" t="s">
        <v>1268</v>
      </c>
      <c r="C1267" t="s">
        <v>3246</v>
      </c>
      <c r="D1267" t="s">
        <v>3985</v>
      </c>
      <c r="E1267" s="1">
        <v>44138</v>
      </c>
      <c r="F1267" t="s">
        <v>3999</v>
      </c>
      <c r="G1267" t="s">
        <v>4000</v>
      </c>
      <c r="H1267" t="s">
        <v>4019</v>
      </c>
      <c r="I1267" t="s">
        <v>4023</v>
      </c>
      <c r="J1267" t="s">
        <v>4027</v>
      </c>
      <c r="K1267" s="2">
        <v>44414</v>
      </c>
      <c r="L1267" s="2">
        <v>44416</v>
      </c>
      <c r="N1267">
        <v>48</v>
      </c>
      <c r="O1267">
        <f>IF(Tickets[[#This Row],[Ticket Priority]]="Critical",24,
IF(Tickets[[#This Row],[Ticket Priority]]="High",48,
IF(Tickets[[#This Row],[Ticket Priority]]="Medium",120,168)))</f>
        <v>120</v>
      </c>
      <c r="P1267" t="str">
        <f>IF(Tickets[[#This Row],[Resolution Duration Hours]] &lt;= Tickets[[#This Row],[SLA_Target_Hours]], "Yes", "No")</f>
        <v>Yes</v>
      </c>
    </row>
    <row r="1268" spans="1:16" hidden="1">
      <c r="A1268">
        <v>1267</v>
      </c>
      <c r="B1268" t="s">
        <v>1269</v>
      </c>
      <c r="C1268" t="s">
        <v>3247</v>
      </c>
      <c r="D1268" t="s">
        <v>3995</v>
      </c>
      <c r="E1268" s="1">
        <v>44315</v>
      </c>
      <c r="F1268" t="s">
        <v>3998</v>
      </c>
      <c r="G1268" t="s">
        <v>4013</v>
      </c>
      <c r="H1268" t="s">
        <v>4017</v>
      </c>
      <c r="I1268" t="s">
        <v>4021</v>
      </c>
      <c r="J1268" t="s">
        <v>4026</v>
      </c>
      <c r="K1268" s="2">
        <v>44558</v>
      </c>
      <c r="L1268" s="2">
        <v>44558</v>
      </c>
      <c r="N1268">
        <v>0</v>
      </c>
      <c r="O1268">
        <f>IF(Tickets[[#This Row],[Ticket Priority]]="Critical",24,
IF(Tickets[[#This Row],[Ticket Priority]]="High",48,
IF(Tickets[[#This Row],[Ticket Priority]]="Medium",120,168)))</f>
        <v>48</v>
      </c>
      <c r="P1268" t="str">
        <f>IF(Tickets[[#This Row],[Resolution Duration Hours]] &lt;= Tickets[[#This Row],[SLA_Target_Hours]], "Yes", "No")</f>
        <v>Yes</v>
      </c>
    </row>
    <row r="1269" spans="1:16" hidden="1">
      <c r="A1269">
        <v>1268</v>
      </c>
      <c r="B1269" t="s">
        <v>1270</v>
      </c>
      <c r="C1269" t="s">
        <v>3248</v>
      </c>
      <c r="D1269" t="s">
        <v>3986</v>
      </c>
      <c r="E1269" s="1">
        <v>44991</v>
      </c>
      <c r="F1269" t="s">
        <v>4002</v>
      </c>
      <c r="G1269" t="s">
        <v>4011</v>
      </c>
      <c r="H1269" t="s">
        <v>4017</v>
      </c>
      <c r="I1269" t="s">
        <v>4023</v>
      </c>
      <c r="J1269" t="s">
        <v>4026</v>
      </c>
      <c r="K1269" s="2">
        <v>45097</v>
      </c>
      <c r="L1269" s="2">
        <v>45099</v>
      </c>
      <c r="N1269">
        <v>48</v>
      </c>
      <c r="O1269">
        <f>IF(Tickets[[#This Row],[Ticket Priority]]="Critical",24,
IF(Tickets[[#This Row],[Ticket Priority]]="High",48,
IF(Tickets[[#This Row],[Ticket Priority]]="Medium",120,168)))</f>
        <v>120</v>
      </c>
      <c r="P1269" t="str">
        <f>IF(Tickets[[#This Row],[Resolution Duration Hours]] &lt;= Tickets[[#This Row],[SLA_Target_Hours]], "Yes", "No")</f>
        <v>Yes</v>
      </c>
    </row>
    <row r="1270" spans="1:16" hidden="1">
      <c r="A1270">
        <v>1269</v>
      </c>
      <c r="B1270" t="s">
        <v>1271</v>
      </c>
      <c r="C1270" t="s">
        <v>3249</v>
      </c>
      <c r="D1270" t="s">
        <v>3982</v>
      </c>
      <c r="E1270" s="1">
        <v>44411</v>
      </c>
      <c r="F1270" t="s">
        <v>4002</v>
      </c>
      <c r="G1270" t="s">
        <v>4012</v>
      </c>
      <c r="H1270" t="s">
        <v>4018</v>
      </c>
      <c r="I1270" t="s">
        <v>4021</v>
      </c>
      <c r="J1270" t="s">
        <v>4026</v>
      </c>
      <c r="K1270" s="2">
        <v>44535</v>
      </c>
      <c r="L1270" s="2">
        <v>44537</v>
      </c>
      <c r="M1270">
        <v>5</v>
      </c>
      <c r="N1270">
        <v>48</v>
      </c>
      <c r="O1270">
        <f>IF(Tickets[[#This Row],[Ticket Priority]]="Critical",24,
IF(Tickets[[#This Row],[Ticket Priority]]="High",48,
IF(Tickets[[#This Row],[Ticket Priority]]="Medium",120,168)))</f>
        <v>48</v>
      </c>
      <c r="P1270" t="str">
        <f>IF(Tickets[[#This Row],[Resolution Duration Hours]] &lt;= Tickets[[#This Row],[SLA_Target_Hours]], "Yes", "No")</f>
        <v>Yes</v>
      </c>
    </row>
    <row r="1271" spans="1:16" hidden="1">
      <c r="A1271">
        <v>1270</v>
      </c>
      <c r="B1271" t="s">
        <v>1272</v>
      </c>
      <c r="C1271" t="s">
        <v>3250</v>
      </c>
      <c r="D1271" t="s">
        <v>3996</v>
      </c>
      <c r="E1271" s="1">
        <v>44286</v>
      </c>
      <c r="F1271" t="s">
        <v>3999</v>
      </c>
      <c r="G1271" t="s">
        <v>4010</v>
      </c>
      <c r="H1271" t="s">
        <v>4018</v>
      </c>
      <c r="I1271" t="s">
        <v>4023</v>
      </c>
      <c r="J1271" t="s">
        <v>4026</v>
      </c>
      <c r="K1271" s="2">
        <v>44349</v>
      </c>
      <c r="L1271" s="2">
        <v>44353</v>
      </c>
      <c r="M1271">
        <v>5</v>
      </c>
      <c r="N1271">
        <v>96</v>
      </c>
      <c r="O1271">
        <f>IF(Tickets[[#This Row],[Ticket Priority]]="Critical",24,
IF(Tickets[[#This Row],[Ticket Priority]]="High",48,
IF(Tickets[[#This Row],[Ticket Priority]]="Medium",120,168)))</f>
        <v>120</v>
      </c>
      <c r="P1271" t="str">
        <f>IF(Tickets[[#This Row],[Resolution Duration Hours]] &lt;= Tickets[[#This Row],[SLA_Target_Hours]], "Yes", "No")</f>
        <v>Yes</v>
      </c>
    </row>
    <row r="1272" spans="1:16">
      <c r="A1272">
        <v>1532</v>
      </c>
      <c r="B1272" t="s">
        <v>1528</v>
      </c>
      <c r="C1272" t="s">
        <v>3512</v>
      </c>
      <c r="D1272" t="s">
        <v>3997</v>
      </c>
      <c r="E1272" s="1">
        <v>44241</v>
      </c>
      <c r="F1272" t="s">
        <v>3998</v>
      </c>
      <c r="G1272" t="s">
        <v>4007</v>
      </c>
      <c r="H1272" t="s">
        <v>4018</v>
      </c>
      <c r="I1272" t="s">
        <v>4024</v>
      </c>
      <c r="J1272" t="s">
        <v>4028</v>
      </c>
      <c r="K1272" s="2">
        <v>44334</v>
      </c>
      <c r="L1272" s="2">
        <v>44342</v>
      </c>
      <c r="M1272">
        <v>4</v>
      </c>
      <c r="N1272">
        <v>192</v>
      </c>
      <c r="O1272">
        <f>IF(Tickets[[#This Row],[Ticket Priority]]="Critical",24,
IF(Tickets[[#This Row],[Ticket Priority]]="High",48,
IF(Tickets[[#This Row],[Ticket Priority]]="Medium",120,168)))</f>
        <v>168</v>
      </c>
      <c r="P1272" t="str">
        <f>IF(Tickets[[#This Row],[Resolution Duration Hours]] &lt;= Tickets[[#This Row],[SLA_Target_Hours]], "Yes", "No")</f>
        <v>No</v>
      </c>
    </row>
    <row r="1273" spans="1:16">
      <c r="A1273">
        <v>1578</v>
      </c>
      <c r="B1273" t="s">
        <v>1574</v>
      </c>
      <c r="C1273" t="s">
        <v>3557</v>
      </c>
      <c r="D1273" t="s">
        <v>3995</v>
      </c>
      <c r="E1273" s="1">
        <v>44766</v>
      </c>
      <c r="F1273" t="s">
        <v>4001</v>
      </c>
      <c r="G1273" t="s">
        <v>4012</v>
      </c>
      <c r="H1273" t="s">
        <v>4018</v>
      </c>
      <c r="I1273" t="s">
        <v>4024</v>
      </c>
      <c r="J1273" t="s">
        <v>4027</v>
      </c>
      <c r="K1273" s="2">
        <v>44767</v>
      </c>
      <c r="L1273" s="2">
        <v>44775</v>
      </c>
      <c r="M1273">
        <v>4</v>
      </c>
      <c r="N1273">
        <v>192</v>
      </c>
      <c r="O1273">
        <f>IF(Tickets[[#This Row],[Ticket Priority]]="Critical",24,
IF(Tickets[[#This Row],[Ticket Priority]]="High",48,
IF(Tickets[[#This Row],[Ticket Priority]]="Medium",120,168)))</f>
        <v>168</v>
      </c>
      <c r="P1273" t="str">
        <f>IF(Tickets[[#This Row],[Resolution Duration Hours]] &lt;= Tickets[[#This Row],[SLA_Target_Hours]], "Yes", "No")</f>
        <v>No</v>
      </c>
    </row>
    <row r="1274" spans="1:16">
      <c r="A1274">
        <v>1599</v>
      </c>
      <c r="B1274" t="s">
        <v>1595</v>
      </c>
      <c r="C1274" t="s">
        <v>3578</v>
      </c>
      <c r="D1274" t="s">
        <v>3995</v>
      </c>
      <c r="E1274" s="1">
        <v>45073</v>
      </c>
      <c r="F1274" t="s">
        <v>4002</v>
      </c>
      <c r="G1274" t="s">
        <v>4000</v>
      </c>
      <c r="H1274" t="s">
        <v>4020</v>
      </c>
      <c r="I1274" t="s">
        <v>4024</v>
      </c>
      <c r="J1274" t="s">
        <v>4028</v>
      </c>
      <c r="K1274" s="2">
        <v>45247</v>
      </c>
      <c r="L1274" s="2">
        <v>45255</v>
      </c>
      <c r="N1274">
        <v>192</v>
      </c>
      <c r="O1274">
        <f>IF(Tickets[[#This Row],[Ticket Priority]]="Critical",24,
IF(Tickets[[#This Row],[Ticket Priority]]="High",48,
IF(Tickets[[#This Row],[Ticket Priority]]="Medium",120,168)))</f>
        <v>168</v>
      </c>
      <c r="P1274" t="str">
        <f>IF(Tickets[[#This Row],[Resolution Duration Hours]] &lt;= Tickets[[#This Row],[SLA_Target_Hours]], "Yes", "No")</f>
        <v>No</v>
      </c>
    </row>
    <row r="1275" spans="1:16">
      <c r="A1275">
        <v>1606</v>
      </c>
      <c r="B1275" t="s">
        <v>1602</v>
      </c>
      <c r="C1275" t="s">
        <v>3585</v>
      </c>
      <c r="D1275" t="s">
        <v>3982</v>
      </c>
      <c r="E1275" s="1">
        <v>44051</v>
      </c>
      <c r="F1275" t="s">
        <v>3999</v>
      </c>
      <c r="G1275" t="s">
        <v>4005</v>
      </c>
      <c r="H1275" t="s">
        <v>4018</v>
      </c>
      <c r="I1275" t="s">
        <v>4024</v>
      </c>
      <c r="J1275" t="s">
        <v>4026</v>
      </c>
      <c r="K1275" s="2">
        <v>44373</v>
      </c>
      <c r="L1275" s="2">
        <v>44381</v>
      </c>
      <c r="M1275">
        <v>4</v>
      </c>
      <c r="N1275">
        <v>192</v>
      </c>
      <c r="O1275">
        <f>IF(Tickets[[#This Row],[Ticket Priority]]="Critical",24,
IF(Tickets[[#This Row],[Ticket Priority]]="High",48,
IF(Tickets[[#This Row],[Ticket Priority]]="Medium",120,168)))</f>
        <v>168</v>
      </c>
      <c r="P1275" t="str">
        <f>IF(Tickets[[#This Row],[Resolution Duration Hours]] &lt;= Tickets[[#This Row],[SLA_Target_Hours]], "Yes", "No")</f>
        <v>No</v>
      </c>
    </row>
    <row r="1276" spans="1:16" hidden="1">
      <c r="A1276">
        <v>1275</v>
      </c>
      <c r="B1276" t="s">
        <v>1277</v>
      </c>
      <c r="C1276" t="s">
        <v>3255</v>
      </c>
      <c r="D1276" t="s">
        <v>3990</v>
      </c>
      <c r="E1276" s="1">
        <v>43903</v>
      </c>
      <c r="F1276" t="s">
        <v>4000</v>
      </c>
      <c r="G1276" t="s">
        <v>4005</v>
      </c>
      <c r="H1276" t="s">
        <v>4018</v>
      </c>
      <c r="I1276" t="s">
        <v>4023</v>
      </c>
      <c r="J1276" t="s">
        <v>4026</v>
      </c>
      <c r="K1276" s="2">
        <v>44031</v>
      </c>
      <c r="L1276" s="2">
        <v>44036</v>
      </c>
      <c r="M1276">
        <v>4</v>
      </c>
      <c r="N1276">
        <v>120</v>
      </c>
      <c r="O1276">
        <f>IF(Tickets[[#This Row],[Ticket Priority]]="Critical",24,
IF(Tickets[[#This Row],[Ticket Priority]]="High",48,
IF(Tickets[[#This Row],[Ticket Priority]]="Medium",120,168)))</f>
        <v>120</v>
      </c>
      <c r="P1276" t="str">
        <f>IF(Tickets[[#This Row],[Resolution Duration Hours]] &lt;= Tickets[[#This Row],[SLA_Target_Hours]], "Yes", "No")</f>
        <v>Yes</v>
      </c>
    </row>
    <row r="1277" spans="1:16" hidden="1">
      <c r="A1277">
        <v>1276</v>
      </c>
      <c r="B1277" t="s">
        <v>1278</v>
      </c>
      <c r="C1277" t="s">
        <v>3256</v>
      </c>
      <c r="D1277" t="s">
        <v>3993</v>
      </c>
      <c r="E1277" s="1">
        <v>44273</v>
      </c>
      <c r="F1277" t="s">
        <v>3998</v>
      </c>
      <c r="G1277" t="s">
        <v>4000</v>
      </c>
      <c r="H1277" t="s">
        <v>4018</v>
      </c>
      <c r="I1277" t="s">
        <v>4023</v>
      </c>
      <c r="J1277" t="s">
        <v>4028</v>
      </c>
      <c r="K1277" s="2">
        <v>44575</v>
      </c>
      <c r="L1277" s="2">
        <v>44577</v>
      </c>
      <c r="M1277">
        <v>4</v>
      </c>
      <c r="N1277">
        <v>48</v>
      </c>
      <c r="O1277">
        <f>IF(Tickets[[#This Row],[Ticket Priority]]="Critical",24,
IF(Tickets[[#This Row],[Ticket Priority]]="High",48,
IF(Tickets[[#This Row],[Ticket Priority]]="Medium",120,168)))</f>
        <v>120</v>
      </c>
      <c r="P1277" t="str">
        <f>IF(Tickets[[#This Row],[Resolution Duration Hours]] &lt;= Tickets[[#This Row],[SLA_Target_Hours]], "Yes", "No")</f>
        <v>Yes</v>
      </c>
    </row>
    <row r="1278" spans="1:16" hidden="1">
      <c r="A1278">
        <v>1277</v>
      </c>
      <c r="B1278" t="s">
        <v>1279</v>
      </c>
      <c r="C1278" t="s">
        <v>3257</v>
      </c>
      <c r="D1278" t="s">
        <v>3996</v>
      </c>
      <c r="E1278" s="1">
        <v>43888</v>
      </c>
      <c r="F1278" t="s">
        <v>4002</v>
      </c>
      <c r="G1278" t="s">
        <v>4007</v>
      </c>
      <c r="H1278" t="s">
        <v>4018</v>
      </c>
      <c r="I1278" t="s">
        <v>4023</v>
      </c>
      <c r="J1278" t="s">
        <v>4026</v>
      </c>
      <c r="K1278" s="2">
        <v>43909</v>
      </c>
      <c r="L1278" s="2">
        <v>43911</v>
      </c>
      <c r="M1278">
        <v>3</v>
      </c>
      <c r="N1278">
        <v>48</v>
      </c>
      <c r="O1278">
        <f>IF(Tickets[[#This Row],[Ticket Priority]]="Critical",24,
IF(Tickets[[#This Row],[Ticket Priority]]="High",48,
IF(Tickets[[#This Row],[Ticket Priority]]="Medium",120,168)))</f>
        <v>120</v>
      </c>
      <c r="P1278" t="str">
        <f>IF(Tickets[[#This Row],[Resolution Duration Hours]] &lt;= Tickets[[#This Row],[SLA_Target_Hours]], "Yes", "No")</f>
        <v>Yes</v>
      </c>
    </row>
    <row r="1279" spans="1:16" hidden="1">
      <c r="A1279">
        <v>1278</v>
      </c>
      <c r="B1279" t="s">
        <v>1280</v>
      </c>
      <c r="C1279" t="s">
        <v>3258</v>
      </c>
      <c r="D1279" t="s">
        <v>3995</v>
      </c>
      <c r="E1279" s="1">
        <v>44954</v>
      </c>
      <c r="F1279" t="s">
        <v>4001</v>
      </c>
      <c r="G1279" t="s">
        <v>4000</v>
      </c>
      <c r="H1279" t="s">
        <v>4018</v>
      </c>
      <c r="I1279" t="s">
        <v>4022</v>
      </c>
      <c r="J1279" t="s">
        <v>4027</v>
      </c>
      <c r="K1279" s="2">
        <v>45155</v>
      </c>
      <c r="L1279" s="2">
        <v>45155</v>
      </c>
      <c r="M1279">
        <v>3</v>
      </c>
      <c r="N1279">
        <v>0</v>
      </c>
      <c r="O1279">
        <f>IF(Tickets[[#This Row],[Ticket Priority]]="Critical",24,
IF(Tickets[[#This Row],[Ticket Priority]]="High",48,
IF(Tickets[[#This Row],[Ticket Priority]]="Medium",120,168)))</f>
        <v>24</v>
      </c>
      <c r="P1279" t="str">
        <f>IF(Tickets[[#This Row],[Resolution Duration Hours]] &lt;= Tickets[[#This Row],[SLA_Target_Hours]], "Yes", "No")</f>
        <v>Yes</v>
      </c>
    </row>
    <row r="1280" spans="1:16" hidden="1">
      <c r="A1280">
        <v>1279</v>
      </c>
      <c r="B1280" t="s">
        <v>1281</v>
      </c>
      <c r="C1280" t="s">
        <v>3259</v>
      </c>
      <c r="D1280" t="s">
        <v>3995</v>
      </c>
      <c r="E1280" s="1">
        <v>43904</v>
      </c>
      <c r="F1280" t="s">
        <v>4000</v>
      </c>
      <c r="G1280" t="s">
        <v>4008</v>
      </c>
      <c r="H1280" t="s">
        <v>4018</v>
      </c>
      <c r="I1280" t="s">
        <v>4021</v>
      </c>
      <c r="J1280" t="s">
        <v>4026</v>
      </c>
      <c r="K1280" s="2">
        <v>44246</v>
      </c>
      <c r="L1280" s="2">
        <v>44247</v>
      </c>
      <c r="M1280">
        <v>2</v>
      </c>
      <c r="N1280">
        <v>24</v>
      </c>
      <c r="O1280">
        <f>IF(Tickets[[#This Row],[Ticket Priority]]="Critical",24,
IF(Tickets[[#This Row],[Ticket Priority]]="High",48,
IF(Tickets[[#This Row],[Ticket Priority]]="Medium",120,168)))</f>
        <v>48</v>
      </c>
      <c r="P1280" t="str">
        <f>IF(Tickets[[#This Row],[Resolution Duration Hours]] &lt;= Tickets[[#This Row],[SLA_Target_Hours]], "Yes", "No")</f>
        <v>Yes</v>
      </c>
    </row>
    <row r="1281" spans="1:16" hidden="1">
      <c r="A1281">
        <v>1280</v>
      </c>
      <c r="B1281" t="s">
        <v>1282</v>
      </c>
      <c r="C1281" t="s">
        <v>3260</v>
      </c>
      <c r="D1281" t="s">
        <v>3984</v>
      </c>
      <c r="E1281" s="1">
        <v>43876</v>
      </c>
      <c r="F1281" t="s">
        <v>3999</v>
      </c>
      <c r="G1281" t="s">
        <v>4011</v>
      </c>
      <c r="H1281" t="s">
        <v>4018</v>
      </c>
      <c r="I1281" t="s">
        <v>4024</v>
      </c>
      <c r="J1281" t="s">
        <v>4025</v>
      </c>
      <c r="K1281" s="2">
        <v>44005</v>
      </c>
      <c r="L1281" s="2">
        <v>44012</v>
      </c>
      <c r="M1281">
        <v>4</v>
      </c>
      <c r="N1281">
        <v>168</v>
      </c>
      <c r="O1281">
        <f>IF(Tickets[[#This Row],[Ticket Priority]]="Critical",24,
IF(Tickets[[#This Row],[Ticket Priority]]="High",48,
IF(Tickets[[#This Row],[Ticket Priority]]="Medium",120,168)))</f>
        <v>168</v>
      </c>
      <c r="P1281" t="str">
        <f>IF(Tickets[[#This Row],[Resolution Duration Hours]] &lt;= Tickets[[#This Row],[SLA_Target_Hours]], "Yes", "No")</f>
        <v>Yes</v>
      </c>
    </row>
    <row r="1282" spans="1:16" hidden="1">
      <c r="A1282">
        <v>1281</v>
      </c>
      <c r="B1282" t="s">
        <v>1283</v>
      </c>
      <c r="C1282" t="s">
        <v>3261</v>
      </c>
      <c r="D1282" t="s">
        <v>3990</v>
      </c>
      <c r="E1282" s="1">
        <v>43967</v>
      </c>
      <c r="F1282" t="s">
        <v>4002</v>
      </c>
      <c r="G1282" t="s">
        <v>4016</v>
      </c>
      <c r="H1282" t="s">
        <v>4018</v>
      </c>
      <c r="I1282" t="s">
        <v>4024</v>
      </c>
      <c r="J1282" t="s">
        <v>4026</v>
      </c>
      <c r="K1282" s="2">
        <v>44049</v>
      </c>
      <c r="L1282" s="2">
        <v>44053</v>
      </c>
      <c r="M1282">
        <v>5</v>
      </c>
      <c r="N1282">
        <v>96</v>
      </c>
      <c r="O1282">
        <f>IF(Tickets[[#This Row],[Ticket Priority]]="Critical",24,
IF(Tickets[[#This Row],[Ticket Priority]]="High",48,
IF(Tickets[[#This Row],[Ticket Priority]]="Medium",120,168)))</f>
        <v>168</v>
      </c>
      <c r="P1282" t="str">
        <f>IF(Tickets[[#This Row],[Resolution Duration Hours]] &lt;= Tickets[[#This Row],[SLA_Target_Hours]], "Yes", "No")</f>
        <v>Yes</v>
      </c>
    </row>
    <row r="1283" spans="1:16" hidden="1">
      <c r="A1283">
        <v>1282</v>
      </c>
      <c r="B1283" t="s">
        <v>1284</v>
      </c>
      <c r="C1283" t="s">
        <v>3262</v>
      </c>
      <c r="D1283" t="s">
        <v>3988</v>
      </c>
      <c r="E1283" s="1">
        <v>45050</v>
      </c>
      <c r="F1283" t="s">
        <v>4001</v>
      </c>
      <c r="G1283" t="s">
        <v>4013</v>
      </c>
      <c r="H1283" t="s">
        <v>4018</v>
      </c>
      <c r="I1283" t="s">
        <v>4023</v>
      </c>
      <c r="J1283" t="s">
        <v>4026</v>
      </c>
      <c r="K1283" s="2">
        <v>45220</v>
      </c>
      <c r="L1283" s="2">
        <v>45225</v>
      </c>
      <c r="M1283">
        <v>3</v>
      </c>
      <c r="N1283">
        <v>120</v>
      </c>
      <c r="O1283">
        <f>IF(Tickets[[#This Row],[Ticket Priority]]="Critical",24,
IF(Tickets[[#This Row],[Ticket Priority]]="High",48,
IF(Tickets[[#This Row],[Ticket Priority]]="Medium",120,168)))</f>
        <v>120</v>
      </c>
      <c r="P1283" t="str">
        <f>IF(Tickets[[#This Row],[Resolution Duration Hours]] &lt;= Tickets[[#This Row],[SLA_Target_Hours]], "Yes", "No")</f>
        <v>Yes</v>
      </c>
    </row>
    <row r="1284" spans="1:16" hidden="1">
      <c r="A1284">
        <v>1283</v>
      </c>
      <c r="B1284" t="s">
        <v>1285</v>
      </c>
      <c r="C1284" t="s">
        <v>3263</v>
      </c>
      <c r="D1284" t="s">
        <v>3992</v>
      </c>
      <c r="E1284" s="1">
        <v>44916</v>
      </c>
      <c r="F1284" t="s">
        <v>3999</v>
      </c>
      <c r="G1284" t="s">
        <v>4008</v>
      </c>
      <c r="H1284" t="s">
        <v>4018</v>
      </c>
      <c r="I1284" t="s">
        <v>4023</v>
      </c>
      <c r="J1284" t="s">
        <v>4025</v>
      </c>
      <c r="K1284" s="2">
        <v>45243</v>
      </c>
      <c r="L1284" s="2">
        <v>45245</v>
      </c>
      <c r="M1284">
        <v>3</v>
      </c>
      <c r="N1284">
        <v>48</v>
      </c>
      <c r="O1284">
        <f>IF(Tickets[[#This Row],[Ticket Priority]]="Critical",24,
IF(Tickets[[#This Row],[Ticket Priority]]="High",48,
IF(Tickets[[#This Row],[Ticket Priority]]="Medium",120,168)))</f>
        <v>120</v>
      </c>
      <c r="P1284" t="str">
        <f>IF(Tickets[[#This Row],[Resolution Duration Hours]] &lt;= Tickets[[#This Row],[SLA_Target_Hours]], "Yes", "No")</f>
        <v>Yes</v>
      </c>
    </row>
    <row r="1285" spans="1:16" hidden="1">
      <c r="A1285">
        <v>1284</v>
      </c>
      <c r="B1285" t="s">
        <v>1286</v>
      </c>
      <c r="C1285" t="s">
        <v>3264</v>
      </c>
      <c r="D1285" t="s">
        <v>3982</v>
      </c>
      <c r="E1285" s="1">
        <v>44473</v>
      </c>
      <c r="F1285" t="s">
        <v>3998</v>
      </c>
      <c r="G1285" t="s">
        <v>4004</v>
      </c>
      <c r="H1285" t="s">
        <v>4018</v>
      </c>
      <c r="I1285" t="s">
        <v>4021</v>
      </c>
      <c r="J1285" t="s">
        <v>4026</v>
      </c>
      <c r="K1285" s="2">
        <v>44638</v>
      </c>
      <c r="L1285" s="2">
        <v>44639</v>
      </c>
      <c r="M1285">
        <v>5</v>
      </c>
      <c r="N1285">
        <v>24</v>
      </c>
      <c r="O1285">
        <f>IF(Tickets[[#This Row],[Ticket Priority]]="Critical",24,
IF(Tickets[[#This Row],[Ticket Priority]]="High",48,
IF(Tickets[[#This Row],[Ticket Priority]]="Medium",120,168)))</f>
        <v>48</v>
      </c>
      <c r="P1285" t="str">
        <f>IF(Tickets[[#This Row],[Resolution Duration Hours]] &lt;= Tickets[[#This Row],[SLA_Target_Hours]], "Yes", "No")</f>
        <v>Yes</v>
      </c>
    </row>
    <row r="1286" spans="1:16" hidden="1">
      <c r="A1286">
        <v>1285</v>
      </c>
      <c r="B1286" t="s">
        <v>1287</v>
      </c>
      <c r="C1286" t="s">
        <v>3265</v>
      </c>
      <c r="D1286" t="s">
        <v>3988</v>
      </c>
      <c r="E1286" s="1">
        <v>44331</v>
      </c>
      <c r="F1286" t="s">
        <v>3999</v>
      </c>
      <c r="G1286" t="s">
        <v>4004</v>
      </c>
      <c r="H1286" t="s">
        <v>4020</v>
      </c>
      <c r="I1286" t="s">
        <v>4024</v>
      </c>
      <c r="J1286" t="s">
        <v>4026</v>
      </c>
      <c r="K1286" s="2">
        <v>44432</v>
      </c>
      <c r="L1286" s="2">
        <v>44438</v>
      </c>
      <c r="N1286">
        <v>144</v>
      </c>
      <c r="O1286">
        <f>IF(Tickets[[#This Row],[Ticket Priority]]="Critical",24,
IF(Tickets[[#This Row],[Ticket Priority]]="High",48,
IF(Tickets[[#This Row],[Ticket Priority]]="Medium",120,168)))</f>
        <v>168</v>
      </c>
      <c r="P1286" t="str">
        <f>IF(Tickets[[#This Row],[Resolution Duration Hours]] &lt;= Tickets[[#This Row],[SLA_Target_Hours]], "Yes", "No")</f>
        <v>Yes</v>
      </c>
    </row>
    <row r="1287" spans="1:16" hidden="1">
      <c r="A1287">
        <v>1286</v>
      </c>
      <c r="B1287" t="s">
        <v>1288</v>
      </c>
      <c r="C1287" t="s">
        <v>3266</v>
      </c>
      <c r="D1287" t="s">
        <v>3981</v>
      </c>
      <c r="E1287" s="1">
        <v>44855</v>
      </c>
      <c r="F1287" t="s">
        <v>3998</v>
      </c>
      <c r="G1287" t="s">
        <v>4009</v>
      </c>
      <c r="H1287" t="s">
        <v>4020</v>
      </c>
      <c r="I1287" t="s">
        <v>4023</v>
      </c>
      <c r="J1287" t="s">
        <v>4025</v>
      </c>
      <c r="K1287" s="2">
        <v>45058</v>
      </c>
      <c r="L1287" s="2">
        <v>45061</v>
      </c>
      <c r="N1287">
        <v>72</v>
      </c>
      <c r="O1287">
        <f>IF(Tickets[[#This Row],[Ticket Priority]]="Critical",24,
IF(Tickets[[#This Row],[Ticket Priority]]="High",48,
IF(Tickets[[#This Row],[Ticket Priority]]="Medium",120,168)))</f>
        <v>120</v>
      </c>
      <c r="P1287" t="str">
        <f>IF(Tickets[[#This Row],[Resolution Duration Hours]] &lt;= Tickets[[#This Row],[SLA_Target_Hours]], "Yes", "No")</f>
        <v>Yes</v>
      </c>
    </row>
    <row r="1288" spans="1:16" hidden="1">
      <c r="A1288">
        <v>1287</v>
      </c>
      <c r="B1288" t="s">
        <v>1289</v>
      </c>
      <c r="C1288" t="s">
        <v>3267</v>
      </c>
      <c r="D1288" t="s">
        <v>3988</v>
      </c>
      <c r="E1288" s="1">
        <v>44872</v>
      </c>
      <c r="F1288" t="s">
        <v>4000</v>
      </c>
      <c r="G1288" t="s">
        <v>4005</v>
      </c>
      <c r="H1288" t="s">
        <v>4018</v>
      </c>
      <c r="I1288" t="s">
        <v>4023</v>
      </c>
      <c r="J1288" t="s">
        <v>4026</v>
      </c>
      <c r="K1288" s="2">
        <v>45039</v>
      </c>
      <c r="L1288" s="2">
        <v>45039</v>
      </c>
      <c r="M1288">
        <v>5</v>
      </c>
      <c r="N1288">
        <v>0</v>
      </c>
      <c r="O1288">
        <f>IF(Tickets[[#This Row],[Ticket Priority]]="Critical",24,
IF(Tickets[[#This Row],[Ticket Priority]]="High",48,
IF(Tickets[[#This Row],[Ticket Priority]]="Medium",120,168)))</f>
        <v>120</v>
      </c>
      <c r="P1288" t="str">
        <f>IF(Tickets[[#This Row],[Resolution Duration Hours]] &lt;= Tickets[[#This Row],[SLA_Target_Hours]], "Yes", "No")</f>
        <v>Yes</v>
      </c>
    </row>
    <row r="1289" spans="1:16" hidden="1">
      <c r="A1289">
        <v>1288</v>
      </c>
      <c r="B1289" t="s">
        <v>1290</v>
      </c>
      <c r="C1289" t="s">
        <v>3268</v>
      </c>
      <c r="D1289" t="s">
        <v>3993</v>
      </c>
      <c r="E1289" s="1">
        <v>44629</v>
      </c>
      <c r="F1289" t="s">
        <v>4001</v>
      </c>
      <c r="G1289" t="s">
        <v>4016</v>
      </c>
      <c r="H1289" t="s">
        <v>4017</v>
      </c>
      <c r="I1289" t="s">
        <v>4023</v>
      </c>
      <c r="J1289" t="s">
        <v>4026</v>
      </c>
      <c r="K1289" s="2">
        <v>44754</v>
      </c>
      <c r="L1289" s="2">
        <v>44756</v>
      </c>
      <c r="N1289">
        <v>48</v>
      </c>
      <c r="O1289">
        <f>IF(Tickets[[#This Row],[Ticket Priority]]="Critical",24,
IF(Tickets[[#This Row],[Ticket Priority]]="High",48,
IF(Tickets[[#This Row],[Ticket Priority]]="Medium",120,168)))</f>
        <v>120</v>
      </c>
      <c r="P1289" t="str">
        <f>IF(Tickets[[#This Row],[Resolution Duration Hours]] &lt;= Tickets[[#This Row],[SLA_Target_Hours]], "Yes", "No")</f>
        <v>Yes</v>
      </c>
    </row>
    <row r="1290" spans="1:16" hidden="1">
      <c r="A1290">
        <v>1289</v>
      </c>
      <c r="B1290" t="s">
        <v>1291</v>
      </c>
      <c r="C1290" t="s">
        <v>3269</v>
      </c>
      <c r="D1290" t="s">
        <v>3992</v>
      </c>
      <c r="E1290" s="1">
        <v>44033</v>
      </c>
      <c r="F1290" t="s">
        <v>3998</v>
      </c>
      <c r="G1290" t="s">
        <v>4006</v>
      </c>
      <c r="H1290" t="s">
        <v>4020</v>
      </c>
      <c r="I1290" t="s">
        <v>4023</v>
      </c>
      <c r="J1290" t="s">
        <v>4028</v>
      </c>
      <c r="K1290" s="2">
        <v>44257</v>
      </c>
      <c r="L1290" s="2">
        <v>44261</v>
      </c>
      <c r="N1290">
        <v>96</v>
      </c>
      <c r="O1290">
        <f>IF(Tickets[[#This Row],[Ticket Priority]]="Critical",24,
IF(Tickets[[#This Row],[Ticket Priority]]="High",48,
IF(Tickets[[#This Row],[Ticket Priority]]="Medium",120,168)))</f>
        <v>120</v>
      </c>
      <c r="P1290" t="str">
        <f>IF(Tickets[[#This Row],[Resolution Duration Hours]] &lt;= Tickets[[#This Row],[SLA_Target_Hours]], "Yes", "No")</f>
        <v>Yes</v>
      </c>
    </row>
    <row r="1291" spans="1:16" hidden="1">
      <c r="A1291">
        <v>1290</v>
      </c>
      <c r="B1291" t="s">
        <v>1292</v>
      </c>
      <c r="C1291" t="s">
        <v>3270</v>
      </c>
      <c r="D1291" t="s">
        <v>3996</v>
      </c>
      <c r="E1291" s="1">
        <v>44488</v>
      </c>
      <c r="F1291" t="s">
        <v>4002</v>
      </c>
      <c r="G1291" t="s">
        <v>4007</v>
      </c>
      <c r="H1291" t="s">
        <v>4018</v>
      </c>
      <c r="I1291" t="s">
        <v>4024</v>
      </c>
      <c r="J1291" t="s">
        <v>4027</v>
      </c>
      <c r="K1291" s="2">
        <v>44621</v>
      </c>
      <c r="L1291" s="2">
        <v>44628</v>
      </c>
      <c r="M1291">
        <v>5</v>
      </c>
      <c r="N1291">
        <v>168</v>
      </c>
      <c r="O1291">
        <f>IF(Tickets[[#This Row],[Ticket Priority]]="Critical",24,
IF(Tickets[[#This Row],[Ticket Priority]]="High",48,
IF(Tickets[[#This Row],[Ticket Priority]]="Medium",120,168)))</f>
        <v>168</v>
      </c>
      <c r="P1291" t="str">
        <f>IF(Tickets[[#This Row],[Resolution Duration Hours]] &lt;= Tickets[[#This Row],[SLA_Target_Hours]], "Yes", "No")</f>
        <v>Yes</v>
      </c>
    </row>
    <row r="1292" spans="1:16" hidden="1">
      <c r="A1292">
        <v>1291</v>
      </c>
      <c r="B1292" t="s">
        <v>1293</v>
      </c>
      <c r="C1292" t="s">
        <v>3271</v>
      </c>
      <c r="D1292" t="s">
        <v>3988</v>
      </c>
      <c r="E1292" s="1">
        <v>44002</v>
      </c>
      <c r="F1292" t="s">
        <v>3998</v>
      </c>
      <c r="G1292" t="s">
        <v>4015</v>
      </c>
      <c r="H1292" t="s">
        <v>4018</v>
      </c>
      <c r="I1292" t="s">
        <v>4024</v>
      </c>
      <c r="J1292" t="s">
        <v>4026</v>
      </c>
      <c r="K1292" s="2">
        <v>44356</v>
      </c>
      <c r="L1292" s="2">
        <v>44359</v>
      </c>
      <c r="M1292">
        <v>2</v>
      </c>
      <c r="N1292">
        <v>72</v>
      </c>
      <c r="O1292">
        <f>IF(Tickets[[#This Row],[Ticket Priority]]="Critical",24,
IF(Tickets[[#This Row],[Ticket Priority]]="High",48,
IF(Tickets[[#This Row],[Ticket Priority]]="Medium",120,168)))</f>
        <v>168</v>
      </c>
      <c r="P1292" t="str">
        <f>IF(Tickets[[#This Row],[Resolution Duration Hours]] &lt;= Tickets[[#This Row],[SLA_Target_Hours]], "Yes", "No")</f>
        <v>Yes</v>
      </c>
    </row>
    <row r="1293" spans="1:16" hidden="1">
      <c r="A1293">
        <v>1292</v>
      </c>
      <c r="B1293" t="s">
        <v>1294</v>
      </c>
      <c r="C1293" t="s">
        <v>3272</v>
      </c>
      <c r="D1293" t="s">
        <v>3983</v>
      </c>
      <c r="E1293" s="1">
        <v>44243</v>
      </c>
      <c r="F1293" t="s">
        <v>4002</v>
      </c>
      <c r="G1293" t="s">
        <v>4011</v>
      </c>
      <c r="H1293" t="s">
        <v>4018</v>
      </c>
      <c r="I1293" t="s">
        <v>4023</v>
      </c>
      <c r="J1293" t="s">
        <v>4028</v>
      </c>
      <c r="K1293" s="2">
        <v>44296</v>
      </c>
      <c r="L1293" s="2">
        <v>44300</v>
      </c>
      <c r="M1293">
        <v>5</v>
      </c>
      <c r="N1293">
        <v>96</v>
      </c>
      <c r="O1293">
        <f>IF(Tickets[[#This Row],[Ticket Priority]]="Critical",24,
IF(Tickets[[#This Row],[Ticket Priority]]="High",48,
IF(Tickets[[#This Row],[Ticket Priority]]="Medium",120,168)))</f>
        <v>120</v>
      </c>
      <c r="P1293" t="str">
        <f>IF(Tickets[[#This Row],[Resolution Duration Hours]] &lt;= Tickets[[#This Row],[SLA_Target_Hours]], "Yes", "No")</f>
        <v>Yes</v>
      </c>
    </row>
    <row r="1294" spans="1:16" hidden="1">
      <c r="A1294">
        <v>1293</v>
      </c>
      <c r="B1294" t="s">
        <v>1295</v>
      </c>
      <c r="C1294" t="s">
        <v>3273</v>
      </c>
      <c r="D1294" t="s">
        <v>3994</v>
      </c>
      <c r="E1294" s="1">
        <v>44349</v>
      </c>
      <c r="F1294" t="s">
        <v>3998</v>
      </c>
      <c r="G1294" t="s">
        <v>4013</v>
      </c>
      <c r="H1294" t="s">
        <v>4018</v>
      </c>
      <c r="I1294" t="s">
        <v>4023</v>
      </c>
      <c r="J1294" t="s">
        <v>4028</v>
      </c>
      <c r="K1294" s="2">
        <v>44584</v>
      </c>
      <c r="L1294" s="2">
        <v>44589</v>
      </c>
      <c r="M1294">
        <v>4</v>
      </c>
      <c r="N1294">
        <v>120</v>
      </c>
      <c r="O1294">
        <f>IF(Tickets[[#This Row],[Ticket Priority]]="Critical",24,
IF(Tickets[[#This Row],[Ticket Priority]]="High",48,
IF(Tickets[[#This Row],[Ticket Priority]]="Medium",120,168)))</f>
        <v>120</v>
      </c>
      <c r="P1294" t="str">
        <f>IF(Tickets[[#This Row],[Resolution Duration Hours]] &lt;= Tickets[[#This Row],[SLA_Target_Hours]], "Yes", "No")</f>
        <v>Yes</v>
      </c>
    </row>
    <row r="1295" spans="1:16" hidden="1">
      <c r="A1295">
        <v>1294</v>
      </c>
      <c r="B1295" t="s">
        <v>1296</v>
      </c>
      <c r="C1295" t="s">
        <v>3274</v>
      </c>
      <c r="D1295" t="s">
        <v>3981</v>
      </c>
      <c r="E1295" s="1">
        <v>44287</v>
      </c>
      <c r="F1295" t="s">
        <v>3998</v>
      </c>
      <c r="G1295" t="s">
        <v>4012</v>
      </c>
      <c r="H1295" t="s">
        <v>4017</v>
      </c>
      <c r="I1295" t="s">
        <v>4021</v>
      </c>
      <c r="J1295" t="s">
        <v>4025</v>
      </c>
      <c r="K1295" s="2">
        <v>44531</v>
      </c>
      <c r="L1295" s="2">
        <v>44532</v>
      </c>
      <c r="N1295">
        <v>24</v>
      </c>
      <c r="O1295">
        <f>IF(Tickets[[#This Row],[Ticket Priority]]="Critical",24,
IF(Tickets[[#This Row],[Ticket Priority]]="High",48,
IF(Tickets[[#This Row],[Ticket Priority]]="Medium",120,168)))</f>
        <v>48</v>
      </c>
      <c r="P1295" t="str">
        <f>IF(Tickets[[#This Row],[Resolution Duration Hours]] &lt;= Tickets[[#This Row],[SLA_Target_Hours]], "Yes", "No")</f>
        <v>Yes</v>
      </c>
    </row>
    <row r="1296" spans="1:16" hidden="1">
      <c r="A1296">
        <v>1295</v>
      </c>
      <c r="B1296" t="s">
        <v>1297</v>
      </c>
      <c r="C1296" t="s">
        <v>3275</v>
      </c>
      <c r="D1296" t="s">
        <v>3987</v>
      </c>
      <c r="E1296" s="1">
        <v>43908</v>
      </c>
      <c r="F1296" t="s">
        <v>4000</v>
      </c>
      <c r="G1296" t="s">
        <v>4012</v>
      </c>
      <c r="H1296" t="s">
        <v>4017</v>
      </c>
      <c r="I1296" t="s">
        <v>4023</v>
      </c>
      <c r="J1296" t="s">
        <v>4026</v>
      </c>
      <c r="K1296" s="2">
        <v>44273</v>
      </c>
      <c r="L1296" s="2">
        <v>44278</v>
      </c>
      <c r="N1296">
        <v>120</v>
      </c>
      <c r="O1296">
        <f>IF(Tickets[[#This Row],[Ticket Priority]]="Critical",24,
IF(Tickets[[#This Row],[Ticket Priority]]="High",48,
IF(Tickets[[#This Row],[Ticket Priority]]="Medium",120,168)))</f>
        <v>120</v>
      </c>
      <c r="P1296" t="str">
        <f>IF(Tickets[[#This Row],[Resolution Duration Hours]] &lt;= Tickets[[#This Row],[SLA_Target_Hours]], "Yes", "No")</f>
        <v>Yes</v>
      </c>
    </row>
    <row r="1297" spans="1:16" hidden="1">
      <c r="A1297">
        <v>1296</v>
      </c>
      <c r="B1297" t="s">
        <v>1298</v>
      </c>
      <c r="C1297" t="s">
        <v>3276</v>
      </c>
      <c r="D1297" t="s">
        <v>3991</v>
      </c>
      <c r="E1297" s="1">
        <v>43933</v>
      </c>
      <c r="F1297" t="s">
        <v>3998</v>
      </c>
      <c r="G1297" t="s">
        <v>4013</v>
      </c>
      <c r="H1297" t="s">
        <v>4019</v>
      </c>
      <c r="I1297" t="s">
        <v>4023</v>
      </c>
      <c r="J1297" t="s">
        <v>4026</v>
      </c>
      <c r="K1297" s="2">
        <v>44289</v>
      </c>
      <c r="L1297" s="2">
        <v>44291</v>
      </c>
      <c r="M1297">
        <v>4</v>
      </c>
      <c r="N1297">
        <v>48</v>
      </c>
      <c r="O1297">
        <f>IF(Tickets[[#This Row],[Ticket Priority]]="Critical",24,
IF(Tickets[[#This Row],[Ticket Priority]]="High",48,
IF(Tickets[[#This Row],[Ticket Priority]]="Medium",120,168)))</f>
        <v>120</v>
      </c>
      <c r="P1297" t="str">
        <f>IF(Tickets[[#This Row],[Resolution Duration Hours]] &lt;= Tickets[[#This Row],[SLA_Target_Hours]], "Yes", "No")</f>
        <v>Yes</v>
      </c>
    </row>
    <row r="1298" spans="1:16">
      <c r="A1298">
        <v>1647</v>
      </c>
      <c r="B1298" t="s">
        <v>1642</v>
      </c>
      <c r="C1298" t="s">
        <v>3626</v>
      </c>
      <c r="D1298" t="s">
        <v>3981</v>
      </c>
      <c r="E1298" s="1">
        <v>44742</v>
      </c>
      <c r="F1298" t="s">
        <v>3999</v>
      </c>
      <c r="G1298" t="s">
        <v>4004</v>
      </c>
      <c r="H1298" t="s">
        <v>4018</v>
      </c>
      <c r="I1298" t="s">
        <v>4023</v>
      </c>
      <c r="J1298" t="s">
        <v>4027</v>
      </c>
      <c r="K1298" s="2">
        <v>44808</v>
      </c>
      <c r="L1298" s="2">
        <v>44816</v>
      </c>
      <c r="M1298">
        <v>3</v>
      </c>
      <c r="N1298">
        <v>192</v>
      </c>
      <c r="O1298">
        <f>IF(Tickets[[#This Row],[Ticket Priority]]="Critical",24,
IF(Tickets[[#This Row],[Ticket Priority]]="High",48,
IF(Tickets[[#This Row],[Ticket Priority]]="Medium",120,168)))</f>
        <v>120</v>
      </c>
      <c r="P1298" t="str">
        <f>IF(Tickets[[#This Row],[Resolution Duration Hours]] &lt;= Tickets[[#This Row],[SLA_Target_Hours]], "Yes", "No")</f>
        <v>No</v>
      </c>
    </row>
    <row r="1299" spans="1:16">
      <c r="A1299">
        <v>1663</v>
      </c>
      <c r="B1299" t="s">
        <v>1658</v>
      </c>
      <c r="C1299" t="s">
        <v>3642</v>
      </c>
      <c r="D1299" t="s">
        <v>3980</v>
      </c>
      <c r="E1299" s="1">
        <v>44778</v>
      </c>
      <c r="F1299" t="s">
        <v>3998</v>
      </c>
      <c r="G1299" t="s">
        <v>4005</v>
      </c>
      <c r="H1299" t="s">
        <v>4018</v>
      </c>
      <c r="I1299" t="s">
        <v>4024</v>
      </c>
      <c r="J1299" t="s">
        <v>4028</v>
      </c>
      <c r="K1299" s="2">
        <v>44874</v>
      </c>
      <c r="L1299" s="2">
        <v>44882</v>
      </c>
      <c r="M1299">
        <v>3</v>
      </c>
      <c r="N1299">
        <v>192</v>
      </c>
      <c r="O1299">
        <f>IF(Tickets[[#This Row],[Ticket Priority]]="Critical",24,
IF(Tickets[[#This Row],[Ticket Priority]]="High",48,
IF(Tickets[[#This Row],[Ticket Priority]]="Medium",120,168)))</f>
        <v>168</v>
      </c>
      <c r="P1299" t="str">
        <f>IF(Tickets[[#This Row],[Resolution Duration Hours]] &lt;= Tickets[[#This Row],[SLA_Target_Hours]], "Yes", "No")</f>
        <v>No</v>
      </c>
    </row>
    <row r="1300" spans="1:16" hidden="1">
      <c r="A1300">
        <v>1299</v>
      </c>
      <c r="B1300" t="s">
        <v>1301</v>
      </c>
      <c r="C1300" t="s">
        <v>3279</v>
      </c>
      <c r="D1300" t="s">
        <v>3988</v>
      </c>
      <c r="E1300" s="1">
        <v>44095</v>
      </c>
      <c r="F1300" t="s">
        <v>4002</v>
      </c>
      <c r="G1300" t="s">
        <v>4016</v>
      </c>
      <c r="H1300" t="s">
        <v>4018</v>
      </c>
      <c r="I1300" t="s">
        <v>4023</v>
      </c>
      <c r="J1300" t="s">
        <v>4028</v>
      </c>
      <c r="K1300" s="2">
        <v>44143</v>
      </c>
      <c r="L1300" s="2">
        <v>44147</v>
      </c>
      <c r="M1300">
        <v>4</v>
      </c>
      <c r="N1300">
        <v>96</v>
      </c>
      <c r="O1300">
        <f>IF(Tickets[[#This Row],[Ticket Priority]]="Critical",24,
IF(Tickets[[#This Row],[Ticket Priority]]="High",48,
IF(Tickets[[#This Row],[Ticket Priority]]="Medium",120,168)))</f>
        <v>120</v>
      </c>
      <c r="P1300" t="str">
        <f>IF(Tickets[[#This Row],[Resolution Duration Hours]] &lt;= Tickets[[#This Row],[SLA_Target_Hours]], "Yes", "No")</f>
        <v>Yes</v>
      </c>
    </row>
    <row r="1301" spans="1:16" hidden="1">
      <c r="A1301">
        <v>1300</v>
      </c>
      <c r="B1301" t="s">
        <v>1302</v>
      </c>
      <c r="C1301" t="s">
        <v>3280</v>
      </c>
      <c r="D1301" t="s">
        <v>3979</v>
      </c>
      <c r="E1301" s="1">
        <v>44568</v>
      </c>
      <c r="F1301" t="s">
        <v>4002</v>
      </c>
      <c r="G1301" t="s">
        <v>4007</v>
      </c>
      <c r="H1301" t="s">
        <v>4018</v>
      </c>
      <c r="I1301" t="s">
        <v>4024</v>
      </c>
      <c r="J1301" t="s">
        <v>4026</v>
      </c>
      <c r="K1301" s="2">
        <v>44727</v>
      </c>
      <c r="L1301" s="2">
        <v>44733</v>
      </c>
      <c r="N1301">
        <v>144</v>
      </c>
      <c r="O1301">
        <f>IF(Tickets[[#This Row],[Ticket Priority]]="Critical",24,
IF(Tickets[[#This Row],[Ticket Priority]]="High",48,
IF(Tickets[[#This Row],[Ticket Priority]]="Medium",120,168)))</f>
        <v>168</v>
      </c>
      <c r="P1301" t="str">
        <f>IF(Tickets[[#This Row],[Resolution Duration Hours]] &lt;= Tickets[[#This Row],[SLA_Target_Hours]], "Yes", "No")</f>
        <v>Yes</v>
      </c>
    </row>
    <row r="1302" spans="1:16" hidden="1">
      <c r="A1302">
        <v>1301</v>
      </c>
      <c r="B1302" t="s">
        <v>1303</v>
      </c>
      <c r="C1302" t="s">
        <v>3281</v>
      </c>
      <c r="D1302" t="s">
        <v>3988</v>
      </c>
      <c r="E1302" s="1">
        <v>44753</v>
      </c>
      <c r="F1302" t="s">
        <v>3999</v>
      </c>
      <c r="G1302" t="s">
        <v>4003</v>
      </c>
      <c r="H1302" t="s">
        <v>4018</v>
      </c>
      <c r="I1302" t="s">
        <v>4021</v>
      </c>
      <c r="J1302" t="s">
        <v>4028</v>
      </c>
      <c r="K1302" s="2">
        <v>44926</v>
      </c>
      <c r="L1302" s="2">
        <v>44926</v>
      </c>
      <c r="M1302">
        <v>3</v>
      </c>
      <c r="N1302">
        <v>0</v>
      </c>
      <c r="O1302">
        <f>IF(Tickets[[#This Row],[Ticket Priority]]="Critical",24,
IF(Tickets[[#This Row],[Ticket Priority]]="High",48,
IF(Tickets[[#This Row],[Ticket Priority]]="Medium",120,168)))</f>
        <v>48</v>
      </c>
      <c r="P1302" t="str">
        <f>IF(Tickets[[#This Row],[Resolution Duration Hours]] &lt;= Tickets[[#This Row],[SLA_Target_Hours]], "Yes", "No")</f>
        <v>Yes</v>
      </c>
    </row>
    <row r="1303" spans="1:16" hidden="1">
      <c r="A1303">
        <v>1302</v>
      </c>
      <c r="B1303" t="s">
        <v>1304</v>
      </c>
      <c r="C1303" t="s">
        <v>3282</v>
      </c>
      <c r="D1303" t="s">
        <v>3997</v>
      </c>
      <c r="E1303" s="1">
        <v>44712</v>
      </c>
      <c r="F1303" t="s">
        <v>4002</v>
      </c>
      <c r="G1303" t="s">
        <v>4005</v>
      </c>
      <c r="H1303" t="s">
        <v>4018</v>
      </c>
      <c r="I1303" t="s">
        <v>4023</v>
      </c>
      <c r="J1303" t="s">
        <v>4027</v>
      </c>
      <c r="K1303" s="2">
        <v>44718</v>
      </c>
      <c r="L1303" s="2">
        <v>44721</v>
      </c>
      <c r="M1303">
        <v>4</v>
      </c>
      <c r="N1303">
        <v>72</v>
      </c>
      <c r="O1303">
        <f>IF(Tickets[[#This Row],[Ticket Priority]]="Critical",24,
IF(Tickets[[#This Row],[Ticket Priority]]="High",48,
IF(Tickets[[#This Row],[Ticket Priority]]="Medium",120,168)))</f>
        <v>120</v>
      </c>
      <c r="P1303" t="str">
        <f>IF(Tickets[[#This Row],[Resolution Duration Hours]] &lt;= Tickets[[#This Row],[SLA_Target_Hours]], "Yes", "No")</f>
        <v>Yes</v>
      </c>
    </row>
    <row r="1304" spans="1:16" hidden="1">
      <c r="A1304">
        <v>1303</v>
      </c>
      <c r="B1304" t="s">
        <v>1305</v>
      </c>
      <c r="C1304" t="s">
        <v>3283</v>
      </c>
      <c r="D1304" t="s">
        <v>3992</v>
      </c>
      <c r="E1304" s="1">
        <v>44304</v>
      </c>
      <c r="F1304" t="s">
        <v>4002</v>
      </c>
      <c r="G1304" t="s">
        <v>4006</v>
      </c>
      <c r="H1304" t="s">
        <v>4018</v>
      </c>
      <c r="I1304" t="s">
        <v>4024</v>
      </c>
      <c r="J1304" t="s">
        <v>4026</v>
      </c>
      <c r="K1304" s="2">
        <v>44397</v>
      </c>
      <c r="L1304" s="2">
        <v>44404</v>
      </c>
      <c r="M1304">
        <v>3</v>
      </c>
      <c r="N1304">
        <v>168</v>
      </c>
      <c r="O1304">
        <f>IF(Tickets[[#This Row],[Ticket Priority]]="Critical",24,
IF(Tickets[[#This Row],[Ticket Priority]]="High",48,
IF(Tickets[[#This Row],[Ticket Priority]]="Medium",120,168)))</f>
        <v>168</v>
      </c>
      <c r="P1304" t="str">
        <f>IF(Tickets[[#This Row],[Resolution Duration Hours]] &lt;= Tickets[[#This Row],[SLA_Target_Hours]], "Yes", "No")</f>
        <v>Yes</v>
      </c>
    </row>
    <row r="1305" spans="1:16">
      <c r="A1305">
        <v>1702</v>
      </c>
      <c r="B1305" t="s">
        <v>1697</v>
      </c>
      <c r="C1305" t="s">
        <v>3681</v>
      </c>
      <c r="D1305" t="s">
        <v>3992</v>
      </c>
      <c r="E1305" s="1">
        <v>44218</v>
      </c>
      <c r="F1305" t="s">
        <v>3998</v>
      </c>
      <c r="G1305" t="s">
        <v>4003</v>
      </c>
      <c r="H1305" t="s">
        <v>4018</v>
      </c>
      <c r="I1305" t="s">
        <v>4024</v>
      </c>
      <c r="J1305" t="s">
        <v>4026</v>
      </c>
      <c r="K1305" s="2">
        <v>44559</v>
      </c>
      <c r="L1305" s="2">
        <v>44567</v>
      </c>
      <c r="M1305">
        <v>3</v>
      </c>
      <c r="N1305">
        <v>192</v>
      </c>
      <c r="O1305">
        <f>IF(Tickets[[#This Row],[Ticket Priority]]="Critical",24,
IF(Tickets[[#This Row],[Ticket Priority]]="High",48,
IF(Tickets[[#This Row],[Ticket Priority]]="Medium",120,168)))</f>
        <v>168</v>
      </c>
      <c r="P1305" t="str">
        <f>IF(Tickets[[#This Row],[Resolution Duration Hours]] &lt;= Tickets[[#This Row],[SLA_Target_Hours]], "Yes", "No")</f>
        <v>No</v>
      </c>
    </row>
    <row r="1306" spans="1:16" hidden="1">
      <c r="A1306">
        <v>1305</v>
      </c>
      <c r="B1306" t="s">
        <v>1307</v>
      </c>
      <c r="C1306" t="s">
        <v>3285</v>
      </c>
      <c r="D1306" t="s">
        <v>3986</v>
      </c>
      <c r="E1306" s="1">
        <v>44250</v>
      </c>
      <c r="F1306" t="s">
        <v>4002</v>
      </c>
      <c r="G1306" t="s">
        <v>4009</v>
      </c>
      <c r="H1306" t="s">
        <v>4018</v>
      </c>
      <c r="I1306" t="s">
        <v>4024</v>
      </c>
      <c r="J1306" t="s">
        <v>4026</v>
      </c>
      <c r="K1306" s="2">
        <v>44399</v>
      </c>
      <c r="L1306" s="2">
        <v>44406</v>
      </c>
      <c r="N1306">
        <v>168</v>
      </c>
      <c r="O1306">
        <f>IF(Tickets[[#This Row],[Ticket Priority]]="Critical",24,
IF(Tickets[[#This Row],[Ticket Priority]]="High",48,
IF(Tickets[[#This Row],[Ticket Priority]]="Medium",120,168)))</f>
        <v>168</v>
      </c>
      <c r="P1306" t="str">
        <f>IF(Tickets[[#This Row],[Resolution Duration Hours]] &lt;= Tickets[[#This Row],[SLA_Target_Hours]], "Yes", "No")</f>
        <v>Yes</v>
      </c>
    </row>
    <row r="1307" spans="1:16" hidden="1">
      <c r="A1307">
        <v>1306</v>
      </c>
      <c r="B1307" t="s">
        <v>1308</v>
      </c>
      <c r="C1307" t="s">
        <v>3286</v>
      </c>
      <c r="D1307" t="s">
        <v>3984</v>
      </c>
      <c r="E1307" s="1">
        <v>44385</v>
      </c>
      <c r="F1307" t="s">
        <v>3999</v>
      </c>
      <c r="G1307" t="s">
        <v>4005</v>
      </c>
      <c r="H1307" t="s">
        <v>4017</v>
      </c>
      <c r="I1307" t="s">
        <v>4023</v>
      </c>
      <c r="J1307" t="s">
        <v>4028</v>
      </c>
      <c r="K1307" s="2">
        <v>44722</v>
      </c>
      <c r="L1307" s="2">
        <v>44725</v>
      </c>
      <c r="N1307">
        <v>72</v>
      </c>
      <c r="O1307">
        <f>IF(Tickets[[#This Row],[Ticket Priority]]="Critical",24,
IF(Tickets[[#This Row],[Ticket Priority]]="High",48,
IF(Tickets[[#This Row],[Ticket Priority]]="Medium",120,168)))</f>
        <v>120</v>
      </c>
      <c r="P1307" t="str">
        <f>IF(Tickets[[#This Row],[Resolution Duration Hours]] &lt;= Tickets[[#This Row],[SLA_Target_Hours]], "Yes", "No")</f>
        <v>Yes</v>
      </c>
    </row>
    <row r="1308" spans="1:16" hidden="1">
      <c r="A1308">
        <v>1307</v>
      </c>
      <c r="B1308" t="s">
        <v>1309</v>
      </c>
      <c r="C1308" t="s">
        <v>3287</v>
      </c>
      <c r="D1308" t="s">
        <v>3981</v>
      </c>
      <c r="E1308" s="1">
        <v>43998</v>
      </c>
      <c r="F1308" t="s">
        <v>4000</v>
      </c>
      <c r="G1308" t="s">
        <v>4008</v>
      </c>
      <c r="H1308" t="s">
        <v>4018</v>
      </c>
      <c r="I1308" t="s">
        <v>4024</v>
      </c>
      <c r="J1308" t="s">
        <v>4027</v>
      </c>
      <c r="K1308" s="2">
        <v>44070</v>
      </c>
      <c r="L1308" s="2">
        <v>44076</v>
      </c>
      <c r="M1308">
        <v>4</v>
      </c>
      <c r="N1308">
        <v>144</v>
      </c>
      <c r="O1308">
        <f>IF(Tickets[[#This Row],[Ticket Priority]]="Critical",24,
IF(Tickets[[#This Row],[Ticket Priority]]="High",48,
IF(Tickets[[#This Row],[Ticket Priority]]="Medium",120,168)))</f>
        <v>168</v>
      </c>
      <c r="P1308" t="str">
        <f>IF(Tickets[[#This Row],[Resolution Duration Hours]] &lt;= Tickets[[#This Row],[SLA_Target_Hours]], "Yes", "No")</f>
        <v>Yes</v>
      </c>
    </row>
    <row r="1309" spans="1:16" hidden="1">
      <c r="A1309">
        <v>1308</v>
      </c>
      <c r="B1309" t="s">
        <v>1310</v>
      </c>
      <c r="C1309" t="s">
        <v>3288</v>
      </c>
      <c r="D1309" t="s">
        <v>3980</v>
      </c>
      <c r="E1309" s="1">
        <v>44243</v>
      </c>
      <c r="F1309" t="s">
        <v>3998</v>
      </c>
      <c r="G1309" t="s">
        <v>4000</v>
      </c>
      <c r="H1309" t="s">
        <v>4018</v>
      </c>
      <c r="I1309" t="s">
        <v>4021</v>
      </c>
      <c r="J1309" t="s">
        <v>4025</v>
      </c>
      <c r="K1309" s="2">
        <v>44293</v>
      </c>
      <c r="L1309" s="2">
        <v>44295</v>
      </c>
      <c r="M1309">
        <v>3</v>
      </c>
      <c r="N1309">
        <v>48</v>
      </c>
      <c r="O1309">
        <f>IF(Tickets[[#This Row],[Ticket Priority]]="Critical",24,
IF(Tickets[[#This Row],[Ticket Priority]]="High",48,
IF(Tickets[[#This Row],[Ticket Priority]]="Medium",120,168)))</f>
        <v>48</v>
      </c>
      <c r="P1309" t="str">
        <f>IF(Tickets[[#This Row],[Resolution Duration Hours]] &lt;= Tickets[[#This Row],[SLA_Target_Hours]], "Yes", "No")</f>
        <v>Yes</v>
      </c>
    </row>
    <row r="1310" spans="1:16" hidden="1">
      <c r="A1310">
        <v>1309</v>
      </c>
      <c r="B1310" t="s">
        <v>1311</v>
      </c>
      <c r="C1310" t="s">
        <v>3289</v>
      </c>
      <c r="D1310" t="s">
        <v>3989</v>
      </c>
      <c r="E1310" s="1">
        <v>44127</v>
      </c>
      <c r="F1310" t="s">
        <v>4001</v>
      </c>
      <c r="G1310" t="s">
        <v>4011</v>
      </c>
      <c r="H1310" t="s">
        <v>4018</v>
      </c>
      <c r="I1310" t="s">
        <v>4023</v>
      </c>
      <c r="J1310" t="s">
        <v>4026</v>
      </c>
      <c r="K1310" s="2">
        <v>44271</v>
      </c>
      <c r="L1310" s="2">
        <v>44273</v>
      </c>
      <c r="M1310">
        <v>4</v>
      </c>
      <c r="N1310">
        <v>48</v>
      </c>
      <c r="O1310">
        <f>IF(Tickets[[#This Row],[Ticket Priority]]="Critical",24,
IF(Tickets[[#This Row],[Ticket Priority]]="High",48,
IF(Tickets[[#This Row],[Ticket Priority]]="Medium",120,168)))</f>
        <v>120</v>
      </c>
      <c r="P1310" t="str">
        <f>IF(Tickets[[#This Row],[Resolution Duration Hours]] &lt;= Tickets[[#This Row],[SLA_Target_Hours]], "Yes", "No")</f>
        <v>Yes</v>
      </c>
    </row>
    <row r="1311" spans="1:16" hidden="1">
      <c r="A1311">
        <v>1310</v>
      </c>
      <c r="B1311" t="s">
        <v>435</v>
      </c>
      <c r="C1311" t="s">
        <v>3290</v>
      </c>
      <c r="D1311" t="s">
        <v>3979</v>
      </c>
      <c r="E1311" s="1">
        <v>44279</v>
      </c>
      <c r="F1311" t="s">
        <v>4001</v>
      </c>
      <c r="G1311" t="s">
        <v>4004</v>
      </c>
      <c r="H1311" t="s">
        <v>4020</v>
      </c>
      <c r="I1311" t="s">
        <v>4023</v>
      </c>
      <c r="J1311" t="s">
        <v>4025</v>
      </c>
      <c r="K1311" s="2">
        <v>44443</v>
      </c>
      <c r="L1311" s="2">
        <v>44444</v>
      </c>
      <c r="N1311">
        <v>24</v>
      </c>
      <c r="O1311">
        <f>IF(Tickets[[#This Row],[Ticket Priority]]="Critical",24,
IF(Tickets[[#This Row],[Ticket Priority]]="High",48,
IF(Tickets[[#This Row],[Ticket Priority]]="Medium",120,168)))</f>
        <v>120</v>
      </c>
      <c r="P1311" t="str">
        <f>IF(Tickets[[#This Row],[Resolution Duration Hours]] &lt;= Tickets[[#This Row],[SLA_Target_Hours]], "Yes", "No")</f>
        <v>Yes</v>
      </c>
    </row>
    <row r="1312" spans="1:16" hidden="1">
      <c r="A1312">
        <v>1311</v>
      </c>
      <c r="B1312" t="s">
        <v>1312</v>
      </c>
      <c r="C1312" t="s">
        <v>3291</v>
      </c>
      <c r="D1312" t="s">
        <v>3994</v>
      </c>
      <c r="E1312" s="1">
        <v>44800</v>
      </c>
      <c r="F1312" t="s">
        <v>4001</v>
      </c>
      <c r="G1312" t="s">
        <v>4004</v>
      </c>
      <c r="H1312" t="s">
        <v>4018</v>
      </c>
      <c r="I1312" t="s">
        <v>4023</v>
      </c>
      <c r="J1312" t="s">
        <v>4028</v>
      </c>
      <c r="K1312" s="2">
        <v>44896</v>
      </c>
      <c r="L1312" s="2">
        <v>44898</v>
      </c>
      <c r="M1312">
        <v>4</v>
      </c>
      <c r="N1312">
        <v>48</v>
      </c>
      <c r="O1312">
        <f>IF(Tickets[[#This Row],[Ticket Priority]]="Critical",24,
IF(Tickets[[#This Row],[Ticket Priority]]="High",48,
IF(Tickets[[#This Row],[Ticket Priority]]="Medium",120,168)))</f>
        <v>120</v>
      </c>
      <c r="P1312" t="str">
        <f>IF(Tickets[[#This Row],[Resolution Duration Hours]] &lt;= Tickets[[#This Row],[SLA_Target_Hours]], "Yes", "No")</f>
        <v>Yes</v>
      </c>
    </row>
    <row r="1313" spans="1:16">
      <c r="A1313">
        <v>1736</v>
      </c>
      <c r="B1313" t="s">
        <v>1729</v>
      </c>
      <c r="C1313" t="s">
        <v>3715</v>
      </c>
      <c r="D1313" t="s">
        <v>3992</v>
      </c>
      <c r="E1313" s="1">
        <v>44761</v>
      </c>
      <c r="F1313" t="s">
        <v>4000</v>
      </c>
      <c r="G1313" t="s">
        <v>4003</v>
      </c>
      <c r="H1313" t="s">
        <v>4017</v>
      </c>
      <c r="I1313" t="s">
        <v>4024</v>
      </c>
      <c r="J1313" t="s">
        <v>4026</v>
      </c>
      <c r="K1313" s="2">
        <v>44945</v>
      </c>
      <c r="L1313" s="2">
        <v>44953</v>
      </c>
      <c r="N1313">
        <v>192</v>
      </c>
      <c r="O1313">
        <f>IF(Tickets[[#This Row],[Ticket Priority]]="Critical",24,
IF(Tickets[[#This Row],[Ticket Priority]]="High",48,
IF(Tickets[[#This Row],[Ticket Priority]]="Medium",120,168)))</f>
        <v>168</v>
      </c>
      <c r="P1313" t="str">
        <f>IF(Tickets[[#This Row],[Resolution Duration Hours]] &lt;= Tickets[[#This Row],[SLA_Target_Hours]], "Yes", "No")</f>
        <v>No</v>
      </c>
    </row>
    <row r="1314" spans="1:16" hidden="1">
      <c r="A1314">
        <v>1313</v>
      </c>
      <c r="B1314" t="s">
        <v>1314</v>
      </c>
      <c r="C1314" t="s">
        <v>3293</v>
      </c>
      <c r="D1314" t="s">
        <v>3982</v>
      </c>
      <c r="E1314" s="1">
        <v>44221</v>
      </c>
      <c r="F1314" t="s">
        <v>4002</v>
      </c>
      <c r="G1314" t="s">
        <v>4015</v>
      </c>
      <c r="H1314" t="s">
        <v>4017</v>
      </c>
      <c r="I1314" t="s">
        <v>4024</v>
      </c>
      <c r="J1314" t="s">
        <v>4027</v>
      </c>
      <c r="K1314" s="2">
        <v>44481</v>
      </c>
      <c r="L1314" s="2">
        <v>44488</v>
      </c>
      <c r="N1314">
        <v>168</v>
      </c>
      <c r="O1314">
        <f>IF(Tickets[[#This Row],[Ticket Priority]]="Critical",24,
IF(Tickets[[#This Row],[Ticket Priority]]="High",48,
IF(Tickets[[#This Row],[Ticket Priority]]="Medium",120,168)))</f>
        <v>168</v>
      </c>
      <c r="P1314" t="str">
        <f>IF(Tickets[[#This Row],[Resolution Duration Hours]] &lt;= Tickets[[#This Row],[SLA_Target_Hours]], "Yes", "No")</f>
        <v>Yes</v>
      </c>
    </row>
    <row r="1315" spans="1:16" hidden="1">
      <c r="A1315">
        <v>1314</v>
      </c>
      <c r="B1315" t="s">
        <v>1315</v>
      </c>
      <c r="C1315" t="s">
        <v>3294</v>
      </c>
      <c r="D1315" t="s">
        <v>3983</v>
      </c>
      <c r="E1315" s="1">
        <v>44969</v>
      </c>
      <c r="F1315" t="s">
        <v>4001</v>
      </c>
      <c r="G1315" t="s">
        <v>4006</v>
      </c>
      <c r="H1315" t="s">
        <v>4017</v>
      </c>
      <c r="I1315" t="s">
        <v>4023</v>
      </c>
      <c r="J1315" t="s">
        <v>4026</v>
      </c>
      <c r="K1315" s="2">
        <v>45006</v>
      </c>
      <c r="L1315" s="2">
        <v>45010</v>
      </c>
      <c r="N1315">
        <v>96</v>
      </c>
      <c r="O1315">
        <f>IF(Tickets[[#This Row],[Ticket Priority]]="Critical",24,
IF(Tickets[[#This Row],[Ticket Priority]]="High",48,
IF(Tickets[[#This Row],[Ticket Priority]]="Medium",120,168)))</f>
        <v>120</v>
      </c>
      <c r="P1315" t="str">
        <f>IF(Tickets[[#This Row],[Resolution Duration Hours]] &lt;= Tickets[[#This Row],[SLA_Target_Hours]], "Yes", "No")</f>
        <v>Yes</v>
      </c>
    </row>
    <row r="1316" spans="1:16">
      <c r="A1316">
        <v>1748</v>
      </c>
      <c r="B1316" t="s">
        <v>1741</v>
      </c>
      <c r="C1316" t="s">
        <v>3727</v>
      </c>
      <c r="D1316" t="s">
        <v>3981</v>
      </c>
      <c r="E1316" s="1">
        <v>44742</v>
      </c>
      <c r="F1316" t="s">
        <v>3999</v>
      </c>
      <c r="G1316" t="s">
        <v>4016</v>
      </c>
      <c r="H1316" t="s">
        <v>4018</v>
      </c>
      <c r="I1316" t="s">
        <v>4024</v>
      </c>
      <c r="J1316" t="s">
        <v>4025</v>
      </c>
      <c r="K1316" s="2">
        <v>44969</v>
      </c>
      <c r="L1316" s="2">
        <v>44977</v>
      </c>
      <c r="M1316">
        <v>3</v>
      </c>
      <c r="N1316">
        <v>192</v>
      </c>
      <c r="O1316">
        <f>IF(Tickets[[#This Row],[Ticket Priority]]="Critical",24,
IF(Tickets[[#This Row],[Ticket Priority]]="High",48,
IF(Tickets[[#This Row],[Ticket Priority]]="Medium",120,168)))</f>
        <v>168</v>
      </c>
      <c r="P1316" t="str">
        <f>IF(Tickets[[#This Row],[Resolution Duration Hours]] &lt;= Tickets[[#This Row],[SLA_Target_Hours]], "Yes", "No")</f>
        <v>No</v>
      </c>
    </row>
    <row r="1317" spans="1:16" hidden="1">
      <c r="A1317">
        <v>1316</v>
      </c>
      <c r="B1317" t="s">
        <v>1317</v>
      </c>
      <c r="C1317" t="s">
        <v>3296</v>
      </c>
      <c r="D1317" t="s">
        <v>3996</v>
      </c>
      <c r="E1317" s="1">
        <v>44313</v>
      </c>
      <c r="F1317" t="s">
        <v>3999</v>
      </c>
      <c r="G1317" t="s">
        <v>4005</v>
      </c>
      <c r="H1317" t="s">
        <v>4020</v>
      </c>
      <c r="I1317" t="s">
        <v>4023</v>
      </c>
      <c r="J1317" t="s">
        <v>4028</v>
      </c>
      <c r="K1317" s="2">
        <v>44335</v>
      </c>
      <c r="L1317" s="2">
        <v>44338</v>
      </c>
      <c r="N1317">
        <v>72</v>
      </c>
      <c r="O1317">
        <f>IF(Tickets[[#This Row],[Ticket Priority]]="Critical",24,
IF(Tickets[[#This Row],[Ticket Priority]]="High",48,
IF(Tickets[[#This Row],[Ticket Priority]]="Medium",120,168)))</f>
        <v>120</v>
      </c>
      <c r="P1317" t="str">
        <f>IF(Tickets[[#This Row],[Resolution Duration Hours]] &lt;= Tickets[[#This Row],[SLA_Target_Hours]], "Yes", "No")</f>
        <v>Yes</v>
      </c>
    </row>
    <row r="1318" spans="1:16" hidden="1">
      <c r="A1318">
        <v>1317</v>
      </c>
      <c r="B1318" t="s">
        <v>1318</v>
      </c>
      <c r="C1318" t="s">
        <v>3297</v>
      </c>
      <c r="D1318" t="s">
        <v>3990</v>
      </c>
      <c r="E1318" s="1">
        <v>44477</v>
      </c>
      <c r="F1318" t="s">
        <v>4000</v>
      </c>
      <c r="G1318" t="s">
        <v>4012</v>
      </c>
      <c r="H1318" t="s">
        <v>4020</v>
      </c>
      <c r="I1318" t="s">
        <v>4023</v>
      </c>
      <c r="J1318" t="s">
        <v>4025</v>
      </c>
      <c r="K1318" s="2">
        <v>44686</v>
      </c>
      <c r="L1318" s="2">
        <v>44690</v>
      </c>
      <c r="N1318">
        <v>96</v>
      </c>
      <c r="O1318">
        <f>IF(Tickets[[#This Row],[Ticket Priority]]="Critical",24,
IF(Tickets[[#This Row],[Ticket Priority]]="High",48,
IF(Tickets[[#This Row],[Ticket Priority]]="Medium",120,168)))</f>
        <v>120</v>
      </c>
      <c r="P1318" t="str">
        <f>IF(Tickets[[#This Row],[Resolution Duration Hours]] &lt;= Tickets[[#This Row],[SLA_Target_Hours]], "Yes", "No")</f>
        <v>Yes</v>
      </c>
    </row>
    <row r="1319" spans="1:16" hidden="1">
      <c r="A1319">
        <v>1318</v>
      </c>
      <c r="B1319" t="s">
        <v>1319</v>
      </c>
      <c r="C1319" t="s">
        <v>3298</v>
      </c>
      <c r="D1319" t="s">
        <v>3987</v>
      </c>
      <c r="E1319" s="1">
        <v>43980</v>
      </c>
      <c r="F1319" t="s">
        <v>4001</v>
      </c>
      <c r="G1319" t="s">
        <v>4013</v>
      </c>
      <c r="H1319" t="s">
        <v>4017</v>
      </c>
      <c r="I1319" t="s">
        <v>4022</v>
      </c>
      <c r="J1319" t="s">
        <v>4028</v>
      </c>
      <c r="K1319" s="2">
        <v>44300</v>
      </c>
      <c r="L1319" s="2">
        <v>44300</v>
      </c>
      <c r="N1319">
        <v>0</v>
      </c>
      <c r="O1319">
        <f>IF(Tickets[[#This Row],[Ticket Priority]]="Critical",24,
IF(Tickets[[#This Row],[Ticket Priority]]="High",48,
IF(Tickets[[#This Row],[Ticket Priority]]="Medium",120,168)))</f>
        <v>24</v>
      </c>
      <c r="P1319" t="str">
        <f>IF(Tickets[[#This Row],[Resolution Duration Hours]] &lt;= Tickets[[#This Row],[SLA_Target_Hours]], "Yes", "No")</f>
        <v>Yes</v>
      </c>
    </row>
    <row r="1320" spans="1:16" hidden="1">
      <c r="A1320">
        <v>1319</v>
      </c>
      <c r="B1320" t="s">
        <v>1320</v>
      </c>
      <c r="C1320" t="s">
        <v>3299</v>
      </c>
      <c r="D1320" t="s">
        <v>3979</v>
      </c>
      <c r="E1320" s="1">
        <v>44468</v>
      </c>
      <c r="F1320" t="s">
        <v>4000</v>
      </c>
      <c r="G1320" t="s">
        <v>4012</v>
      </c>
      <c r="H1320" t="s">
        <v>4018</v>
      </c>
      <c r="I1320" t="s">
        <v>4024</v>
      </c>
      <c r="J1320" t="s">
        <v>4025</v>
      </c>
      <c r="K1320" s="2">
        <v>44527</v>
      </c>
      <c r="L1320" s="2">
        <v>44534</v>
      </c>
      <c r="M1320">
        <v>4</v>
      </c>
      <c r="N1320">
        <v>168</v>
      </c>
      <c r="O1320">
        <f>IF(Tickets[[#This Row],[Ticket Priority]]="Critical",24,
IF(Tickets[[#This Row],[Ticket Priority]]="High",48,
IF(Tickets[[#This Row],[Ticket Priority]]="Medium",120,168)))</f>
        <v>168</v>
      </c>
      <c r="P1320" t="str">
        <f>IF(Tickets[[#This Row],[Resolution Duration Hours]] &lt;= Tickets[[#This Row],[SLA_Target_Hours]], "Yes", "No")</f>
        <v>Yes</v>
      </c>
    </row>
    <row r="1321" spans="1:16" hidden="1">
      <c r="A1321">
        <v>1320</v>
      </c>
      <c r="B1321" t="s">
        <v>1321</v>
      </c>
      <c r="C1321" t="s">
        <v>3300</v>
      </c>
      <c r="D1321" t="s">
        <v>3986</v>
      </c>
      <c r="E1321" s="1">
        <v>44300</v>
      </c>
      <c r="F1321" t="s">
        <v>4000</v>
      </c>
      <c r="G1321" t="s">
        <v>4005</v>
      </c>
      <c r="H1321" t="s">
        <v>4018</v>
      </c>
      <c r="I1321" t="s">
        <v>4024</v>
      </c>
      <c r="J1321" t="s">
        <v>4026</v>
      </c>
      <c r="K1321" s="2">
        <v>44591</v>
      </c>
      <c r="L1321" s="2">
        <v>44591</v>
      </c>
      <c r="M1321">
        <v>4</v>
      </c>
      <c r="N1321">
        <v>0</v>
      </c>
      <c r="O1321">
        <f>IF(Tickets[[#This Row],[Ticket Priority]]="Critical",24,
IF(Tickets[[#This Row],[Ticket Priority]]="High",48,
IF(Tickets[[#This Row],[Ticket Priority]]="Medium",120,168)))</f>
        <v>168</v>
      </c>
      <c r="P1321" t="str">
        <f>IF(Tickets[[#This Row],[Resolution Duration Hours]] &lt;= Tickets[[#This Row],[SLA_Target_Hours]], "Yes", "No")</f>
        <v>Yes</v>
      </c>
    </row>
    <row r="1322" spans="1:16">
      <c r="A1322">
        <v>1777</v>
      </c>
      <c r="B1322" t="s">
        <v>1769</v>
      </c>
      <c r="C1322" t="s">
        <v>3756</v>
      </c>
      <c r="D1322" t="s">
        <v>3982</v>
      </c>
      <c r="E1322" s="1">
        <v>44676</v>
      </c>
      <c r="F1322" t="s">
        <v>3998</v>
      </c>
      <c r="G1322" t="s">
        <v>4003</v>
      </c>
      <c r="H1322" t="s">
        <v>4018</v>
      </c>
      <c r="I1322" t="s">
        <v>4024</v>
      </c>
      <c r="J1322" t="s">
        <v>4028</v>
      </c>
      <c r="K1322" s="2">
        <v>44874</v>
      </c>
      <c r="L1322" s="2">
        <v>44882</v>
      </c>
      <c r="M1322">
        <v>5</v>
      </c>
      <c r="N1322">
        <v>192</v>
      </c>
      <c r="O1322">
        <f>IF(Tickets[[#This Row],[Ticket Priority]]="Critical",24,
IF(Tickets[[#This Row],[Ticket Priority]]="High",48,
IF(Tickets[[#This Row],[Ticket Priority]]="Medium",120,168)))</f>
        <v>168</v>
      </c>
      <c r="P1322" t="str">
        <f>IF(Tickets[[#This Row],[Resolution Duration Hours]] &lt;= Tickets[[#This Row],[SLA_Target_Hours]], "Yes", "No")</f>
        <v>No</v>
      </c>
    </row>
    <row r="1323" spans="1:16" hidden="1">
      <c r="A1323">
        <v>1322</v>
      </c>
      <c r="B1323" t="s">
        <v>1323</v>
      </c>
      <c r="C1323" t="s">
        <v>3302</v>
      </c>
      <c r="D1323" t="s">
        <v>3981</v>
      </c>
      <c r="E1323" s="1">
        <v>44250</v>
      </c>
      <c r="F1323" t="s">
        <v>4002</v>
      </c>
      <c r="G1323" t="s">
        <v>4015</v>
      </c>
      <c r="H1323" t="s">
        <v>4018</v>
      </c>
      <c r="I1323" t="s">
        <v>4023</v>
      </c>
      <c r="J1323" t="s">
        <v>4027</v>
      </c>
      <c r="K1323" s="2">
        <v>44474</v>
      </c>
      <c r="L1323" s="2">
        <v>44479</v>
      </c>
      <c r="M1323">
        <v>5</v>
      </c>
      <c r="N1323">
        <v>120</v>
      </c>
      <c r="O1323">
        <f>IF(Tickets[[#This Row],[Ticket Priority]]="Critical",24,
IF(Tickets[[#This Row],[Ticket Priority]]="High",48,
IF(Tickets[[#This Row],[Ticket Priority]]="Medium",120,168)))</f>
        <v>120</v>
      </c>
      <c r="P1323" t="str">
        <f>IF(Tickets[[#This Row],[Resolution Duration Hours]] &lt;= Tickets[[#This Row],[SLA_Target_Hours]], "Yes", "No")</f>
        <v>Yes</v>
      </c>
    </row>
    <row r="1324" spans="1:16" hidden="1">
      <c r="A1324">
        <v>1323</v>
      </c>
      <c r="B1324" t="s">
        <v>1324</v>
      </c>
      <c r="C1324" t="s">
        <v>3303</v>
      </c>
      <c r="D1324" t="s">
        <v>3980</v>
      </c>
      <c r="E1324" s="1">
        <v>44345</v>
      </c>
      <c r="F1324" t="s">
        <v>4001</v>
      </c>
      <c r="G1324" t="s">
        <v>4000</v>
      </c>
      <c r="H1324" t="s">
        <v>4018</v>
      </c>
      <c r="I1324" t="s">
        <v>4023</v>
      </c>
      <c r="J1324" t="s">
        <v>4026</v>
      </c>
      <c r="K1324" s="2">
        <v>44352</v>
      </c>
      <c r="L1324" s="2">
        <v>44356</v>
      </c>
      <c r="M1324">
        <v>4</v>
      </c>
      <c r="N1324">
        <v>96</v>
      </c>
      <c r="O1324">
        <f>IF(Tickets[[#This Row],[Ticket Priority]]="Critical",24,
IF(Tickets[[#This Row],[Ticket Priority]]="High",48,
IF(Tickets[[#This Row],[Ticket Priority]]="Medium",120,168)))</f>
        <v>120</v>
      </c>
      <c r="P1324" t="str">
        <f>IF(Tickets[[#This Row],[Resolution Duration Hours]] &lt;= Tickets[[#This Row],[SLA_Target_Hours]], "Yes", "No")</f>
        <v>Yes</v>
      </c>
    </row>
    <row r="1325" spans="1:16" hidden="1">
      <c r="A1325">
        <v>1324</v>
      </c>
      <c r="B1325" t="s">
        <v>1325</v>
      </c>
      <c r="C1325" t="s">
        <v>3304</v>
      </c>
      <c r="D1325" t="s">
        <v>3986</v>
      </c>
      <c r="E1325" s="1">
        <v>44981</v>
      </c>
      <c r="F1325" t="s">
        <v>4001</v>
      </c>
      <c r="G1325" t="s">
        <v>4016</v>
      </c>
      <c r="H1325" t="s">
        <v>4018</v>
      </c>
      <c r="I1325" t="s">
        <v>4021</v>
      </c>
      <c r="J1325" t="s">
        <v>4027</v>
      </c>
      <c r="K1325" s="2">
        <v>45239</v>
      </c>
      <c r="L1325" s="2">
        <v>45240</v>
      </c>
      <c r="M1325">
        <v>4</v>
      </c>
      <c r="N1325">
        <v>24</v>
      </c>
      <c r="O1325">
        <f>IF(Tickets[[#This Row],[Ticket Priority]]="Critical",24,
IF(Tickets[[#This Row],[Ticket Priority]]="High",48,
IF(Tickets[[#This Row],[Ticket Priority]]="Medium",120,168)))</f>
        <v>48</v>
      </c>
      <c r="P1325" t="str">
        <f>IF(Tickets[[#This Row],[Resolution Duration Hours]] &lt;= Tickets[[#This Row],[SLA_Target_Hours]], "Yes", "No")</f>
        <v>Yes</v>
      </c>
    </row>
    <row r="1326" spans="1:16" hidden="1">
      <c r="A1326">
        <v>1325</v>
      </c>
      <c r="B1326" t="s">
        <v>1326</v>
      </c>
      <c r="C1326" t="s">
        <v>3305</v>
      </c>
      <c r="D1326" t="s">
        <v>3997</v>
      </c>
      <c r="E1326" s="1">
        <v>44584</v>
      </c>
      <c r="F1326" t="s">
        <v>4000</v>
      </c>
      <c r="G1326" t="s">
        <v>4004</v>
      </c>
      <c r="H1326" t="s">
        <v>4017</v>
      </c>
      <c r="I1326" t="s">
        <v>4021</v>
      </c>
      <c r="J1326" t="s">
        <v>4028</v>
      </c>
      <c r="K1326" s="2">
        <v>44731</v>
      </c>
      <c r="L1326" s="2">
        <v>44733</v>
      </c>
      <c r="N1326">
        <v>48</v>
      </c>
      <c r="O1326">
        <f>IF(Tickets[[#This Row],[Ticket Priority]]="Critical",24,
IF(Tickets[[#This Row],[Ticket Priority]]="High",48,
IF(Tickets[[#This Row],[Ticket Priority]]="Medium",120,168)))</f>
        <v>48</v>
      </c>
      <c r="P1326" t="str">
        <f>IF(Tickets[[#This Row],[Resolution Duration Hours]] &lt;= Tickets[[#This Row],[SLA_Target_Hours]], "Yes", "No")</f>
        <v>Yes</v>
      </c>
    </row>
    <row r="1327" spans="1:16" hidden="1">
      <c r="A1327">
        <v>1326</v>
      </c>
      <c r="B1327" t="s">
        <v>1327</v>
      </c>
      <c r="C1327" t="s">
        <v>3306</v>
      </c>
      <c r="D1327" t="s">
        <v>3991</v>
      </c>
      <c r="E1327" s="1">
        <v>44215</v>
      </c>
      <c r="F1327" t="s">
        <v>4002</v>
      </c>
      <c r="G1327" t="s">
        <v>4010</v>
      </c>
      <c r="H1327" t="s">
        <v>4018</v>
      </c>
      <c r="I1327" t="s">
        <v>4021</v>
      </c>
      <c r="J1327" t="s">
        <v>4026</v>
      </c>
      <c r="K1327" s="2">
        <v>44223</v>
      </c>
      <c r="L1327" s="2">
        <v>44225</v>
      </c>
      <c r="M1327">
        <v>4</v>
      </c>
      <c r="N1327">
        <v>48</v>
      </c>
      <c r="O1327">
        <f>IF(Tickets[[#This Row],[Ticket Priority]]="Critical",24,
IF(Tickets[[#This Row],[Ticket Priority]]="High",48,
IF(Tickets[[#This Row],[Ticket Priority]]="Medium",120,168)))</f>
        <v>48</v>
      </c>
      <c r="P1327" t="str">
        <f>IF(Tickets[[#This Row],[Resolution Duration Hours]] &lt;= Tickets[[#This Row],[SLA_Target_Hours]], "Yes", "No")</f>
        <v>Yes</v>
      </c>
    </row>
    <row r="1328" spans="1:16" hidden="1">
      <c r="A1328">
        <v>1327</v>
      </c>
      <c r="B1328" t="s">
        <v>1328</v>
      </c>
      <c r="C1328" t="s">
        <v>3307</v>
      </c>
      <c r="D1328" t="s">
        <v>3980</v>
      </c>
      <c r="E1328" s="1">
        <v>44459</v>
      </c>
      <c r="F1328" t="s">
        <v>4001</v>
      </c>
      <c r="G1328" t="s">
        <v>4010</v>
      </c>
      <c r="H1328" t="s">
        <v>4018</v>
      </c>
      <c r="I1328" t="s">
        <v>4024</v>
      </c>
      <c r="J1328" t="s">
        <v>4028</v>
      </c>
      <c r="K1328" s="2">
        <v>44488</v>
      </c>
      <c r="L1328" s="2">
        <v>44493</v>
      </c>
      <c r="M1328">
        <v>4</v>
      </c>
      <c r="N1328">
        <v>120</v>
      </c>
      <c r="O1328">
        <f>IF(Tickets[[#This Row],[Ticket Priority]]="Critical",24,
IF(Tickets[[#This Row],[Ticket Priority]]="High",48,
IF(Tickets[[#This Row],[Ticket Priority]]="Medium",120,168)))</f>
        <v>168</v>
      </c>
      <c r="P1328" t="str">
        <f>IF(Tickets[[#This Row],[Resolution Duration Hours]] &lt;= Tickets[[#This Row],[SLA_Target_Hours]], "Yes", "No")</f>
        <v>Yes</v>
      </c>
    </row>
    <row r="1329" spans="1:16" hidden="1">
      <c r="A1329">
        <v>1328</v>
      </c>
      <c r="B1329" t="s">
        <v>1329</v>
      </c>
      <c r="C1329" t="s">
        <v>3308</v>
      </c>
      <c r="D1329" t="s">
        <v>3992</v>
      </c>
      <c r="E1329" s="1">
        <v>44502</v>
      </c>
      <c r="F1329" t="s">
        <v>3998</v>
      </c>
      <c r="G1329" t="s">
        <v>4012</v>
      </c>
      <c r="H1329" t="s">
        <v>4018</v>
      </c>
      <c r="I1329" t="s">
        <v>4023</v>
      </c>
      <c r="J1329" t="s">
        <v>4028</v>
      </c>
      <c r="K1329" s="2">
        <v>44794</v>
      </c>
      <c r="L1329" s="2">
        <v>44798</v>
      </c>
      <c r="M1329">
        <v>3</v>
      </c>
      <c r="N1329">
        <v>96</v>
      </c>
      <c r="O1329">
        <f>IF(Tickets[[#This Row],[Ticket Priority]]="Critical",24,
IF(Tickets[[#This Row],[Ticket Priority]]="High",48,
IF(Tickets[[#This Row],[Ticket Priority]]="Medium",120,168)))</f>
        <v>120</v>
      </c>
      <c r="P1329" t="str">
        <f>IF(Tickets[[#This Row],[Resolution Duration Hours]] &lt;= Tickets[[#This Row],[SLA_Target_Hours]], "Yes", "No")</f>
        <v>Yes</v>
      </c>
    </row>
    <row r="1330" spans="1:16" hidden="1">
      <c r="A1330">
        <v>1329</v>
      </c>
      <c r="B1330" t="s">
        <v>1330</v>
      </c>
      <c r="C1330" t="s">
        <v>3309</v>
      </c>
      <c r="D1330" t="s">
        <v>3984</v>
      </c>
      <c r="E1330" s="1">
        <v>44142</v>
      </c>
      <c r="F1330" t="s">
        <v>4002</v>
      </c>
      <c r="G1330" t="s">
        <v>4000</v>
      </c>
      <c r="H1330" t="s">
        <v>4018</v>
      </c>
      <c r="I1330" t="s">
        <v>4021</v>
      </c>
      <c r="J1330" t="s">
        <v>4028</v>
      </c>
      <c r="K1330" s="2">
        <v>44387</v>
      </c>
      <c r="L1330" s="2">
        <v>44387</v>
      </c>
      <c r="N1330">
        <v>0</v>
      </c>
      <c r="O1330">
        <f>IF(Tickets[[#This Row],[Ticket Priority]]="Critical",24,
IF(Tickets[[#This Row],[Ticket Priority]]="High",48,
IF(Tickets[[#This Row],[Ticket Priority]]="Medium",120,168)))</f>
        <v>48</v>
      </c>
      <c r="P1330" t="str">
        <f>IF(Tickets[[#This Row],[Resolution Duration Hours]] &lt;= Tickets[[#This Row],[SLA_Target_Hours]], "Yes", "No")</f>
        <v>Yes</v>
      </c>
    </row>
    <row r="1331" spans="1:16" hidden="1">
      <c r="A1331">
        <v>1330</v>
      </c>
      <c r="B1331" t="s">
        <v>1331</v>
      </c>
      <c r="C1331" t="s">
        <v>3310</v>
      </c>
      <c r="D1331" t="s">
        <v>3982</v>
      </c>
      <c r="E1331" s="1">
        <v>44430</v>
      </c>
      <c r="F1331" t="s">
        <v>3998</v>
      </c>
      <c r="G1331" t="s">
        <v>4016</v>
      </c>
      <c r="H1331" t="s">
        <v>4017</v>
      </c>
      <c r="I1331" t="s">
        <v>4023</v>
      </c>
      <c r="J1331" t="s">
        <v>4026</v>
      </c>
      <c r="K1331" s="2">
        <v>44618</v>
      </c>
      <c r="L1331" s="2">
        <v>44621</v>
      </c>
      <c r="N1331">
        <v>72</v>
      </c>
      <c r="O1331">
        <f>IF(Tickets[[#This Row],[Ticket Priority]]="Critical",24,
IF(Tickets[[#This Row],[Ticket Priority]]="High",48,
IF(Tickets[[#This Row],[Ticket Priority]]="Medium",120,168)))</f>
        <v>120</v>
      </c>
      <c r="P1331" t="str">
        <f>IF(Tickets[[#This Row],[Resolution Duration Hours]] &lt;= Tickets[[#This Row],[SLA_Target_Hours]], "Yes", "No")</f>
        <v>Yes</v>
      </c>
    </row>
    <row r="1332" spans="1:16" hidden="1">
      <c r="A1332">
        <v>1331</v>
      </c>
      <c r="B1332" t="s">
        <v>1332</v>
      </c>
      <c r="C1332" t="s">
        <v>3311</v>
      </c>
      <c r="D1332" t="s">
        <v>3993</v>
      </c>
      <c r="E1332" s="1">
        <v>44017</v>
      </c>
      <c r="F1332" t="s">
        <v>4000</v>
      </c>
      <c r="G1332" t="s">
        <v>4011</v>
      </c>
      <c r="H1332" t="s">
        <v>4020</v>
      </c>
      <c r="I1332" t="s">
        <v>4023</v>
      </c>
      <c r="J1332" t="s">
        <v>4028</v>
      </c>
      <c r="K1332" s="2">
        <v>44222</v>
      </c>
      <c r="L1332" s="2">
        <v>44224</v>
      </c>
      <c r="N1332">
        <v>48</v>
      </c>
      <c r="O1332">
        <f>IF(Tickets[[#This Row],[Ticket Priority]]="Critical",24,
IF(Tickets[[#This Row],[Ticket Priority]]="High",48,
IF(Tickets[[#This Row],[Ticket Priority]]="Medium",120,168)))</f>
        <v>120</v>
      </c>
      <c r="P1332" t="str">
        <f>IF(Tickets[[#This Row],[Resolution Duration Hours]] &lt;= Tickets[[#This Row],[SLA_Target_Hours]], "Yes", "No")</f>
        <v>Yes</v>
      </c>
    </row>
    <row r="1333" spans="1:16" hidden="1">
      <c r="A1333">
        <v>1332</v>
      </c>
      <c r="B1333" t="s">
        <v>1333</v>
      </c>
      <c r="C1333" t="s">
        <v>3312</v>
      </c>
      <c r="D1333" t="s">
        <v>3996</v>
      </c>
      <c r="E1333" s="1">
        <v>44557</v>
      </c>
      <c r="F1333" t="s">
        <v>4002</v>
      </c>
      <c r="G1333" t="s">
        <v>4009</v>
      </c>
      <c r="H1333" t="s">
        <v>4018</v>
      </c>
      <c r="I1333" t="s">
        <v>4023</v>
      </c>
      <c r="J1333" t="s">
        <v>4026</v>
      </c>
      <c r="K1333" s="2">
        <v>44794</v>
      </c>
      <c r="L1333" s="2">
        <v>44797</v>
      </c>
      <c r="M1333">
        <v>4</v>
      </c>
      <c r="N1333">
        <v>72</v>
      </c>
      <c r="O1333">
        <f>IF(Tickets[[#This Row],[Ticket Priority]]="Critical",24,
IF(Tickets[[#This Row],[Ticket Priority]]="High",48,
IF(Tickets[[#This Row],[Ticket Priority]]="Medium",120,168)))</f>
        <v>120</v>
      </c>
      <c r="P1333" t="str">
        <f>IF(Tickets[[#This Row],[Resolution Duration Hours]] &lt;= Tickets[[#This Row],[SLA_Target_Hours]], "Yes", "No")</f>
        <v>Yes</v>
      </c>
    </row>
    <row r="1334" spans="1:16" hidden="1">
      <c r="A1334">
        <v>1333</v>
      </c>
      <c r="B1334" t="s">
        <v>1334</v>
      </c>
      <c r="C1334" t="s">
        <v>3313</v>
      </c>
      <c r="D1334" t="s">
        <v>3981</v>
      </c>
      <c r="E1334" s="1">
        <v>44158</v>
      </c>
      <c r="F1334" t="s">
        <v>4001</v>
      </c>
      <c r="G1334" t="s">
        <v>4004</v>
      </c>
      <c r="H1334" t="s">
        <v>4018</v>
      </c>
      <c r="I1334" t="s">
        <v>4024</v>
      </c>
      <c r="J1334" t="s">
        <v>4026</v>
      </c>
      <c r="K1334" s="2">
        <v>44395</v>
      </c>
      <c r="L1334" s="2">
        <v>44400</v>
      </c>
      <c r="M1334">
        <v>5</v>
      </c>
      <c r="N1334">
        <v>120</v>
      </c>
      <c r="O1334">
        <f>IF(Tickets[[#This Row],[Ticket Priority]]="Critical",24,
IF(Tickets[[#This Row],[Ticket Priority]]="High",48,
IF(Tickets[[#This Row],[Ticket Priority]]="Medium",120,168)))</f>
        <v>168</v>
      </c>
      <c r="P1334" t="str">
        <f>IF(Tickets[[#This Row],[Resolution Duration Hours]] &lt;= Tickets[[#This Row],[SLA_Target_Hours]], "Yes", "No")</f>
        <v>Yes</v>
      </c>
    </row>
    <row r="1335" spans="1:16" hidden="1">
      <c r="A1335">
        <v>1334</v>
      </c>
      <c r="B1335" t="s">
        <v>1335</v>
      </c>
      <c r="C1335" t="s">
        <v>3314</v>
      </c>
      <c r="D1335" t="s">
        <v>3986</v>
      </c>
      <c r="E1335" s="1">
        <v>44948</v>
      </c>
      <c r="F1335" t="s">
        <v>4000</v>
      </c>
      <c r="G1335" t="s">
        <v>4014</v>
      </c>
      <c r="H1335" t="s">
        <v>4018</v>
      </c>
      <c r="I1335" t="s">
        <v>4021</v>
      </c>
      <c r="J1335" t="s">
        <v>4027</v>
      </c>
      <c r="K1335" s="2">
        <v>45267</v>
      </c>
      <c r="L1335" s="2">
        <v>45269</v>
      </c>
      <c r="N1335">
        <v>48</v>
      </c>
      <c r="O1335">
        <f>IF(Tickets[[#This Row],[Ticket Priority]]="Critical",24,
IF(Tickets[[#This Row],[Ticket Priority]]="High",48,
IF(Tickets[[#This Row],[Ticket Priority]]="Medium",120,168)))</f>
        <v>48</v>
      </c>
      <c r="P1335" t="str">
        <f>IF(Tickets[[#This Row],[Resolution Duration Hours]] &lt;= Tickets[[#This Row],[SLA_Target_Hours]], "Yes", "No")</f>
        <v>Yes</v>
      </c>
    </row>
    <row r="1336" spans="1:16" hidden="1">
      <c r="A1336">
        <v>1335</v>
      </c>
      <c r="B1336" t="s">
        <v>1336</v>
      </c>
      <c r="C1336" t="s">
        <v>3315</v>
      </c>
      <c r="D1336" t="s">
        <v>3987</v>
      </c>
      <c r="E1336" s="1">
        <v>44442</v>
      </c>
      <c r="F1336" t="s">
        <v>4000</v>
      </c>
      <c r="G1336" t="s">
        <v>4009</v>
      </c>
      <c r="H1336" t="s">
        <v>4018</v>
      </c>
      <c r="I1336" t="s">
        <v>4023</v>
      </c>
      <c r="J1336" t="s">
        <v>4025</v>
      </c>
      <c r="K1336" s="2">
        <v>44797</v>
      </c>
      <c r="L1336" s="2">
        <v>44801</v>
      </c>
      <c r="M1336">
        <v>4</v>
      </c>
      <c r="N1336">
        <v>96</v>
      </c>
      <c r="O1336">
        <f>IF(Tickets[[#This Row],[Ticket Priority]]="Critical",24,
IF(Tickets[[#This Row],[Ticket Priority]]="High",48,
IF(Tickets[[#This Row],[Ticket Priority]]="Medium",120,168)))</f>
        <v>120</v>
      </c>
      <c r="P1336" t="str">
        <f>IF(Tickets[[#This Row],[Resolution Duration Hours]] &lt;= Tickets[[#This Row],[SLA_Target_Hours]], "Yes", "No")</f>
        <v>Yes</v>
      </c>
    </row>
    <row r="1337" spans="1:16" hidden="1">
      <c r="A1337">
        <v>1336</v>
      </c>
      <c r="B1337" t="s">
        <v>1337</v>
      </c>
      <c r="C1337" t="s">
        <v>3316</v>
      </c>
      <c r="D1337" t="s">
        <v>3989</v>
      </c>
      <c r="E1337" s="1">
        <v>44931</v>
      </c>
      <c r="F1337" t="s">
        <v>3999</v>
      </c>
      <c r="G1337" t="s">
        <v>4009</v>
      </c>
      <c r="H1337" t="s">
        <v>4017</v>
      </c>
      <c r="I1337" t="s">
        <v>4023</v>
      </c>
      <c r="J1337" t="s">
        <v>4027</v>
      </c>
      <c r="K1337" s="2">
        <v>45008</v>
      </c>
      <c r="L1337" s="2">
        <v>45010</v>
      </c>
      <c r="N1337">
        <v>48</v>
      </c>
      <c r="O1337">
        <f>IF(Tickets[[#This Row],[Ticket Priority]]="Critical",24,
IF(Tickets[[#This Row],[Ticket Priority]]="High",48,
IF(Tickets[[#This Row],[Ticket Priority]]="Medium",120,168)))</f>
        <v>120</v>
      </c>
      <c r="P1337" t="str">
        <f>IF(Tickets[[#This Row],[Resolution Duration Hours]] &lt;= Tickets[[#This Row],[SLA_Target_Hours]], "Yes", "No")</f>
        <v>Yes</v>
      </c>
    </row>
    <row r="1338" spans="1:16">
      <c r="A1338">
        <v>1805</v>
      </c>
      <c r="B1338" t="s">
        <v>1797</v>
      </c>
      <c r="C1338" t="s">
        <v>3784</v>
      </c>
      <c r="D1338" t="s">
        <v>3993</v>
      </c>
      <c r="E1338" s="1">
        <v>44696</v>
      </c>
      <c r="F1338" t="s">
        <v>4001</v>
      </c>
      <c r="G1338" t="s">
        <v>4014</v>
      </c>
      <c r="H1338" t="s">
        <v>4018</v>
      </c>
      <c r="I1338" t="s">
        <v>4024</v>
      </c>
      <c r="J1338" t="s">
        <v>4028</v>
      </c>
      <c r="K1338" s="2">
        <v>44748</v>
      </c>
      <c r="L1338" s="2">
        <v>44756</v>
      </c>
      <c r="M1338">
        <v>4</v>
      </c>
      <c r="N1338">
        <v>192</v>
      </c>
      <c r="O1338">
        <f>IF(Tickets[[#This Row],[Ticket Priority]]="Critical",24,
IF(Tickets[[#This Row],[Ticket Priority]]="High",48,
IF(Tickets[[#This Row],[Ticket Priority]]="Medium",120,168)))</f>
        <v>168</v>
      </c>
      <c r="P1338" t="str">
        <f>IF(Tickets[[#This Row],[Resolution Duration Hours]] &lt;= Tickets[[#This Row],[SLA_Target_Hours]], "Yes", "No")</f>
        <v>No</v>
      </c>
    </row>
    <row r="1339" spans="1:16" hidden="1">
      <c r="A1339">
        <v>1338</v>
      </c>
      <c r="B1339" t="s">
        <v>1339</v>
      </c>
      <c r="C1339" t="s">
        <v>3318</v>
      </c>
      <c r="D1339" t="s">
        <v>3988</v>
      </c>
      <c r="E1339" s="1">
        <v>44864</v>
      </c>
      <c r="F1339" t="s">
        <v>3998</v>
      </c>
      <c r="G1339" t="s">
        <v>4006</v>
      </c>
      <c r="H1339" t="s">
        <v>4018</v>
      </c>
      <c r="I1339" t="s">
        <v>4023</v>
      </c>
      <c r="J1339" t="s">
        <v>4026</v>
      </c>
      <c r="K1339" s="2">
        <v>45024</v>
      </c>
      <c r="L1339" s="2">
        <v>45027</v>
      </c>
      <c r="M1339">
        <v>5</v>
      </c>
      <c r="N1339">
        <v>72</v>
      </c>
      <c r="O1339">
        <f>IF(Tickets[[#This Row],[Ticket Priority]]="Critical",24,
IF(Tickets[[#This Row],[Ticket Priority]]="High",48,
IF(Tickets[[#This Row],[Ticket Priority]]="Medium",120,168)))</f>
        <v>120</v>
      </c>
      <c r="P1339" t="str">
        <f>IF(Tickets[[#This Row],[Resolution Duration Hours]] &lt;= Tickets[[#This Row],[SLA_Target_Hours]], "Yes", "No")</f>
        <v>Yes</v>
      </c>
    </row>
    <row r="1340" spans="1:16" hidden="1">
      <c r="A1340">
        <v>1339</v>
      </c>
      <c r="B1340" t="s">
        <v>1340</v>
      </c>
      <c r="C1340" t="s">
        <v>3319</v>
      </c>
      <c r="D1340" t="s">
        <v>3984</v>
      </c>
      <c r="E1340" s="1">
        <v>45066</v>
      </c>
      <c r="F1340" t="s">
        <v>4002</v>
      </c>
      <c r="G1340" t="s">
        <v>4000</v>
      </c>
      <c r="H1340" t="s">
        <v>4018</v>
      </c>
      <c r="I1340" t="s">
        <v>4021</v>
      </c>
      <c r="J1340" t="s">
        <v>4027</v>
      </c>
      <c r="K1340" s="2">
        <v>45309</v>
      </c>
      <c r="L1340" s="2">
        <v>45310</v>
      </c>
      <c r="M1340">
        <v>3</v>
      </c>
      <c r="N1340">
        <v>24</v>
      </c>
      <c r="O1340">
        <f>IF(Tickets[[#This Row],[Ticket Priority]]="Critical",24,
IF(Tickets[[#This Row],[Ticket Priority]]="High",48,
IF(Tickets[[#This Row],[Ticket Priority]]="Medium",120,168)))</f>
        <v>48</v>
      </c>
      <c r="P1340" t="str">
        <f>IF(Tickets[[#This Row],[Resolution Duration Hours]] &lt;= Tickets[[#This Row],[SLA_Target_Hours]], "Yes", "No")</f>
        <v>Yes</v>
      </c>
    </row>
    <row r="1341" spans="1:16" hidden="1">
      <c r="A1341">
        <v>1340</v>
      </c>
      <c r="B1341" t="s">
        <v>1341</v>
      </c>
      <c r="C1341" t="s">
        <v>3320</v>
      </c>
      <c r="D1341" t="s">
        <v>3995</v>
      </c>
      <c r="E1341" s="1">
        <v>43927</v>
      </c>
      <c r="F1341" t="s">
        <v>4001</v>
      </c>
      <c r="G1341" t="s">
        <v>4013</v>
      </c>
      <c r="H1341" t="s">
        <v>4020</v>
      </c>
      <c r="I1341" t="s">
        <v>4023</v>
      </c>
      <c r="J1341" t="s">
        <v>4026</v>
      </c>
      <c r="K1341" s="2">
        <v>44008</v>
      </c>
      <c r="L1341" s="2">
        <v>44013</v>
      </c>
      <c r="N1341">
        <v>120</v>
      </c>
      <c r="O1341">
        <f>IF(Tickets[[#This Row],[Ticket Priority]]="Critical",24,
IF(Tickets[[#This Row],[Ticket Priority]]="High",48,
IF(Tickets[[#This Row],[Ticket Priority]]="Medium",120,168)))</f>
        <v>120</v>
      </c>
      <c r="P1341" t="str">
        <f>IF(Tickets[[#This Row],[Resolution Duration Hours]] &lt;= Tickets[[#This Row],[SLA_Target_Hours]], "Yes", "No")</f>
        <v>Yes</v>
      </c>
    </row>
    <row r="1342" spans="1:16" hidden="1">
      <c r="A1342">
        <v>1341</v>
      </c>
      <c r="B1342" t="s">
        <v>1342</v>
      </c>
      <c r="C1342" t="s">
        <v>3321</v>
      </c>
      <c r="D1342" t="s">
        <v>3985</v>
      </c>
      <c r="E1342" s="1">
        <v>43876</v>
      </c>
      <c r="F1342" t="s">
        <v>3998</v>
      </c>
      <c r="G1342" t="s">
        <v>4015</v>
      </c>
      <c r="H1342" t="s">
        <v>4018</v>
      </c>
      <c r="I1342" t="s">
        <v>4022</v>
      </c>
      <c r="J1342" t="s">
        <v>4025</v>
      </c>
      <c r="K1342" s="2">
        <v>44103</v>
      </c>
      <c r="L1342" s="2">
        <v>44104</v>
      </c>
      <c r="N1342">
        <v>24</v>
      </c>
      <c r="O1342">
        <f>IF(Tickets[[#This Row],[Ticket Priority]]="Critical",24,
IF(Tickets[[#This Row],[Ticket Priority]]="High",48,
IF(Tickets[[#This Row],[Ticket Priority]]="Medium",120,168)))</f>
        <v>24</v>
      </c>
      <c r="P1342" t="str">
        <f>IF(Tickets[[#This Row],[Resolution Duration Hours]] &lt;= Tickets[[#This Row],[SLA_Target_Hours]], "Yes", "No")</f>
        <v>Yes</v>
      </c>
    </row>
    <row r="1343" spans="1:16" hidden="1">
      <c r="A1343">
        <v>1342</v>
      </c>
      <c r="B1343" t="s">
        <v>1343</v>
      </c>
      <c r="C1343" t="s">
        <v>3322</v>
      </c>
      <c r="D1343" t="s">
        <v>3981</v>
      </c>
      <c r="E1343" s="1">
        <v>44695</v>
      </c>
      <c r="F1343" t="s">
        <v>3999</v>
      </c>
      <c r="G1343" t="s">
        <v>4003</v>
      </c>
      <c r="H1343" t="s">
        <v>4019</v>
      </c>
      <c r="I1343" t="s">
        <v>4021</v>
      </c>
      <c r="J1343" t="s">
        <v>4028</v>
      </c>
      <c r="K1343" s="2">
        <v>44920</v>
      </c>
      <c r="L1343" s="2">
        <v>44921</v>
      </c>
      <c r="N1343">
        <v>24</v>
      </c>
      <c r="O1343">
        <f>IF(Tickets[[#This Row],[Ticket Priority]]="Critical",24,
IF(Tickets[[#This Row],[Ticket Priority]]="High",48,
IF(Tickets[[#This Row],[Ticket Priority]]="Medium",120,168)))</f>
        <v>48</v>
      </c>
      <c r="P1343" t="str">
        <f>IF(Tickets[[#This Row],[Resolution Duration Hours]] &lt;= Tickets[[#This Row],[SLA_Target_Hours]], "Yes", "No")</f>
        <v>Yes</v>
      </c>
    </row>
    <row r="1344" spans="1:16" hidden="1">
      <c r="A1344">
        <v>1343</v>
      </c>
      <c r="B1344" t="s">
        <v>1344</v>
      </c>
      <c r="C1344" t="s">
        <v>3323</v>
      </c>
      <c r="D1344" t="s">
        <v>3988</v>
      </c>
      <c r="E1344" s="1">
        <v>45058</v>
      </c>
      <c r="F1344" t="s">
        <v>4002</v>
      </c>
      <c r="G1344" t="s">
        <v>4013</v>
      </c>
      <c r="H1344" t="s">
        <v>4017</v>
      </c>
      <c r="I1344" t="s">
        <v>4023</v>
      </c>
      <c r="J1344" t="s">
        <v>4027</v>
      </c>
      <c r="K1344" s="2">
        <v>45148</v>
      </c>
      <c r="L1344" s="2">
        <v>45150</v>
      </c>
      <c r="N1344">
        <v>48</v>
      </c>
      <c r="O1344">
        <f>IF(Tickets[[#This Row],[Ticket Priority]]="Critical",24,
IF(Tickets[[#This Row],[Ticket Priority]]="High",48,
IF(Tickets[[#This Row],[Ticket Priority]]="Medium",120,168)))</f>
        <v>120</v>
      </c>
      <c r="P1344" t="str">
        <f>IF(Tickets[[#This Row],[Resolution Duration Hours]] &lt;= Tickets[[#This Row],[SLA_Target_Hours]], "Yes", "No")</f>
        <v>Yes</v>
      </c>
    </row>
    <row r="1345" spans="1:16">
      <c r="A1345">
        <v>1806</v>
      </c>
      <c r="B1345" t="s">
        <v>1798</v>
      </c>
      <c r="C1345" t="s">
        <v>3785</v>
      </c>
      <c r="D1345" t="s">
        <v>3986</v>
      </c>
      <c r="E1345" s="1">
        <v>44191</v>
      </c>
      <c r="F1345" t="s">
        <v>3998</v>
      </c>
      <c r="G1345" t="s">
        <v>4007</v>
      </c>
      <c r="H1345" t="s">
        <v>4018</v>
      </c>
      <c r="I1345" t="s">
        <v>4024</v>
      </c>
      <c r="J1345" t="s">
        <v>4026</v>
      </c>
      <c r="K1345" s="2">
        <v>44551</v>
      </c>
      <c r="L1345" s="2">
        <v>44559</v>
      </c>
      <c r="N1345">
        <v>192</v>
      </c>
      <c r="O1345">
        <f>IF(Tickets[[#This Row],[Ticket Priority]]="Critical",24,
IF(Tickets[[#This Row],[Ticket Priority]]="High",48,
IF(Tickets[[#This Row],[Ticket Priority]]="Medium",120,168)))</f>
        <v>168</v>
      </c>
      <c r="P1345" t="str">
        <f>IF(Tickets[[#This Row],[Resolution Duration Hours]] &lt;= Tickets[[#This Row],[SLA_Target_Hours]], "Yes", "No")</f>
        <v>No</v>
      </c>
    </row>
    <row r="1346" spans="1:16" hidden="1">
      <c r="A1346">
        <v>1345</v>
      </c>
      <c r="B1346" t="s">
        <v>1346</v>
      </c>
      <c r="C1346" t="s">
        <v>3325</v>
      </c>
      <c r="D1346" t="s">
        <v>3982</v>
      </c>
      <c r="E1346" s="1">
        <v>44153</v>
      </c>
      <c r="F1346" t="s">
        <v>4002</v>
      </c>
      <c r="G1346" t="s">
        <v>4010</v>
      </c>
      <c r="H1346" t="s">
        <v>4020</v>
      </c>
      <c r="I1346" t="s">
        <v>4021</v>
      </c>
      <c r="J1346" t="s">
        <v>4028</v>
      </c>
      <c r="K1346" s="2">
        <v>44339</v>
      </c>
      <c r="L1346" s="2">
        <v>44340</v>
      </c>
      <c r="N1346">
        <v>24</v>
      </c>
      <c r="O1346">
        <f>IF(Tickets[[#This Row],[Ticket Priority]]="Critical",24,
IF(Tickets[[#This Row],[Ticket Priority]]="High",48,
IF(Tickets[[#This Row],[Ticket Priority]]="Medium",120,168)))</f>
        <v>48</v>
      </c>
      <c r="P1346" t="str">
        <f>IF(Tickets[[#This Row],[Resolution Duration Hours]] &lt;= Tickets[[#This Row],[SLA_Target_Hours]], "Yes", "No")</f>
        <v>Yes</v>
      </c>
    </row>
    <row r="1347" spans="1:16">
      <c r="A1347">
        <v>1835</v>
      </c>
      <c r="B1347" t="s">
        <v>1825</v>
      </c>
      <c r="C1347" t="s">
        <v>3814</v>
      </c>
      <c r="D1347" t="s">
        <v>3991</v>
      </c>
      <c r="E1347" s="1">
        <v>43958</v>
      </c>
      <c r="F1347" t="s">
        <v>3999</v>
      </c>
      <c r="G1347" t="s">
        <v>4012</v>
      </c>
      <c r="H1347" t="s">
        <v>4018</v>
      </c>
      <c r="I1347" t="s">
        <v>4024</v>
      </c>
      <c r="J1347" t="s">
        <v>4026</v>
      </c>
      <c r="K1347" s="2">
        <v>44023</v>
      </c>
      <c r="L1347" s="2">
        <v>44031</v>
      </c>
      <c r="M1347">
        <v>3</v>
      </c>
      <c r="N1347">
        <v>192</v>
      </c>
      <c r="O1347">
        <f>IF(Tickets[[#This Row],[Ticket Priority]]="Critical",24,
IF(Tickets[[#This Row],[Ticket Priority]]="High",48,
IF(Tickets[[#This Row],[Ticket Priority]]="Medium",120,168)))</f>
        <v>168</v>
      </c>
      <c r="P1347" t="str">
        <f>IF(Tickets[[#This Row],[Resolution Duration Hours]] &lt;= Tickets[[#This Row],[SLA_Target_Hours]], "Yes", "No")</f>
        <v>No</v>
      </c>
    </row>
    <row r="1348" spans="1:16" hidden="1">
      <c r="A1348">
        <v>1347</v>
      </c>
      <c r="B1348" t="s">
        <v>1348</v>
      </c>
      <c r="C1348" t="s">
        <v>3327</v>
      </c>
      <c r="D1348" t="s">
        <v>3988</v>
      </c>
      <c r="E1348" s="1">
        <v>44765</v>
      </c>
      <c r="F1348" t="s">
        <v>4000</v>
      </c>
      <c r="G1348" t="s">
        <v>4005</v>
      </c>
      <c r="H1348" t="s">
        <v>4018</v>
      </c>
      <c r="I1348" t="s">
        <v>4021</v>
      </c>
      <c r="J1348" t="s">
        <v>4026</v>
      </c>
      <c r="K1348" s="2">
        <v>44935</v>
      </c>
      <c r="L1348" s="2">
        <v>44936</v>
      </c>
      <c r="N1348">
        <v>24</v>
      </c>
      <c r="O1348">
        <f>IF(Tickets[[#This Row],[Ticket Priority]]="Critical",24,
IF(Tickets[[#This Row],[Ticket Priority]]="High",48,
IF(Tickets[[#This Row],[Ticket Priority]]="Medium",120,168)))</f>
        <v>48</v>
      </c>
      <c r="P1348" t="str">
        <f>IF(Tickets[[#This Row],[Resolution Duration Hours]] &lt;= Tickets[[#This Row],[SLA_Target_Hours]], "Yes", "No")</f>
        <v>Yes</v>
      </c>
    </row>
    <row r="1349" spans="1:16">
      <c r="A1349">
        <v>1865</v>
      </c>
      <c r="B1349" t="s">
        <v>1855</v>
      </c>
      <c r="C1349" t="s">
        <v>3844</v>
      </c>
      <c r="D1349" t="s">
        <v>3990</v>
      </c>
      <c r="E1349" s="1">
        <v>44343</v>
      </c>
      <c r="F1349" t="s">
        <v>4000</v>
      </c>
      <c r="G1349" t="s">
        <v>4010</v>
      </c>
      <c r="H1349" t="s">
        <v>4020</v>
      </c>
      <c r="I1349" t="s">
        <v>4024</v>
      </c>
      <c r="J1349" t="s">
        <v>4028</v>
      </c>
      <c r="K1349" s="2">
        <v>44433</v>
      </c>
      <c r="L1349" s="2">
        <v>44441</v>
      </c>
      <c r="N1349">
        <v>192</v>
      </c>
      <c r="O1349">
        <f>IF(Tickets[[#This Row],[Ticket Priority]]="Critical",24,
IF(Tickets[[#This Row],[Ticket Priority]]="High",48,
IF(Tickets[[#This Row],[Ticket Priority]]="Medium",120,168)))</f>
        <v>168</v>
      </c>
      <c r="P1349" t="str">
        <f>IF(Tickets[[#This Row],[Resolution Duration Hours]] &lt;= Tickets[[#This Row],[SLA_Target_Hours]], "Yes", "No")</f>
        <v>No</v>
      </c>
    </row>
    <row r="1350" spans="1:16" hidden="1">
      <c r="A1350">
        <v>1349</v>
      </c>
      <c r="B1350" t="s">
        <v>1350</v>
      </c>
      <c r="C1350" t="s">
        <v>3329</v>
      </c>
      <c r="D1350" t="s">
        <v>3983</v>
      </c>
      <c r="E1350" s="1">
        <v>44780</v>
      </c>
      <c r="F1350" t="s">
        <v>4001</v>
      </c>
      <c r="G1350" t="s">
        <v>4008</v>
      </c>
      <c r="H1350" t="s">
        <v>4018</v>
      </c>
      <c r="I1350" t="s">
        <v>4024</v>
      </c>
      <c r="J1350" t="s">
        <v>4027</v>
      </c>
      <c r="K1350" s="2">
        <v>44847</v>
      </c>
      <c r="L1350" s="2">
        <v>44853</v>
      </c>
      <c r="M1350">
        <v>4</v>
      </c>
      <c r="N1350">
        <v>144</v>
      </c>
      <c r="O1350">
        <f>IF(Tickets[[#This Row],[Ticket Priority]]="Critical",24,
IF(Tickets[[#This Row],[Ticket Priority]]="High",48,
IF(Tickets[[#This Row],[Ticket Priority]]="Medium",120,168)))</f>
        <v>168</v>
      </c>
      <c r="P1350" t="str">
        <f>IF(Tickets[[#This Row],[Resolution Duration Hours]] &lt;= Tickets[[#This Row],[SLA_Target_Hours]], "Yes", "No")</f>
        <v>Yes</v>
      </c>
    </row>
    <row r="1351" spans="1:16" hidden="1">
      <c r="A1351">
        <v>1350</v>
      </c>
      <c r="B1351" t="s">
        <v>1351</v>
      </c>
      <c r="C1351" t="s">
        <v>3330</v>
      </c>
      <c r="D1351" t="s">
        <v>3983</v>
      </c>
      <c r="E1351" s="1">
        <v>44845</v>
      </c>
      <c r="F1351" t="s">
        <v>4001</v>
      </c>
      <c r="G1351" t="s">
        <v>4014</v>
      </c>
      <c r="H1351" t="s">
        <v>4018</v>
      </c>
      <c r="I1351" t="s">
        <v>4022</v>
      </c>
      <c r="J1351" t="s">
        <v>4026</v>
      </c>
      <c r="K1351" s="2">
        <v>45105</v>
      </c>
      <c r="L1351" s="2">
        <v>45105</v>
      </c>
      <c r="M1351">
        <v>4</v>
      </c>
      <c r="N1351">
        <v>0</v>
      </c>
      <c r="O1351">
        <f>IF(Tickets[[#This Row],[Ticket Priority]]="Critical",24,
IF(Tickets[[#This Row],[Ticket Priority]]="High",48,
IF(Tickets[[#This Row],[Ticket Priority]]="Medium",120,168)))</f>
        <v>24</v>
      </c>
      <c r="P1351" t="str">
        <f>IF(Tickets[[#This Row],[Resolution Duration Hours]] &lt;= Tickets[[#This Row],[SLA_Target_Hours]], "Yes", "No")</f>
        <v>Yes</v>
      </c>
    </row>
    <row r="1352" spans="1:16">
      <c r="A1352">
        <v>1886</v>
      </c>
      <c r="B1352" t="s">
        <v>1875</v>
      </c>
      <c r="C1352" t="s">
        <v>3865</v>
      </c>
      <c r="D1352" t="s">
        <v>3993</v>
      </c>
      <c r="E1352" s="1">
        <v>44865</v>
      </c>
      <c r="F1352" t="s">
        <v>4000</v>
      </c>
      <c r="G1352" t="s">
        <v>4013</v>
      </c>
      <c r="H1352" t="s">
        <v>4018</v>
      </c>
      <c r="I1352" t="s">
        <v>4024</v>
      </c>
      <c r="J1352" t="s">
        <v>4028</v>
      </c>
      <c r="K1352" s="2">
        <v>45062</v>
      </c>
      <c r="L1352" s="2">
        <v>45070</v>
      </c>
      <c r="M1352">
        <v>4</v>
      </c>
      <c r="N1352">
        <v>192</v>
      </c>
      <c r="O1352">
        <f>IF(Tickets[[#This Row],[Ticket Priority]]="Critical",24,
IF(Tickets[[#This Row],[Ticket Priority]]="High",48,
IF(Tickets[[#This Row],[Ticket Priority]]="Medium",120,168)))</f>
        <v>168</v>
      </c>
      <c r="P1352" t="str">
        <f>IF(Tickets[[#This Row],[Resolution Duration Hours]] &lt;= Tickets[[#This Row],[SLA_Target_Hours]], "Yes", "No")</f>
        <v>No</v>
      </c>
    </row>
    <row r="1353" spans="1:16" hidden="1">
      <c r="A1353">
        <v>1352</v>
      </c>
      <c r="B1353" t="s">
        <v>1353</v>
      </c>
      <c r="C1353" t="s">
        <v>3332</v>
      </c>
      <c r="D1353" t="s">
        <v>3979</v>
      </c>
      <c r="E1353" s="1">
        <v>44778</v>
      </c>
      <c r="F1353" t="s">
        <v>4001</v>
      </c>
      <c r="G1353" t="s">
        <v>4010</v>
      </c>
      <c r="H1353" t="s">
        <v>4018</v>
      </c>
      <c r="I1353" t="s">
        <v>4024</v>
      </c>
      <c r="J1353" t="s">
        <v>4026</v>
      </c>
      <c r="K1353" s="2">
        <v>45091</v>
      </c>
      <c r="L1353" s="2">
        <v>45095</v>
      </c>
      <c r="M1353">
        <v>5</v>
      </c>
      <c r="N1353">
        <v>96</v>
      </c>
      <c r="O1353">
        <f>IF(Tickets[[#This Row],[Ticket Priority]]="Critical",24,
IF(Tickets[[#This Row],[Ticket Priority]]="High",48,
IF(Tickets[[#This Row],[Ticket Priority]]="Medium",120,168)))</f>
        <v>168</v>
      </c>
      <c r="P1353" t="str">
        <f>IF(Tickets[[#This Row],[Resolution Duration Hours]] &lt;= Tickets[[#This Row],[SLA_Target_Hours]], "Yes", "No")</f>
        <v>Yes</v>
      </c>
    </row>
    <row r="1354" spans="1:16" hidden="1">
      <c r="A1354">
        <v>1353</v>
      </c>
      <c r="B1354" t="s">
        <v>1354</v>
      </c>
      <c r="C1354" t="s">
        <v>3333</v>
      </c>
      <c r="D1354" t="s">
        <v>3993</v>
      </c>
      <c r="E1354" s="1">
        <v>43956</v>
      </c>
      <c r="F1354" t="s">
        <v>4000</v>
      </c>
      <c r="G1354" t="s">
        <v>4009</v>
      </c>
      <c r="H1354" t="s">
        <v>4018</v>
      </c>
      <c r="I1354" t="s">
        <v>4021</v>
      </c>
      <c r="J1354" t="s">
        <v>4026</v>
      </c>
      <c r="K1354" s="2">
        <v>44063</v>
      </c>
      <c r="L1354" s="2">
        <v>44064</v>
      </c>
      <c r="M1354">
        <v>4</v>
      </c>
      <c r="N1354">
        <v>24</v>
      </c>
      <c r="O1354">
        <f>IF(Tickets[[#This Row],[Ticket Priority]]="Critical",24,
IF(Tickets[[#This Row],[Ticket Priority]]="High",48,
IF(Tickets[[#This Row],[Ticket Priority]]="Medium",120,168)))</f>
        <v>48</v>
      </c>
      <c r="P1354" t="str">
        <f>IF(Tickets[[#This Row],[Resolution Duration Hours]] &lt;= Tickets[[#This Row],[SLA_Target_Hours]], "Yes", "No")</f>
        <v>Yes</v>
      </c>
    </row>
    <row r="1355" spans="1:16" hidden="1">
      <c r="A1355">
        <v>1354</v>
      </c>
      <c r="B1355" t="s">
        <v>1355</v>
      </c>
      <c r="C1355" t="s">
        <v>3334</v>
      </c>
      <c r="D1355" t="s">
        <v>3992</v>
      </c>
      <c r="E1355" s="1">
        <v>44841</v>
      </c>
      <c r="F1355" t="s">
        <v>4002</v>
      </c>
      <c r="G1355" t="s">
        <v>4012</v>
      </c>
      <c r="H1355" t="s">
        <v>4018</v>
      </c>
      <c r="I1355" t="s">
        <v>4023</v>
      </c>
      <c r="J1355" t="s">
        <v>4026</v>
      </c>
      <c r="K1355" s="2">
        <v>44988</v>
      </c>
      <c r="L1355" s="2">
        <v>44990</v>
      </c>
      <c r="M1355">
        <v>2</v>
      </c>
      <c r="N1355">
        <v>48</v>
      </c>
      <c r="O1355">
        <f>IF(Tickets[[#This Row],[Ticket Priority]]="Critical",24,
IF(Tickets[[#This Row],[Ticket Priority]]="High",48,
IF(Tickets[[#This Row],[Ticket Priority]]="Medium",120,168)))</f>
        <v>120</v>
      </c>
      <c r="P1355" t="str">
        <f>IF(Tickets[[#This Row],[Resolution Duration Hours]] &lt;= Tickets[[#This Row],[SLA_Target_Hours]], "Yes", "No")</f>
        <v>Yes</v>
      </c>
    </row>
    <row r="1356" spans="1:16" hidden="1">
      <c r="A1356">
        <v>1355</v>
      </c>
      <c r="B1356" t="s">
        <v>1356</v>
      </c>
      <c r="C1356" t="s">
        <v>3335</v>
      </c>
      <c r="D1356" t="s">
        <v>3991</v>
      </c>
      <c r="E1356" s="1">
        <v>44660</v>
      </c>
      <c r="F1356" t="s">
        <v>3999</v>
      </c>
      <c r="G1356" t="s">
        <v>4008</v>
      </c>
      <c r="H1356" t="s">
        <v>4017</v>
      </c>
      <c r="I1356" t="s">
        <v>4024</v>
      </c>
      <c r="J1356" t="s">
        <v>4026</v>
      </c>
      <c r="K1356" s="2">
        <v>44955</v>
      </c>
      <c r="L1356" s="2">
        <v>44961</v>
      </c>
      <c r="N1356">
        <v>144</v>
      </c>
      <c r="O1356">
        <f>IF(Tickets[[#This Row],[Ticket Priority]]="Critical",24,
IF(Tickets[[#This Row],[Ticket Priority]]="High",48,
IF(Tickets[[#This Row],[Ticket Priority]]="Medium",120,168)))</f>
        <v>168</v>
      </c>
      <c r="P1356" t="str">
        <f>IF(Tickets[[#This Row],[Resolution Duration Hours]] &lt;= Tickets[[#This Row],[SLA_Target_Hours]], "Yes", "No")</f>
        <v>Yes</v>
      </c>
    </row>
    <row r="1357" spans="1:16">
      <c r="A1357">
        <v>1891</v>
      </c>
      <c r="B1357" t="s">
        <v>1880</v>
      </c>
      <c r="C1357" t="s">
        <v>3870</v>
      </c>
      <c r="D1357" t="s">
        <v>3989</v>
      </c>
      <c r="E1357" s="1">
        <v>44037</v>
      </c>
      <c r="F1357" t="s">
        <v>4000</v>
      </c>
      <c r="G1357" t="s">
        <v>4000</v>
      </c>
      <c r="H1357" t="s">
        <v>4018</v>
      </c>
      <c r="I1357" t="s">
        <v>4024</v>
      </c>
      <c r="J1357" t="s">
        <v>4028</v>
      </c>
      <c r="K1357" s="2">
        <v>44329</v>
      </c>
      <c r="L1357" s="2">
        <v>44337</v>
      </c>
      <c r="M1357">
        <v>5</v>
      </c>
      <c r="N1357">
        <v>192</v>
      </c>
      <c r="O1357">
        <f>IF(Tickets[[#This Row],[Ticket Priority]]="Critical",24,
IF(Tickets[[#This Row],[Ticket Priority]]="High",48,
IF(Tickets[[#This Row],[Ticket Priority]]="Medium",120,168)))</f>
        <v>168</v>
      </c>
      <c r="P1357" t="str">
        <f>IF(Tickets[[#This Row],[Resolution Duration Hours]] &lt;= Tickets[[#This Row],[SLA_Target_Hours]], "Yes", "No")</f>
        <v>No</v>
      </c>
    </row>
    <row r="1358" spans="1:16" hidden="1">
      <c r="A1358">
        <v>1357</v>
      </c>
      <c r="B1358" t="s">
        <v>1358</v>
      </c>
      <c r="C1358" t="s">
        <v>3337</v>
      </c>
      <c r="D1358" t="s">
        <v>3993</v>
      </c>
      <c r="E1358" s="1">
        <v>44377</v>
      </c>
      <c r="F1358" t="s">
        <v>4000</v>
      </c>
      <c r="G1358" t="s">
        <v>4007</v>
      </c>
      <c r="H1358" t="s">
        <v>4018</v>
      </c>
      <c r="I1358" t="s">
        <v>4024</v>
      </c>
      <c r="J1358" t="s">
        <v>4026</v>
      </c>
      <c r="K1358" s="2">
        <v>44648</v>
      </c>
      <c r="L1358" s="2">
        <v>44654</v>
      </c>
      <c r="N1358">
        <v>144</v>
      </c>
      <c r="O1358">
        <f>IF(Tickets[[#This Row],[Ticket Priority]]="Critical",24,
IF(Tickets[[#This Row],[Ticket Priority]]="High",48,
IF(Tickets[[#This Row],[Ticket Priority]]="Medium",120,168)))</f>
        <v>168</v>
      </c>
      <c r="P1358" t="str">
        <f>IF(Tickets[[#This Row],[Resolution Duration Hours]] &lt;= Tickets[[#This Row],[SLA_Target_Hours]], "Yes", "No")</f>
        <v>Yes</v>
      </c>
    </row>
    <row r="1359" spans="1:16" hidden="1">
      <c r="A1359">
        <v>1358</v>
      </c>
      <c r="B1359" t="s">
        <v>1359</v>
      </c>
      <c r="C1359" t="s">
        <v>3338</v>
      </c>
      <c r="D1359" t="s">
        <v>3994</v>
      </c>
      <c r="E1359" s="1">
        <v>44992</v>
      </c>
      <c r="F1359" t="s">
        <v>4001</v>
      </c>
      <c r="G1359" t="s">
        <v>4007</v>
      </c>
      <c r="H1359" t="s">
        <v>4018</v>
      </c>
      <c r="I1359" t="s">
        <v>4023</v>
      </c>
      <c r="J1359" t="s">
        <v>4027</v>
      </c>
      <c r="K1359" s="2">
        <v>45309</v>
      </c>
      <c r="L1359" s="2">
        <v>45312</v>
      </c>
      <c r="M1359">
        <v>4</v>
      </c>
      <c r="N1359">
        <v>72</v>
      </c>
      <c r="O1359">
        <f>IF(Tickets[[#This Row],[Ticket Priority]]="Critical",24,
IF(Tickets[[#This Row],[Ticket Priority]]="High",48,
IF(Tickets[[#This Row],[Ticket Priority]]="Medium",120,168)))</f>
        <v>120</v>
      </c>
      <c r="P1359" t="str">
        <f>IF(Tickets[[#This Row],[Resolution Duration Hours]] &lt;= Tickets[[#This Row],[SLA_Target_Hours]], "Yes", "No")</f>
        <v>Yes</v>
      </c>
    </row>
    <row r="1360" spans="1:16">
      <c r="A1360">
        <v>1922</v>
      </c>
      <c r="B1360" t="s">
        <v>1910</v>
      </c>
      <c r="C1360" t="s">
        <v>3901</v>
      </c>
      <c r="D1360" t="s">
        <v>3995</v>
      </c>
      <c r="E1360" s="1">
        <v>44726</v>
      </c>
      <c r="F1360" t="s">
        <v>3999</v>
      </c>
      <c r="G1360" t="s">
        <v>4008</v>
      </c>
      <c r="H1360" t="s">
        <v>4020</v>
      </c>
      <c r="I1360" t="s">
        <v>4024</v>
      </c>
      <c r="J1360" t="s">
        <v>4028</v>
      </c>
      <c r="K1360" s="2">
        <v>44959</v>
      </c>
      <c r="L1360" s="2">
        <v>44967</v>
      </c>
      <c r="N1360">
        <v>192</v>
      </c>
      <c r="O1360">
        <f>IF(Tickets[[#This Row],[Ticket Priority]]="Critical",24,
IF(Tickets[[#This Row],[Ticket Priority]]="High",48,
IF(Tickets[[#This Row],[Ticket Priority]]="Medium",120,168)))</f>
        <v>168</v>
      </c>
      <c r="P1360" t="str">
        <f>IF(Tickets[[#This Row],[Resolution Duration Hours]] &lt;= Tickets[[#This Row],[SLA_Target_Hours]], "Yes", "No")</f>
        <v>No</v>
      </c>
    </row>
    <row r="1361" spans="1:16" hidden="1">
      <c r="A1361">
        <v>1360</v>
      </c>
      <c r="B1361" t="s">
        <v>1361</v>
      </c>
      <c r="C1361" t="s">
        <v>3340</v>
      </c>
      <c r="D1361" t="s">
        <v>3992</v>
      </c>
      <c r="E1361" s="1">
        <v>44848</v>
      </c>
      <c r="F1361" t="s">
        <v>3999</v>
      </c>
      <c r="G1361" t="s">
        <v>4000</v>
      </c>
      <c r="H1361" t="s">
        <v>4018</v>
      </c>
      <c r="I1361" t="s">
        <v>4023</v>
      </c>
      <c r="J1361" t="s">
        <v>4026</v>
      </c>
      <c r="K1361" s="2">
        <v>45001</v>
      </c>
      <c r="L1361" s="2">
        <v>45003</v>
      </c>
      <c r="M1361">
        <v>5</v>
      </c>
      <c r="N1361">
        <v>48</v>
      </c>
      <c r="O1361">
        <f>IF(Tickets[[#This Row],[Ticket Priority]]="Critical",24,
IF(Tickets[[#This Row],[Ticket Priority]]="High",48,
IF(Tickets[[#This Row],[Ticket Priority]]="Medium",120,168)))</f>
        <v>120</v>
      </c>
      <c r="P1361" t="str">
        <f>IF(Tickets[[#This Row],[Resolution Duration Hours]] &lt;= Tickets[[#This Row],[SLA_Target_Hours]], "Yes", "No")</f>
        <v>Yes</v>
      </c>
    </row>
    <row r="1362" spans="1:16">
      <c r="A1362">
        <v>1932</v>
      </c>
      <c r="B1362" t="s">
        <v>1920</v>
      </c>
      <c r="C1362" t="s">
        <v>3911</v>
      </c>
      <c r="D1362" t="s">
        <v>3993</v>
      </c>
      <c r="E1362" s="1">
        <v>44604</v>
      </c>
      <c r="F1362" t="s">
        <v>4001</v>
      </c>
      <c r="G1362" t="s">
        <v>4011</v>
      </c>
      <c r="H1362" t="s">
        <v>4018</v>
      </c>
      <c r="I1362" t="s">
        <v>4024</v>
      </c>
      <c r="J1362" t="s">
        <v>4028</v>
      </c>
      <c r="K1362" s="2">
        <v>44960</v>
      </c>
      <c r="L1362" s="2">
        <v>44968</v>
      </c>
      <c r="N1362">
        <v>192</v>
      </c>
      <c r="O1362">
        <f>IF(Tickets[[#This Row],[Ticket Priority]]="Critical",24,
IF(Tickets[[#This Row],[Ticket Priority]]="High",48,
IF(Tickets[[#This Row],[Ticket Priority]]="Medium",120,168)))</f>
        <v>168</v>
      </c>
      <c r="P1362" t="str">
        <f>IF(Tickets[[#This Row],[Resolution Duration Hours]] &lt;= Tickets[[#This Row],[SLA_Target_Hours]], "Yes", "No")</f>
        <v>No</v>
      </c>
    </row>
    <row r="1363" spans="1:16">
      <c r="A1363">
        <v>65</v>
      </c>
      <c r="B1363" t="s">
        <v>78</v>
      </c>
      <c r="C1363" t="s">
        <v>2048</v>
      </c>
      <c r="D1363" t="s">
        <v>3993</v>
      </c>
      <c r="E1363" s="1">
        <v>45001</v>
      </c>
      <c r="F1363" t="s">
        <v>3999</v>
      </c>
      <c r="G1363" t="s">
        <v>4015</v>
      </c>
      <c r="H1363" t="s">
        <v>4019</v>
      </c>
      <c r="I1363" t="s">
        <v>4023</v>
      </c>
      <c r="J1363" t="s">
        <v>4028</v>
      </c>
      <c r="K1363" s="2">
        <v>45157</v>
      </c>
      <c r="L1363" s="2">
        <v>45164</v>
      </c>
      <c r="M1363">
        <v>4</v>
      </c>
      <c r="N1363">
        <v>168</v>
      </c>
      <c r="O1363">
        <f>IF(Tickets[[#This Row],[Ticket Priority]]="Critical",24,
IF(Tickets[[#This Row],[Ticket Priority]]="High",48,
IF(Tickets[[#This Row],[Ticket Priority]]="Medium",120,168)))</f>
        <v>120</v>
      </c>
      <c r="P1363" t="str">
        <f>IF(Tickets[[#This Row],[Resolution Duration Hours]] &lt;= Tickets[[#This Row],[SLA_Target_Hours]], "Yes", "No")</f>
        <v>No</v>
      </c>
    </row>
    <row r="1364" spans="1:16" hidden="1">
      <c r="A1364">
        <v>1363</v>
      </c>
      <c r="B1364" t="s">
        <v>1364</v>
      </c>
      <c r="C1364" t="s">
        <v>3343</v>
      </c>
      <c r="D1364" t="s">
        <v>3995</v>
      </c>
      <c r="E1364" s="1">
        <v>44672</v>
      </c>
      <c r="F1364" t="s">
        <v>3999</v>
      </c>
      <c r="G1364" t="s">
        <v>4007</v>
      </c>
      <c r="H1364" t="s">
        <v>4017</v>
      </c>
      <c r="I1364" t="s">
        <v>4021</v>
      </c>
      <c r="J1364" t="s">
        <v>4028</v>
      </c>
      <c r="K1364" s="2">
        <v>45010</v>
      </c>
      <c r="L1364" s="2">
        <v>45012</v>
      </c>
      <c r="N1364">
        <v>48</v>
      </c>
      <c r="O1364">
        <f>IF(Tickets[[#This Row],[Ticket Priority]]="Critical",24,
IF(Tickets[[#This Row],[Ticket Priority]]="High",48,
IF(Tickets[[#This Row],[Ticket Priority]]="Medium",120,168)))</f>
        <v>48</v>
      </c>
      <c r="P1364" t="str">
        <f>IF(Tickets[[#This Row],[Resolution Duration Hours]] &lt;= Tickets[[#This Row],[SLA_Target_Hours]], "Yes", "No")</f>
        <v>Yes</v>
      </c>
    </row>
    <row r="1365" spans="1:16" hidden="1">
      <c r="A1365">
        <v>1364</v>
      </c>
      <c r="B1365" t="s">
        <v>1365</v>
      </c>
      <c r="C1365" t="s">
        <v>3344</v>
      </c>
      <c r="D1365" t="s">
        <v>3989</v>
      </c>
      <c r="E1365" s="1">
        <v>44640</v>
      </c>
      <c r="F1365" t="s">
        <v>3998</v>
      </c>
      <c r="G1365" t="s">
        <v>4015</v>
      </c>
      <c r="H1365" t="s">
        <v>4018</v>
      </c>
      <c r="I1365" t="s">
        <v>4021</v>
      </c>
      <c r="J1365" t="s">
        <v>4026</v>
      </c>
      <c r="K1365" s="2">
        <v>44651</v>
      </c>
      <c r="L1365" s="2">
        <v>44653</v>
      </c>
      <c r="M1365">
        <v>5</v>
      </c>
      <c r="N1365">
        <v>48</v>
      </c>
      <c r="O1365">
        <f>IF(Tickets[[#This Row],[Ticket Priority]]="Critical",24,
IF(Tickets[[#This Row],[Ticket Priority]]="High",48,
IF(Tickets[[#This Row],[Ticket Priority]]="Medium",120,168)))</f>
        <v>48</v>
      </c>
      <c r="P1365" t="str">
        <f>IF(Tickets[[#This Row],[Resolution Duration Hours]] &lt;= Tickets[[#This Row],[SLA_Target_Hours]], "Yes", "No")</f>
        <v>Yes</v>
      </c>
    </row>
    <row r="1366" spans="1:16">
      <c r="A1366">
        <v>152</v>
      </c>
      <c r="B1366" t="s">
        <v>165</v>
      </c>
      <c r="C1366" t="s">
        <v>2135</v>
      </c>
      <c r="D1366" t="s">
        <v>3985</v>
      </c>
      <c r="E1366" s="1">
        <v>44784</v>
      </c>
      <c r="F1366" t="s">
        <v>4000</v>
      </c>
      <c r="G1366" t="s">
        <v>4013</v>
      </c>
      <c r="H1366" t="s">
        <v>4018</v>
      </c>
      <c r="I1366" t="s">
        <v>4023</v>
      </c>
      <c r="J1366" t="s">
        <v>4027</v>
      </c>
      <c r="K1366" s="2">
        <v>44806</v>
      </c>
      <c r="L1366" s="2">
        <v>44813</v>
      </c>
      <c r="M1366">
        <v>5</v>
      </c>
      <c r="N1366">
        <v>168</v>
      </c>
      <c r="O1366">
        <f>IF(Tickets[[#This Row],[Ticket Priority]]="Critical",24,
IF(Tickets[[#This Row],[Ticket Priority]]="High",48,
IF(Tickets[[#This Row],[Ticket Priority]]="Medium",120,168)))</f>
        <v>120</v>
      </c>
      <c r="P1366" t="str">
        <f>IF(Tickets[[#This Row],[Resolution Duration Hours]] &lt;= Tickets[[#This Row],[SLA_Target_Hours]], "Yes", "No")</f>
        <v>No</v>
      </c>
    </row>
    <row r="1367" spans="1:16" hidden="1">
      <c r="A1367">
        <v>1366</v>
      </c>
      <c r="B1367" t="s">
        <v>1367</v>
      </c>
      <c r="C1367" t="s">
        <v>3346</v>
      </c>
      <c r="D1367" t="s">
        <v>3986</v>
      </c>
      <c r="E1367" s="1">
        <v>44744</v>
      </c>
      <c r="F1367" t="s">
        <v>4002</v>
      </c>
      <c r="G1367" t="s">
        <v>4007</v>
      </c>
      <c r="H1367" t="s">
        <v>4017</v>
      </c>
      <c r="I1367" t="s">
        <v>4024</v>
      </c>
      <c r="J1367" t="s">
        <v>4026</v>
      </c>
      <c r="K1367" s="2">
        <v>44816</v>
      </c>
      <c r="L1367" s="2">
        <v>44822</v>
      </c>
      <c r="N1367">
        <v>144</v>
      </c>
      <c r="O1367">
        <f>IF(Tickets[[#This Row],[Ticket Priority]]="Critical",24,
IF(Tickets[[#This Row],[Ticket Priority]]="High",48,
IF(Tickets[[#This Row],[Ticket Priority]]="Medium",120,168)))</f>
        <v>168</v>
      </c>
      <c r="P1367" t="str">
        <f>IF(Tickets[[#This Row],[Resolution Duration Hours]] &lt;= Tickets[[#This Row],[SLA_Target_Hours]], "Yes", "No")</f>
        <v>Yes</v>
      </c>
    </row>
    <row r="1368" spans="1:16" hidden="1">
      <c r="A1368">
        <v>1367</v>
      </c>
      <c r="B1368" t="s">
        <v>1368</v>
      </c>
      <c r="C1368" t="s">
        <v>3347</v>
      </c>
      <c r="D1368" t="s">
        <v>3986</v>
      </c>
      <c r="E1368" s="1">
        <v>44425</v>
      </c>
      <c r="F1368" t="s">
        <v>4002</v>
      </c>
      <c r="G1368" t="s">
        <v>4007</v>
      </c>
      <c r="H1368" t="s">
        <v>4018</v>
      </c>
      <c r="I1368" t="s">
        <v>4023</v>
      </c>
      <c r="J1368" t="s">
        <v>4026</v>
      </c>
      <c r="K1368" s="2">
        <v>44775</v>
      </c>
      <c r="L1368" s="2">
        <v>44778</v>
      </c>
      <c r="M1368">
        <v>4</v>
      </c>
      <c r="N1368">
        <v>72</v>
      </c>
      <c r="O1368">
        <f>IF(Tickets[[#This Row],[Ticket Priority]]="Critical",24,
IF(Tickets[[#This Row],[Ticket Priority]]="High",48,
IF(Tickets[[#This Row],[Ticket Priority]]="Medium",120,168)))</f>
        <v>120</v>
      </c>
      <c r="P1368" t="str">
        <f>IF(Tickets[[#This Row],[Resolution Duration Hours]] &lt;= Tickets[[#This Row],[SLA_Target_Hours]], "Yes", "No")</f>
        <v>Yes</v>
      </c>
    </row>
    <row r="1369" spans="1:16">
      <c r="A1369">
        <v>173</v>
      </c>
      <c r="B1369" t="s">
        <v>186</v>
      </c>
      <c r="C1369" t="s">
        <v>2156</v>
      </c>
      <c r="D1369" t="s">
        <v>3992</v>
      </c>
      <c r="E1369" s="1">
        <v>43912</v>
      </c>
      <c r="F1369" t="s">
        <v>4000</v>
      </c>
      <c r="G1369" t="s">
        <v>4014</v>
      </c>
      <c r="H1369" t="s">
        <v>4018</v>
      </c>
      <c r="I1369" t="s">
        <v>4023</v>
      </c>
      <c r="J1369" t="s">
        <v>4027</v>
      </c>
      <c r="K1369" s="2">
        <v>44149</v>
      </c>
      <c r="L1369" s="2">
        <v>44156</v>
      </c>
      <c r="M1369">
        <v>2</v>
      </c>
      <c r="N1369">
        <v>168</v>
      </c>
      <c r="O1369">
        <f>IF(Tickets[[#This Row],[Ticket Priority]]="Critical",24,
IF(Tickets[[#This Row],[Ticket Priority]]="High",48,
IF(Tickets[[#This Row],[Ticket Priority]]="Medium",120,168)))</f>
        <v>120</v>
      </c>
      <c r="P1369" t="str">
        <f>IF(Tickets[[#This Row],[Resolution Duration Hours]] &lt;= Tickets[[#This Row],[SLA_Target_Hours]], "Yes", "No")</f>
        <v>No</v>
      </c>
    </row>
    <row r="1370" spans="1:16" hidden="1">
      <c r="A1370">
        <v>1369</v>
      </c>
      <c r="B1370" t="s">
        <v>1370</v>
      </c>
      <c r="C1370" t="s">
        <v>3349</v>
      </c>
      <c r="D1370" t="s">
        <v>3992</v>
      </c>
      <c r="E1370" s="1">
        <v>45007</v>
      </c>
      <c r="F1370" t="s">
        <v>3998</v>
      </c>
      <c r="G1370" t="s">
        <v>4006</v>
      </c>
      <c r="H1370" t="s">
        <v>4018</v>
      </c>
      <c r="I1370" t="s">
        <v>4023</v>
      </c>
      <c r="J1370" t="s">
        <v>4026</v>
      </c>
      <c r="K1370" s="2">
        <v>45150</v>
      </c>
      <c r="L1370" s="2">
        <v>45152</v>
      </c>
      <c r="M1370">
        <v>3</v>
      </c>
      <c r="N1370">
        <v>48</v>
      </c>
      <c r="O1370">
        <f>IF(Tickets[[#This Row],[Ticket Priority]]="Critical",24,
IF(Tickets[[#This Row],[Ticket Priority]]="High",48,
IF(Tickets[[#This Row],[Ticket Priority]]="Medium",120,168)))</f>
        <v>120</v>
      </c>
      <c r="P1370" t="str">
        <f>IF(Tickets[[#This Row],[Resolution Duration Hours]] &lt;= Tickets[[#This Row],[SLA_Target_Hours]], "Yes", "No")</f>
        <v>Yes</v>
      </c>
    </row>
    <row r="1371" spans="1:16" hidden="1">
      <c r="A1371">
        <v>1370</v>
      </c>
      <c r="B1371" t="s">
        <v>1371</v>
      </c>
      <c r="C1371" t="s">
        <v>3350</v>
      </c>
      <c r="D1371" t="s">
        <v>3980</v>
      </c>
      <c r="E1371" s="1">
        <v>44000</v>
      </c>
      <c r="F1371" t="s">
        <v>4001</v>
      </c>
      <c r="G1371" t="s">
        <v>4000</v>
      </c>
      <c r="H1371" t="s">
        <v>4017</v>
      </c>
      <c r="I1371" t="s">
        <v>4024</v>
      </c>
      <c r="J1371" t="s">
        <v>4028</v>
      </c>
      <c r="K1371" s="2">
        <v>44312</v>
      </c>
      <c r="L1371" s="2">
        <v>44319</v>
      </c>
      <c r="N1371">
        <v>168</v>
      </c>
      <c r="O1371">
        <f>IF(Tickets[[#This Row],[Ticket Priority]]="Critical",24,
IF(Tickets[[#This Row],[Ticket Priority]]="High",48,
IF(Tickets[[#This Row],[Ticket Priority]]="Medium",120,168)))</f>
        <v>168</v>
      </c>
      <c r="P1371" t="str">
        <f>IF(Tickets[[#This Row],[Resolution Duration Hours]] &lt;= Tickets[[#This Row],[SLA_Target_Hours]], "Yes", "No")</f>
        <v>Yes</v>
      </c>
    </row>
    <row r="1372" spans="1:16" hidden="1">
      <c r="A1372">
        <v>1371</v>
      </c>
      <c r="B1372" t="s">
        <v>1372</v>
      </c>
      <c r="C1372" t="s">
        <v>3351</v>
      </c>
      <c r="D1372" t="s">
        <v>3985</v>
      </c>
      <c r="E1372" s="1">
        <v>44720</v>
      </c>
      <c r="F1372" t="s">
        <v>4001</v>
      </c>
      <c r="G1372" t="s">
        <v>4011</v>
      </c>
      <c r="H1372" t="s">
        <v>4019</v>
      </c>
      <c r="I1372" t="s">
        <v>4023</v>
      </c>
      <c r="J1372" t="s">
        <v>4025</v>
      </c>
      <c r="K1372" s="2">
        <v>45039</v>
      </c>
      <c r="L1372" s="2">
        <v>45043</v>
      </c>
      <c r="M1372">
        <v>4</v>
      </c>
      <c r="N1372">
        <v>96</v>
      </c>
      <c r="O1372">
        <f>IF(Tickets[[#This Row],[Ticket Priority]]="Critical",24,
IF(Tickets[[#This Row],[Ticket Priority]]="High",48,
IF(Tickets[[#This Row],[Ticket Priority]]="Medium",120,168)))</f>
        <v>120</v>
      </c>
      <c r="P1372" t="str">
        <f>IF(Tickets[[#This Row],[Resolution Duration Hours]] &lt;= Tickets[[#This Row],[SLA_Target_Hours]], "Yes", "No")</f>
        <v>Yes</v>
      </c>
    </row>
    <row r="1373" spans="1:16" hidden="1">
      <c r="A1373">
        <v>1372</v>
      </c>
      <c r="B1373" t="s">
        <v>1373</v>
      </c>
      <c r="C1373" t="s">
        <v>3352</v>
      </c>
      <c r="D1373" t="s">
        <v>3989</v>
      </c>
      <c r="E1373" s="1">
        <v>43854</v>
      </c>
      <c r="F1373" t="s">
        <v>3999</v>
      </c>
      <c r="G1373" t="s">
        <v>4016</v>
      </c>
      <c r="H1373" t="s">
        <v>4018</v>
      </c>
      <c r="I1373" t="s">
        <v>4023</v>
      </c>
      <c r="J1373" t="s">
        <v>4026</v>
      </c>
      <c r="K1373" s="2">
        <v>43995</v>
      </c>
      <c r="L1373" s="2">
        <v>43999</v>
      </c>
      <c r="M1373">
        <v>4</v>
      </c>
      <c r="N1373">
        <v>96</v>
      </c>
      <c r="O1373">
        <f>IF(Tickets[[#This Row],[Ticket Priority]]="Critical",24,
IF(Tickets[[#This Row],[Ticket Priority]]="High",48,
IF(Tickets[[#This Row],[Ticket Priority]]="Medium",120,168)))</f>
        <v>120</v>
      </c>
      <c r="P1373" t="str">
        <f>IF(Tickets[[#This Row],[Resolution Duration Hours]] &lt;= Tickets[[#This Row],[SLA_Target_Hours]], "Yes", "No")</f>
        <v>Yes</v>
      </c>
    </row>
    <row r="1374" spans="1:16">
      <c r="A1374">
        <v>230</v>
      </c>
      <c r="B1374" t="s">
        <v>243</v>
      </c>
      <c r="C1374" t="s">
        <v>2213</v>
      </c>
      <c r="D1374" t="s">
        <v>3996</v>
      </c>
      <c r="E1374" s="1">
        <v>44540</v>
      </c>
      <c r="F1374" t="s">
        <v>4000</v>
      </c>
      <c r="G1374" t="s">
        <v>4008</v>
      </c>
      <c r="H1374" t="s">
        <v>4018</v>
      </c>
      <c r="I1374" t="s">
        <v>4023</v>
      </c>
      <c r="J1374" t="s">
        <v>4028</v>
      </c>
      <c r="K1374" s="2">
        <v>44579</v>
      </c>
      <c r="L1374" s="2">
        <v>44586</v>
      </c>
      <c r="M1374">
        <v>3</v>
      </c>
      <c r="N1374">
        <v>168</v>
      </c>
      <c r="O1374">
        <f>IF(Tickets[[#This Row],[Ticket Priority]]="Critical",24,
IF(Tickets[[#This Row],[Ticket Priority]]="High",48,
IF(Tickets[[#This Row],[Ticket Priority]]="Medium",120,168)))</f>
        <v>120</v>
      </c>
      <c r="P1374" t="str">
        <f>IF(Tickets[[#This Row],[Resolution Duration Hours]] &lt;= Tickets[[#This Row],[SLA_Target_Hours]], "Yes", "No")</f>
        <v>No</v>
      </c>
    </row>
    <row r="1375" spans="1:16" hidden="1">
      <c r="A1375">
        <v>1374</v>
      </c>
      <c r="B1375" t="s">
        <v>1375</v>
      </c>
      <c r="C1375" t="s">
        <v>3354</v>
      </c>
      <c r="D1375" t="s">
        <v>3979</v>
      </c>
      <c r="E1375" s="1">
        <v>44307</v>
      </c>
      <c r="F1375" t="s">
        <v>4000</v>
      </c>
      <c r="G1375" t="s">
        <v>4015</v>
      </c>
      <c r="H1375" t="s">
        <v>4018</v>
      </c>
      <c r="I1375" t="s">
        <v>4024</v>
      </c>
      <c r="J1375" t="s">
        <v>4025</v>
      </c>
      <c r="K1375" s="2">
        <v>44458</v>
      </c>
      <c r="L1375" s="2">
        <v>44460</v>
      </c>
      <c r="M1375">
        <v>3</v>
      </c>
      <c r="N1375">
        <v>48</v>
      </c>
      <c r="O1375">
        <f>IF(Tickets[[#This Row],[Ticket Priority]]="Critical",24,
IF(Tickets[[#This Row],[Ticket Priority]]="High",48,
IF(Tickets[[#This Row],[Ticket Priority]]="Medium",120,168)))</f>
        <v>168</v>
      </c>
      <c r="P1375" t="str">
        <f>IF(Tickets[[#This Row],[Resolution Duration Hours]] &lt;= Tickets[[#This Row],[SLA_Target_Hours]], "Yes", "No")</f>
        <v>Yes</v>
      </c>
    </row>
    <row r="1376" spans="1:16" hidden="1">
      <c r="A1376">
        <v>1375</v>
      </c>
      <c r="B1376" t="s">
        <v>1376</v>
      </c>
      <c r="C1376" t="s">
        <v>3355</v>
      </c>
      <c r="D1376" t="s">
        <v>3987</v>
      </c>
      <c r="E1376" s="1">
        <v>44555</v>
      </c>
      <c r="F1376" t="s">
        <v>4000</v>
      </c>
      <c r="G1376" t="s">
        <v>4008</v>
      </c>
      <c r="H1376" t="s">
        <v>4020</v>
      </c>
      <c r="I1376" t="s">
        <v>4021</v>
      </c>
      <c r="J1376" t="s">
        <v>4026</v>
      </c>
      <c r="K1376" s="2">
        <v>44707</v>
      </c>
      <c r="L1376" s="2">
        <v>44708</v>
      </c>
      <c r="N1376">
        <v>24</v>
      </c>
      <c r="O1376">
        <f>IF(Tickets[[#This Row],[Ticket Priority]]="Critical",24,
IF(Tickets[[#This Row],[Ticket Priority]]="High",48,
IF(Tickets[[#This Row],[Ticket Priority]]="Medium",120,168)))</f>
        <v>48</v>
      </c>
      <c r="P1376" t="str">
        <f>IF(Tickets[[#This Row],[Resolution Duration Hours]] &lt;= Tickets[[#This Row],[SLA_Target_Hours]], "Yes", "No")</f>
        <v>Yes</v>
      </c>
    </row>
    <row r="1377" spans="1:16" hidden="1">
      <c r="A1377">
        <v>1376</v>
      </c>
      <c r="B1377" t="s">
        <v>1377</v>
      </c>
      <c r="C1377" t="s">
        <v>3356</v>
      </c>
      <c r="D1377" t="s">
        <v>3985</v>
      </c>
      <c r="E1377" s="1">
        <v>44260</v>
      </c>
      <c r="F1377" t="s">
        <v>3999</v>
      </c>
      <c r="G1377" t="s">
        <v>4005</v>
      </c>
      <c r="H1377" t="s">
        <v>4018</v>
      </c>
      <c r="I1377" t="s">
        <v>4023</v>
      </c>
      <c r="J1377" t="s">
        <v>4026</v>
      </c>
      <c r="K1377" s="2">
        <v>44488</v>
      </c>
      <c r="L1377" s="2">
        <v>44489</v>
      </c>
      <c r="M1377">
        <v>4</v>
      </c>
      <c r="N1377">
        <v>24</v>
      </c>
      <c r="O1377">
        <f>IF(Tickets[[#This Row],[Ticket Priority]]="Critical",24,
IF(Tickets[[#This Row],[Ticket Priority]]="High",48,
IF(Tickets[[#This Row],[Ticket Priority]]="Medium",120,168)))</f>
        <v>120</v>
      </c>
      <c r="P1377" t="str">
        <f>IF(Tickets[[#This Row],[Resolution Duration Hours]] &lt;= Tickets[[#This Row],[SLA_Target_Hours]], "Yes", "No")</f>
        <v>Yes</v>
      </c>
    </row>
    <row r="1378" spans="1:16">
      <c r="A1378">
        <v>380</v>
      </c>
      <c r="B1378" t="s">
        <v>393</v>
      </c>
      <c r="C1378" t="s">
        <v>2363</v>
      </c>
      <c r="D1378" t="s">
        <v>3993</v>
      </c>
      <c r="E1378" s="1">
        <v>43972</v>
      </c>
      <c r="F1378" t="s">
        <v>3998</v>
      </c>
      <c r="G1378" t="s">
        <v>4012</v>
      </c>
      <c r="H1378" t="s">
        <v>4018</v>
      </c>
      <c r="I1378" t="s">
        <v>4023</v>
      </c>
      <c r="J1378" t="s">
        <v>4028</v>
      </c>
      <c r="K1378" s="2">
        <v>44112</v>
      </c>
      <c r="L1378" s="2">
        <v>44119</v>
      </c>
      <c r="M1378">
        <v>3</v>
      </c>
      <c r="N1378">
        <v>168</v>
      </c>
      <c r="O1378">
        <f>IF(Tickets[[#This Row],[Ticket Priority]]="Critical",24,
IF(Tickets[[#This Row],[Ticket Priority]]="High",48,
IF(Tickets[[#This Row],[Ticket Priority]]="Medium",120,168)))</f>
        <v>120</v>
      </c>
      <c r="P1378" t="str">
        <f>IF(Tickets[[#This Row],[Resolution Duration Hours]] &lt;= Tickets[[#This Row],[SLA_Target_Hours]], "Yes", "No")</f>
        <v>No</v>
      </c>
    </row>
    <row r="1379" spans="1:16" hidden="1">
      <c r="A1379">
        <v>1378</v>
      </c>
      <c r="B1379" t="s">
        <v>1379</v>
      </c>
      <c r="C1379" t="s">
        <v>3358</v>
      </c>
      <c r="D1379" t="s">
        <v>3981</v>
      </c>
      <c r="E1379" s="1">
        <v>44008</v>
      </c>
      <c r="F1379" t="s">
        <v>3999</v>
      </c>
      <c r="G1379" t="s">
        <v>4009</v>
      </c>
      <c r="H1379" t="s">
        <v>4018</v>
      </c>
      <c r="I1379" t="s">
        <v>4024</v>
      </c>
      <c r="J1379" t="s">
        <v>4026</v>
      </c>
      <c r="K1379" s="2">
        <v>44080</v>
      </c>
      <c r="L1379" s="2">
        <v>44087</v>
      </c>
      <c r="M1379">
        <v>4</v>
      </c>
      <c r="N1379">
        <v>168</v>
      </c>
      <c r="O1379">
        <f>IF(Tickets[[#This Row],[Ticket Priority]]="Critical",24,
IF(Tickets[[#This Row],[Ticket Priority]]="High",48,
IF(Tickets[[#This Row],[Ticket Priority]]="Medium",120,168)))</f>
        <v>168</v>
      </c>
      <c r="P1379" t="str">
        <f>IF(Tickets[[#This Row],[Resolution Duration Hours]] &lt;= Tickets[[#This Row],[SLA_Target_Hours]], "Yes", "No")</f>
        <v>Yes</v>
      </c>
    </row>
    <row r="1380" spans="1:16" hidden="1">
      <c r="A1380">
        <v>1379</v>
      </c>
      <c r="B1380" t="s">
        <v>1380</v>
      </c>
      <c r="C1380" t="s">
        <v>3359</v>
      </c>
      <c r="D1380" t="s">
        <v>3994</v>
      </c>
      <c r="E1380" s="1">
        <v>44945</v>
      </c>
      <c r="F1380" t="s">
        <v>4002</v>
      </c>
      <c r="G1380" t="s">
        <v>4011</v>
      </c>
      <c r="H1380" t="s">
        <v>4018</v>
      </c>
      <c r="I1380" t="s">
        <v>4023</v>
      </c>
      <c r="J1380" t="s">
        <v>4025</v>
      </c>
      <c r="K1380" s="2">
        <v>45274</v>
      </c>
      <c r="L1380" s="2">
        <v>45275</v>
      </c>
      <c r="M1380">
        <v>4</v>
      </c>
      <c r="N1380">
        <v>24</v>
      </c>
      <c r="O1380">
        <f>IF(Tickets[[#This Row],[Ticket Priority]]="Critical",24,
IF(Tickets[[#This Row],[Ticket Priority]]="High",48,
IF(Tickets[[#This Row],[Ticket Priority]]="Medium",120,168)))</f>
        <v>120</v>
      </c>
      <c r="P1380" t="str">
        <f>IF(Tickets[[#This Row],[Resolution Duration Hours]] &lt;= Tickets[[#This Row],[SLA_Target_Hours]], "Yes", "No")</f>
        <v>Yes</v>
      </c>
    </row>
    <row r="1381" spans="1:16" hidden="1">
      <c r="A1381">
        <v>1380</v>
      </c>
      <c r="B1381" t="s">
        <v>1381</v>
      </c>
      <c r="C1381" t="s">
        <v>3360</v>
      </c>
      <c r="D1381" t="s">
        <v>3988</v>
      </c>
      <c r="E1381" s="1">
        <v>43900</v>
      </c>
      <c r="F1381" t="s">
        <v>3999</v>
      </c>
      <c r="G1381" t="s">
        <v>4003</v>
      </c>
      <c r="H1381" t="s">
        <v>4020</v>
      </c>
      <c r="I1381" t="s">
        <v>4023</v>
      </c>
      <c r="J1381" t="s">
        <v>4027</v>
      </c>
      <c r="K1381" s="2">
        <v>43971</v>
      </c>
      <c r="L1381" s="2">
        <v>43974</v>
      </c>
      <c r="N1381">
        <v>72</v>
      </c>
      <c r="O1381">
        <f>IF(Tickets[[#This Row],[Ticket Priority]]="Critical",24,
IF(Tickets[[#This Row],[Ticket Priority]]="High",48,
IF(Tickets[[#This Row],[Ticket Priority]]="Medium",120,168)))</f>
        <v>120</v>
      </c>
      <c r="P1381" t="str">
        <f>IF(Tickets[[#This Row],[Resolution Duration Hours]] &lt;= Tickets[[#This Row],[SLA_Target_Hours]], "Yes", "No")</f>
        <v>Yes</v>
      </c>
    </row>
    <row r="1382" spans="1:16" hidden="1">
      <c r="A1382">
        <v>1381</v>
      </c>
      <c r="B1382" t="s">
        <v>1382</v>
      </c>
      <c r="C1382" t="s">
        <v>3361</v>
      </c>
      <c r="D1382" t="s">
        <v>3995</v>
      </c>
      <c r="E1382" s="1">
        <v>44147</v>
      </c>
      <c r="F1382" t="s">
        <v>4002</v>
      </c>
      <c r="G1382" t="s">
        <v>4004</v>
      </c>
      <c r="H1382" t="s">
        <v>4018</v>
      </c>
      <c r="I1382" t="s">
        <v>4023</v>
      </c>
      <c r="J1382" t="s">
        <v>4026</v>
      </c>
      <c r="K1382" s="2">
        <v>44322</v>
      </c>
      <c r="L1382" s="2">
        <v>44325</v>
      </c>
      <c r="M1382">
        <v>5</v>
      </c>
      <c r="N1382">
        <v>72</v>
      </c>
      <c r="O1382">
        <f>IF(Tickets[[#This Row],[Ticket Priority]]="Critical",24,
IF(Tickets[[#This Row],[Ticket Priority]]="High",48,
IF(Tickets[[#This Row],[Ticket Priority]]="Medium",120,168)))</f>
        <v>120</v>
      </c>
      <c r="P1382" t="str">
        <f>IF(Tickets[[#This Row],[Resolution Duration Hours]] &lt;= Tickets[[#This Row],[SLA_Target_Hours]], "Yes", "No")</f>
        <v>Yes</v>
      </c>
    </row>
    <row r="1383" spans="1:16">
      <c r="A1383">
        <v>383</v>
      </c>
      <c r="B1383" t="s">
        <v>396</v>
      </c>
      <c r="C1383" t="s">
        <v>2366</v>
      </c>
      <c r="D1383" t="s">
        <v>3991</v>
      </c>
      <c r="E1383" s="1">
        <v>44810</v>
      </c>
      <c r="F1383" t="s">
        <v>4001</v>
      </c>
      <c r="G1383" t="s">
        <v>4005</v>
      </c>
      <c r="H1383" t="s">
        <v>4017</v>
      </c>
      <c r="I1383" t="s">
        <v>4023</v>
      </c>
      <c r="J1383" t="s">
        <v>4026</v>
      </c>
      <c r="K1383" s="2">
        <v>44956</v>
      </c>
      <c r="L1383" s="2">
        <v>44963</v>
      </c>
      <c r="N1383">
        <v>168</v>
      </c>
      <c r="O1383">
        <f>IF(Tickets[[#This Row],[Ticket Priority]]="Critical",24,
IF(Tickets[[#This Row],[Ticket Priority]]="High",48,
IF(Tickets[[#This Row],[Ticket Priority]]="Medium",120,168)))</f>
        <v>120</v>
      </c>
      <c r="P1383" t="str">
        <f>IF(Tickets[[#This Row],[Resolution Duration Hours]] &lt;= Tickets[[#This Row],[SLA_Target_Hours]], "Yes", "No")</f>
        <v>No</v>
      </c>
    </row>
    <row r="1384" spans="1:16" hidden="1">
      <c r="A1384">
        <v>1383</v>
      </c>
      <c r="B1384" t="s">
        <v>1384</v>
      </c>
      <c r="C1384" t="s">
        <v>3363</v>
      </c>
      <c r="D1384" t="s">
        <v>3993</v>
      </c>
      <c r="E1384" s="1">
        <v>44287</v>
      </c>
      <c r="F1384" t="s">
        <v>3999</v>
      </c>
      <c r="G1384" t="s">
        <v>4000</v>
      </c>
      <c r="H1384" t="s">
        <v>4020</v>
      </c>
      <c r="I1384" t="s">
        <v>4021</v>
      </c>
      <c r="J1384" t="s">
        <v>4028</v>
      </c>
      <c r="K1384" s="2">
        <v>44532</v>
      </c>
      <c r="L1384" s="2">
        <v>44534</v>
      </c>
      <c r="N1384">
        <v>48</v>
      </c>
      <c r="O1384">
        <f>IF(Tickets[[#This Row],[Ticket Priority]]="Critical",24,
IF(Tickets[[#This Row],[Ticket Priority]]="High",48,
IF(Tickets[[#This Row],[Ticket Priority]]="Medium",120,168)))</f>
        <v>48</v>
      </c>
      <c r="P1384" t="str">
        <f>IF(Tickets[[#This Row],[Resolution Duration Hours]] &lt;= Tickets[[#This Row],[SLA_Target_Hours]], "Yes", "No")</f>
        <v>Yes</v>
      </c>
    </row>
    <row r="1385" spans="1:16" hidden="1">
      <c r="A1385">
        <v>1384</v>
      </c>
      <c r="B1385" t="s">
        <v>1385</v>
      </c>
      <c r="C1385" t="s">
        <v>3364</v>
      </c>
      <c r="D1385" t="s">
        <v>3996</v>
      </c>
      <c r="E1385" s="1">
        <v>44159</v>
      </c>
      <c r="F1385" t="s">
        <v>4002</v>
      </c>
      <c r="G1385" t="s">
        <v>4009</v>
      </c>
      <c r="H1385" t="s">
        <v>4018</v>
      </c>
      <c r="I1385" t="s">
        <v>4023</v>
      </c>
      <c r="J1385" t="s">
        <v>4026</v>
      </c>
      <c r="K1385" s="2">
        <v>44168</v>
      </c>
      <c r="L1385" s="2">
        <v>44172</v>
      </c>
      <c r="M1385">
        <v>5</v>
      </c>
      <c r="N1385">
        <v>96</v>
      </c>
      <c r="O1385">
        <f>IF(Tickets[[#This Row],[Ticket Priority]]="Critical",24,
IF(Tickets[[#This Row],[Ticket Priority]]="High",48,
IF(Tickets[[#This Row],[Ticket Priority]]="Medium",120,168)))</f>
        <v>120</v>
      </c>
      <c r="P1385" t="str">
        <f>IF(Tickets[[#This Row],[Resolution Duration Hours]] &lt;= Tickets[[#This Row],[SLA_Target_Hours]], "Yes", "No")</f>
        <v>Yes</v>
      </c>
    </row>
    <row r="1386" spans="1:16">
      <c r="A1386">
        <v>570</v>
      </c>
      <c r="B1386" t="s">
        <v>580</v>
      </c>
      <c r="C1386" t="s">
        <v>2553</v>
      </c>
      <c r="D1386" t="s">
        <v>3979</v>
      </c>
      <c r="E1386" s="1">
        <v>44896</v>
      </c>
      <c r="F1386" t="s">
        <v>4000</v>
      </c>
      <c r="G1386" t="s">
        <v>4013</v>
      </c>
      <c r="H1386" t="s">
        <v>4020</v>
      </c>
      <c r="I1386" t="s">
        <v>4023</v>
      </c>
      <c r="J1386" t="s">
        <v>4028</v>
      </c>
      <c r="K1386" s="2">
        <v>44922</v>
      </c>
      <c r="L1386" s="2">
        <v>44929</v>
      </c>
      <c r="N1386">
        <v>168</v>
      </c>
      <c r="O1386">
        <f>IF(Tickets[[#This Row],[Ticket Priority]]="Critical",24,
IF(Tickets[[#This Row],[Ticket Priority]]="High",48,
IF(Tickets[[#This Row],[Ticket Priority]]="Medium",120,168)))</f>
        <v>120</v>
      </c>
      <c r="P1386" t="str">
        <f>IF(Tickets[[#This Row],[Resolution Duration Hours]] &lt;= Tickets[[#This Row],[SLA_Target_Hours]], "Yes", "No")</f>
        <v>No</v>
      </c>
    </row>
    <row r="1387" spans="1:16" hidden="1">
      <c r="A1387">
        <v>1386</v>
      </c>
      <c r="B1387" t="s">
        <v>1387</v>
      </c>
      <c r="C1387" t="s">
        <v>3366</v>
      </c>
      <c r="D1387" t="s">
        <v>3987</v>
      </c>
      <c r="E1387" s="1">
        <v>44709</v>
      </c>
      <c r="F1387" t="s">
        <v>3998</v>
      </c>
      <c r="G1387" t="s">
        <v>4012</v>
      </c>
      <c r="H1387" t="s">
        <v>4018</v>
      </c>
      <c r="I1387" t="s">
        <v>4023</v>
      </c>
      <c r="J1387" t="s">
        <v>4026</v>
      </c>
      <c r="K1387" s="2">
        <v>45030</v>
      </c>
      <c r="L1387" s="2">
        <v>45032</v>
      </c>
      <c r="M1387">
        <v>3</v>
      </c>
      <c r="N1387">
        <v>48</v>
      </c>
      <c r="O1387">
        <f>IF(Tickets[[#This Row],[Ticket Priority]]="Critical",24,
IF(Tickets[[#This Row],[Ticket Priority]]="High",48,
IF(Tickets[[#This Row],[Ticket Priority]]="Medium",120,168)))</f>
        <v>120</v>
      </c>
      <c r="P1387" t="str">
        <f>IF(Tickets[[#This Row],[Resolution Duration Hours]] &lt;= Tickets[[#This Row],[SLA_Target_Hours]], "Yes", "No")</f>
        <v>Yes</v>
      </c>
    </row>
    <row r="1388" spans="1:16" hidden="1">
      <c r="A1388">
        <v>1387</v>
      </c>
      <c r="B1388" t="s">
        <v>1388</v>
      </c>
      <c r="C1388" t="s">
        <v>3367</v>
      </c>
      <c r="D1388" t="s">
        <v>3983</v>
      </c>
      <c r="E1388" s="1">
        <v>45070</v>
      </c>
      <c r="F1388" t="s">
        <v>4000</v>
      </c>
      <c r="G1388" t="s">
        <v>4005</v>
      </c>
      <c r="H1388" t="s">
        <v>4019</v>
      </c>
      <c r="I1388" t="s">
        <v>4024</v>
      </c>
      <c r="J1388" t="s">
        <v>4028</v>
      </c>
      <c r="K1388" s="2">
        <v>45203</v>
      </c>
      <c r="L1388" s="2">
        <v>45209</v>
      </c>
      <c r="M1388">
        <v>4</v>
      </c>
      <c r="N1388">
        <v>144</v>
      </c>
      <c r="O1388">
        <f>IF(Tickets[[#This Row],[Ticket Priority]]="Critical",24,
IF(Tickets[[#This Row],[Ticket Priority]]="High",48,
IF(Tickets[[#This Row],[Ticket Priority]]="Medium",120,168)))</f>
        <v>168</v>
      </c>
      <c r="P1388" t="str">
        <f>IF(Tickets[[#This Row],[Resolution Duration Hours]] &lt;= Tickets[[#This Row],[SLA_Target_Hours]], "Yes", "No")</f>
        <v>Yes</v>
      </c>
    </row>
    <row r="1389" spans="1:16">
      <c r="A1389">
        <v>639</v>
      </c>
      <c r="B1389" t="s">
        <v>649</v>
      </c>
      <c r="C1389" t="s">
        <v>2622</v>
      </c>
      <c r="D1389" t="s">
        <v>3981</v>
      </c>
      <c r="E1389" s="1">
        <v>44252</v>
      </c>
      <c r="F1389" t="s">
        <v>4001</v>
      </c>
      <c r="G1389" t="s">
        <v>4005</v>
      </c>
      <c r="H1389" t="s">
        <v>4018</v>
      </c>
      <c r="I1389" t="s">
        <v>4023</v>
      </c>
      <c r="J1389" t="s">
        <v>4027</v>
      </c>
      <c r="K1389" s="2">
        <v>44325</v>
      </c>
      <c r="L1389" s="2">
        <v>44332</v>
      </c>
      <c r="M1389">
        <v>3</v>
      </c>
      <c r="N1389">
        <v>168</v>
      </c>
      <c r="O1389">
        <f>IF(Tickets[[#This Row],[Ticket Priority]]="Critical",24,
IF(Tickets[[#This Row],[Ticket Priority]]="High",48,
IF(Tickets[[#This Row],[Ticket Priority]]="Medium",120,168)))</f>
        <v>120</v>
      </c>
      <c r="P1389" t="str">
        <f>IF(Tickets[[#This Row],[Resolution Duration Hours]] &lt;= Tickets[[#This Row],[SLA_Target_Hours]], "Yes", "No")</f>
        <v>No</v>
      </c>
    </row>
    <row r="1390" spans="1:16" hidden="1">
      <c r="A1390">
        <v>1389</v>
      </c>
      <c r="B1390" t="s">
        <v>1390</v>
      </c>
      <c r="C1390" t="s">
        <v>3369</v>
      </c>
      <c r="D1390" t="s">
        <v>3986</v>
      </c>
      <c r="E1390" s="1">
        <v>44205</v>
      </c>
      <c r="F1390" t="s">
        <v>4001</v>
      </c>
      <c r="G1390" t="s">
        <v>4012</v>
      </c>
      <c r="H1390" t="s">
        <v>4020</v>
      </c>
      <c r="I1390" t="s">
        <v>4023</v>
      </c>
      <c r="J1390" t="s">
        <v>4026</v>
      </c>
      <c r="K1390" s="2">
        <v>44389</v>
      </c>
      <c r="L1390" s="2">
        <v>44392</v>
      </c>
      <c r="N1390">
        <v>72</v>
      </c>
      <c r="O1390">
        <f>IF(Tickets[[#This Row],[Ticket Priority]]="Critical",24,
IF(Tickets[[#This Row],[Ticket Priority]]="High",48,
IF(Tickets[[#This Row],[Ticket Priority]]="Medium",120,168)))</f>
        <v>120</v>
      </c>
      <c r="P1390" t="str">
        <f>IF(Tickets[[#This Row],[Resolution Duration Hours]] &lt;= Tickets[[#This Row],[SLA_Target_Hours]], "Yes", "No")</f>
        <v>Yes</v>
      </c>
    </row>
    <row r="1391" spans="1:16" hidden="1">
      <c r="A1391">
        <v>1390</v>
      </c>
      <c r="B1391" t="s">
        <v>1391</v>
      </c>
      <c r="C1391" t="s">
        <v>3370</v>
      </c>
      <c r="D1391" t="s">
        <v>3987</v>
      </c>
      <c r="E1391" s="1">
        <v>44845</v>
      </c>
      <c r="F1391" t="s">
        <v>4000</v>
      </c>
      <c r="G1391" t="s">
        <v>4009</v>
      </c>
      <c r="H1391" t="s">
        <v>4018</v>
      </c>
      <c r="I1391" t="s">
        <v>4024</v>
      </c>
      <c r="J1391" t="s">
        <v>4026</v>
      </c>
      <c r="K1391" s="2">
        <v>44955</v>
      </c>
      <c r="L1391" s="2">
        <v>44962</v>
      </c>
      <c r="M1391">
        <v>3</v>
      </c>
      <c r="N1391">
        <v>168</v>
      </c>
      <c r="O1391">
        <f>IF(Tickets[[#This Row],[Ticket Priority]]="Critical",24,
IF(Tickets[[#This Row],[Ticket Priority]]="High",48,
IF(Tickets[[#This Row],[Ticket Priority]]="Medium",120,168)))</f>
        <v>168</v>
      </c>
      <c r="P1391" t="str">
        <f>IF(Tickets[[#This Row],[Resolution Duration Hours]] &lt;= Tickets[[#This Row],[SLA_Target_Hours]], "Yes", "No")</f>
        <v>Yes</v>
      </c>
    </row>
    <row r="1392" spans="1:16">
      <c r="A1392">
        <v>646</v>
      </c>
      <c r="B1392" t="s">
        <v>656</v>
      </c>
      <c r="C1392" t="s">
        <v>2629</v>
      </c>
      <c r="D1392" t="s">
        <v>3981</v>
      </c>
      <c r="E1392" s="1">
        <v>44316</v>
      </c>
      <c r="F1392" t="s">
        <v>3998</v>
      </c>
      <c r="G1392" t="s">
        <v>4008</v>
      </c>
      <c r="H1392" t="s">
        <v>4018</v>
      </c>
      <c r="I1392" t="s">
        <v>4023</v>
      </c>
      <c r="J1392" t="s">
        <v>4026</v>
      </c>
      <c r="K1392" s="2">
        <v>44496</v>
      </c>
      <c r="L1392" s="2">
        <v>44503</v>
      </c>
      <c r="M1392">
        <v>5</v>
      </c>
      <c r="N1392">
        <v>168</v>
      </c>
      <c r="O1392">
        <f>IF(Tickets[[#This Row],[Ticket Priority]]="Critical",24,
IF(Tickets[[#This Row],[Ticket Priority]]="High",48,
IF(Tickets[[#This Row],[Ticket Priority]]="Medium",120,168)))</f>
        <v>120</v>
      </c>
      <c r="P1392" t="str">
        <f>IF(Tickets[[#This Row],[Resolution Duration Hours]] &lt;= Tickets[[#This Row],[SLA_Target_Hours]], "Yes", "No")</f>
        <v>No</v>
      </c>
    </row>
    <row r="1393" spans="1:16" hidden="1">
      <c r="A1393">
        <v>1392</v>
      </c>
      <c r="B1393" t="s">
        <v>1393</v>
      </c>
      <c r="C1393" t="s">
        <v>3372</v>
      </c>
      <c r="D1393" t="s">
        <v>3994</v>
      </c>
      <c r="E1393" s="1">
        <v>44485</v>
      </c>
      <c r="F1393" t="s">
        <v>4001</v>
      </c>
      <c r="G1393" t="s">
        <v>4007</v>
      </c>
      <c r="H1393" t="s">
        <v>4018</v>
      </c>
      <c r="I1393" t="s">
        <v>4024</v>
      </c>
      <c r="J1393" t="s">
        <v>4026</v>
      </c>
      <c r="K1393" s="2">
        <v>44490</v>
      </c>
      <c r="L1393" s="2">
        <v>44497</v>
      </c>
      <c r="M1393">
        <v>5</v>
      </c>
      <c r="N1393">
        <v>168</v>
      </c>
      <c r="O1393">
        <f>IF(Tickets[[#This Row],[Ticket Priority]]="Critical",24,
IF(Tickets[[#This Row],[Ticket Priority]]="High",48,
IF(Tickets[[#This Row],[Ticket Priority]]="Medium",120,168)))</f>
        <v>168</v>
      </c>
      <c r="P1393" t="str">
        <f>IF(Tickets[[#This Row],[Resolution Duration Hours]] &lt;= Tickets[[#This Row],[SLA_Target_Hours]], "Yes", "No")</f>
        <v>Yes</v>
      </c>
    </row>
    <row r="1394" spans="1:16" hidden="1">
      <c r="A1394">
        <v>1393</v>
      </c>
      <c r="B1394" t="s">
        <v>1394</v>
      </c>
      <c r="C1394" t="s">
        <v>3373</v>
      </c>
      <c r="D1394" t="s">
        <v>3989</v>
      </c>
      <c r="E1394" s="1">
        <v>44090</v>
      </c>
      <c r="F1394" t="s">
        <v>4001</v>
      </c>
      <c r="G1394" t="s">
        <v>4012</v>
      </c>
      <c r="H1394" t="s">
        <v>4018</v>
      </c>
      <c r="I1394" t="s">
        <v>4023</v>
      </c>
      <c r="J1394" t="s">
        <v>4026</v>
      </c>
      <c r="K1394" s="2">
        <v>44306</v>
      </c>
      <c r="L1394" s="2">
        <v>44310</v>
      </c>
      <c r="M1394">
        <v>4</v>
      </c>
      <c r="N1394">
        <v>96</v>
      </c>
      <c r="O1394">
        <f>IF(Tickets[[#This Row],[Ticket Priority]]="Critical",24,
IF(Tickets[[#This Row],[Ticket Priority]]="High",48,
IF(Tickets[[#This Row],[Ticket Priority]]="Medium",120,168)))</f>
        <v>120</v>
      </c>
      <c r="P1394" t="str">
        <f>IF(Tickets[[#This Row],[Resolution Duration Hours]] &lt;= Tickets[[#This Row],[SLA_Target_Hours]], "Yes", "No")</f>
        <v>Yes</v>
      </c>
    </row>
    <row r="1395" spans="1:16" hidden="1">
      <c r="A1395">
        <v>1394</v>
      </c>
      <c r="B1395" t="s">
        <v>1395</v>
      </c>
      <c r="C1395" t="s">
        <v>3374</v>
      </c>
      <c r="D1395" t="s">
        <v>3984</v>
      </c>
      <c r="E1395" s="1">
        <v>44501</v>
      </c>
      <c r="F1395" t="s">
        <v>4002</v>
      </c>
      <c r="G1395" t="s">
        <v>4010</v>
      </c>
      <c r="H1395" t="s">
        <v>4020</v>
      </c>
      <c r="I1395" t="s">
        <v>4023</v>
      </c>
      <c r="J1395" t="s">
        <v>4027</v>
      </c>
      <c r="K1395" s="2">
        <v>44605</v>
      </c>
      <c r="L1395" s="2">
        <v>44608</v>
      </c>
      <c r="N1395">
        <v>72</v>
      </c>
      <c r="O1395">
        <f>IF(Tickets[[#This Row],[Ticket Priority]]="Critical",24,
IF(Tickets[[#This Row],[Ticket Priority]]="High",48,
IF(Tickets[[#This Row],[Ticket Priority]]="Medium",120,168)))</f>
        <v>120</v>
      </c>
      <c r="P1395" t="str">
        <f>IF(Tickets[[#This Row],[Resolution Duration Hours]] &lt;= Tickets[[#This Row],[SLA_Target_Hours]], "Yes", "No")</f>
        <v>Yes</v>
      </c>
    </row>
    <row r="1396" spans="1:16" hidden="1">
      <c r="A1396">
        <v>1395</v>
      </c>
      <c r="B1396" t="s">
        <v>1396</v>
      </c>
      <c r="C1396" t="s">
        <v>3375</v>
      </c>
      <c r="D1396" t="s">
        <v>3979</v>
      </c>
      <c r="E1396" s="1">
        <v>44455</v>
      </c>
      <c r="F1396" t="s">
        <v>3998</v>
      </c>
      <c r="G1396" t="s">
        <v>4011</v>
      </c>
      <c r="H1396" t="s">
        <v>4018</v>
      </c>
      <c r="I1396" t="s">
        <v>4023</v>
      </c>
      <c r="J1396" t="s">
        <v>4026</v>
      </c>
      <c r="K1396" s="2">
        <v>44499</v>
      </c>
      <c r="L1396" s="2">
        <v>44502</v>
      </c>
      <c r="M1396">
        <v>5</v>
      </c>
      <c r="N1396">
        <v>72</v>
      </c>
      <c r="O1396">
        <f>IF(Tickets[[#This Row],[Ticket Priority]]="Critical",24,
IF(Tickets[[#This Row],[Ticket Priority]]="High",48,
IF(Tickets[[#This Row],[Ticket Priority]]="Medium",120,168)))</f>
        <v>120</v>
      </c>
      <c r="P1396" t="str">
        <f>IF(Tickets[[#This Row],[Resolution Duration Hours]] &lt;= Tickets[[#This Row],[SLA_Target_Hours]], "Yes", "No")</f>
        <v>Yes</v>
      </c>
    </row>
    <row r="1397" spans="1:16" hidden="1">
      <c r="A1397">
        <v>1396</v>
      </c>
      <c r="B1397" t="s">
        <v>1397</v>
      </c>
      <c r="C1397" t="s">
        <v>3376</v>
      </c>
      <c r="D1397" t="s">
        <v>3985</v>
      </c>
      <c r="E1397" s="1">
        <v>44788</v>
      </c>
      <c r="F1397" t="s">
        <v>4001</v>
      </c>
      <c r="G1397" t="s">
        <v>4009</v>
      </c>
      <c r="H1397" t="s">
        <v>4020</v>
      </c>
      <c r="I1397" t="s">
        <v>4024</v>
      </c>
      <c r="J1397" t="s">
        <v>4026</v>
      </c>
      <c r="K1397" s="2">
        <v>44898</v>
      </c>
      <c r="L1397" s="2">
        <v>44898</v>
      </c>
      <c r="N1397">
        <v>0</v>
      </c>
      <c r="O1397">
        <f>IF(Tickets[[#This Row],[Ticket Priority]]="Critical",24,
IF(Tickets[[#This Row],[Ticket Priority]]="High",48,
IF(Tickets[[#This Row],[Ticket Priority]]="Medium",120,168)))</f>
        <v>168</v>
      </c>
      <c r="P1397" t="str">
        <f>IF(Tickets[[#This Row],[Resolution Duration Hours]] &lt;= Tickets[[#This Row],[SLA_Target_Hours]], "Yes", "No")</f>
        <v>Yes</v>
      </c>
    </row>
    <row r="1398" spans="1:16">
      <c r="A1398">
        <v>698</v>
      </c>
      <c r="B1398" t="s">
        <v>708</v>
      </c>
      <c r="C1398" t="s">
        <v>2680</v>
      </c>
      <c r="D1398" t="s">
        <v>3982</v>
      </c>
      <c r="E1398" s="1">
        <v>44395</v>
      </c>
      <c r="F1398" t="s">
        <v>4000</v>
      </c>
      <c r="G1398" t="s">
        <v>4010</v>
      </c>
      <c r="H1398" t="s">
        <v>4020</v>
      </c>
      <c r="I1398" t="s">
        <v>4023</v>
      </c>
      <c r="J1398" t="s">
        <v>4028</v>
      </c>
      <c r="K1398" s="2">
        <v>44556</v>
      </c>
      <c r="L1398" s="2">
        <v>44563</v>
      </c>
      <c r="N1398">
        <v>168</v>
      </c>
      <c r="O1398">
        <f>IF(Tickets[[#This Row],[Ticket Priority]]="Critical",24,
IF(Tickets[[#This Row],[Ticket Priority]]="High",48,
IF(Tickets[[#This Row],[Ticket Priority]]="Medium",120,168)))</f>
        <v>120</v>
      </c>
      <c r="P1398" t="str">
        <f>IF(Tickets[[#This Row],[Resolution Duration Hours]] &lt;= Tickets[[#This Row],[SLA_Target_Hours]], "Yes", "No")</f>
        <v>No</v>
      </c>
    </row>
    <row r="1399" spans="1:16" hidden="1">
      <c r="A1399">
        <v>1398</v>
      </c>
      <c r="B1399" t="s">
        <v>1399</v>
      </c>
      <c r="C1399" t="s">
        <v>3378</v>
      </c>
      <c r="D1399" t="s">
        <v>3989</v>
      </c>
      <c r="E1399" s="1">
        <v>43961</v>
      </c>
      <c r="F1399" t="s">
        <v>4000</v>
      </c>
      <c r="G1399" t="s">
        <v>4004</v>
      </c>
      <c r="H1399" t="s">
        <v>4017</v>
      </c>
      <c r="I1399" t="s">
        <v>4024</v>
      </c>
      <c r="J1399" t="s">
        <v>4028</v>
      </c>
      <c r="K1399" s="2">
        <v>44081</v>
      </c>
      <c r="L1399" s="2">
        <v>44087</v>
      </c>
      <c r="N1399">
        <v>144</v>
      </c>
      <c r="O1399">
        <f>IF(Tickets[[#This Row],[Ticket Priority]]="Critical",24,
IF(Tickets[[#This Row],[Ticket Priority]]="High",48,
IF(Tickets[[#This Row],[Ticket Priority]]="Medium",120,168)))</f>
        <v>168</v>
      </c>
      <c r="P1399" t="str">
        <f>IF(Tickets[[#This Row],[Resolution Duration Hours]] &lt;= Tickets[[#This Row],[SLA_Target_Hours]], "Yes", "No")</f>
        <v>Yes</v>
      </c>
    </row>
    <row r="1400" spans="1:16" hidden="1">
      <c r="A1400">
        <v>1399</v>
      </c>
      <c r="B1400" t="s">
        <v>1400</v>
      </c>
      <c r="C1400" t="s">
        <v>3379</v>
      </c>
      <c r="D1400" t="s">
        <v>3992</v>
      </c>
      <c r="E1400" s="1">
        <v>44621</v>
      </c>
      <c r="F1400" t="s">
        <v>4000</v>
      </c>
      <c r="G1400" t="s">
        <v>4004</v>
      </c>
      <c r="H1400" t="s">
        <v>4017</v>
      </c>
      <c r="I1400" t="s">
        <v>4024</v>
      </c>
      <c r="J1400" t="s">
        <v>4026</v>
      </c>
      <c r="K1400" s="2">
        <v>44739</v>
      </c>
      <c r="L1400" s="2">
        <v>44744</v>
      </c>
      <c r="N1400">
        <v>120</v>
      </c>
      <c r="O1400">
        <f>IF(Tickets[[#This Row],[Ticket Priority]]="Critical",24,
IF(Tickets[[#This Row],[Ticket Priority]]="High",48,
IF(Tickets[[#This Row],[Ticket Priority]]="Medium",120,168)))</f>
        <v>168</v>
      </c>
      <c r="P1400" t="str">
        <f>IF(Tickets[[#This Row],[Resolution Duration Hours]] &lt;= Tickets[[#This Row],[SLA_Target_Hours]], "Yes", "No")</f>
        <v>Yes</v>
      </c>
    </row>
    <row r="1401" spans="1:16" hidden="1">
      <c r="A1401">
        <v>1400</v>
      </c>
      <c r="B1401" t="s">
        <v>1401</v>
      </c>
      <c r="C1401" t="s">
        <v>3380</v>
      </c>
      <c r="D1401" t="s">
        <v>3982</v>
      </c>
      <c r="E1401" s="1">
        <v>44635</v>
      </c>
      <c r="F1401" t="s">
        <v>3999</v>
      </c>
      <c r="G1401" t="s">
        <v>4000</v>
      </c>
      <c r="H1401" t="s">
        <v>4017</v>
      </c>
      <c r="I1401" t="s">
        <v>4023</v>
      </c>
      <c r="J1401" t="s">
        <v>4025</v>
      </c>
      <c r="K1401" s="2">
        <v>44826</v>
      </c>
      <c r="L1401" s="2">
        <v>44830</v>
      </c>
      <c r="N1401">
        <v>96</v>
      </c>
      <c r="O1401">
        <f>IF(Tickets[[#This Row],[Ticket Priority]]="Critical",24,
IF(Tickets[[#This Row],[Ticket Priority]]="High",48,
IF(Tickets[[#This Row],[Ticket Priority]]="Medium",120,168)))</f>
        <v>120</v>
      </c>
      <c r="P1401" t="str">
        <f>IF(Tickets[[#This Row],[Resolution Duration Hours]] &lt;= Tickets[[#This Row],[SLA_Target_Hours]], "Yes", "No")</f>
        <v>Yes</v>
      </c>
    </row>
    <row r="1402" spans="1:16" hidden="1">
      <c r="A1402">
        <v>1401</v>
      </c>
      <c r="B1402" t="s">
        <v>1402</v>
      </c>
      <c r="C1402" t="s">
        <v>3381</v>
      </c>
      <c r="D1402" t="s">
        <v>3982</v>
      </c>
      <c r="E1402" s="1">
        <v>45007</v>
      </c>
      <c r="F1402" t="s">
        <v>4000</v>
      </c>
      <c r="G1402" t="s">
        <v>4013</v>
      </c>
      <c r="H1402" t="s">
        <v>4020</v>
      </c>
      <c r="I1402" t="s">
        <v>4023</v>
      </c>
      <c r="J1402" t="s">
        <v>4025</v>
      </c>
      <c r="K1402" s="2">
        <v>45304</v>
      </c>
      <c r="L1402" s="2">
        <v>45305</v>
      </c>
      <c r="N1402">
        <v>24</v>
      </c>
      <c r="O1402">
        <f>IF(Tickets[[#This Row],[Ticket Priority]]="Critical",24,
IF(Tickets[[#This Row],[Ticket Priority]]="High",48,
IF(Tickets[[#This Row],[Ticket Priority]]="Medium",120,168)))</f>
        <v>120</v>
      </c>
      <c r="P1402" t="str">
        <f>IF(Tickets[[#This Row],[Resolution Duration Hours]] &lt;= Tickets[[#This Row],[SLA_Target_Hours]], "Yes", "No")</f>
        <v>Yes</v>
      </c>
    </row>
    <row r="1403" spans="1:16" hidden="1">
      <c r="A1403">
        <v>1402</v>
      </c>
      <c r="B1403" t="s">
        <v>1403</v>
      </c>
      <c r="C1403" t="s">
        <v>3382</v>
      </c>
      <c r="D1403" t="s">
        <v>3991</v>
      </c>
      <c r="E1403" s="1">
        <v>44319</v>
      </c>
      <c r="F1403" t="s">
        <v>4000</v>
      </c>
      <c r="G1403" t="s">
        <v>4011</v>
      </c>
      <c r="H1403" t="s">
        <v>4018</v>
      </c>
      <c r="I1403" t="s">
        <v>4023</v>
      </c>
      <c r="J1403" t="s">
        <v>4026</v>
      </c>
      <c r="K1403" s="2">
        <v>44527</v>
      </c>
      <c r="L1403" s="2">
        <v>44531</v>
      </c>
      <c r="M1403">
        <v>5</v>
      </c>
      <c r="N1403">
        <v>96</v>
      </c>
      <c r="O1403">
        <f>IF(Tickets[[#This Row],[Ticket Priority]]="Critical",24,
IF(Tickets[[#This Row],[Ticket Priority]]="High",48,
IF(Tickets[[#This Row],[Ticket Priority]]="Medium",120,168)))</f>
        <v>120</v>
      </c>
      <c r="P1403" t="str">
        <f>IF(Tickets[[#This Row],[Resolution Duration Hours]] &lt;= Tickets[[#This Row],[SLA_Target_Hours]], "Yes", "No")</f>
        <v>Yes</v>
      </c>
    </row>
    <row r="1404" spans="1:16" hidden="1">
      <c r="A1404">
        <v>1403</v>
      </c>
      <c r="B1404" t="s">
        <v>1404</v>
      </c>
      <c r="C1404" t="s">
        <v>3383</v>
      </c>
      <c r="D1404" t="s">
        <v>3982</v>
      </c>
      <c r="E1404" s="1">
        <v>44234</v>
      </c>
      <c r="F1404" t="s">
        <v>4002</v>
      </c>
      <c r="G1404" t="s">
        <v>4016</v>
      </c>
      <c r="H1404" t="s">
        <v>4017</v>
      </c>
      <c r="I1404" t="s">
        <v>4024</v>
      </c>
      <c r="J1404" t="s">
        <v>4026</v>
      </c>
      <c r="K1404" s="2">
        <v>44255</v>
      </c>
      <c r="L1404" s="2">
        <v>44258</v>
      </c>
      <c r="N1404">
        <v>72</v>
      </c>
      <c r="O1404">
        <f>IF(Tickets[[#This Row],[Ticket Priority]]="Critical",24,
IF(Tickets[[#This Row],[Ticket Priority]]="High",48,
IF(Tickets[[#This Row],[Ticket Priority]]="Medium",120,168)))</f>
        <v>168</v>
      </c>
      <c r="P1404" t="str">
        <f>IF(Tickets[[#This Row],[Resolution Duration Hours]] &lt;= Tickets[[#This Row],[SLA_Target_Hours]], "Yes", "No")</f>
        <v>Yes</v>
      </c>
    </row>
    <row r="1405" spans="1:16" hidden="1">
      <c r="A1405">
        <v>1404</v>
      </c>
      <c r="B1405" t="s">
        <v>1405</v>
      </c>
      <c r="C1405" t="s">
        <v>3384</v>
      </c>
      <c r="D1405" t="s">
        <v>3980</v>
      </c>
      <c r="E1405" s="1">
        <v>45003</v>
      </c>
      <c r="F1405" t="s">
        <v>3998</v>
      </c>
      <c r="G1405" t="s">
        <v>4004</v>
      </c>
      <c r="H1405" t="s">
        <v>4020</v>
      </c>
      <c r="I1405" t="s">
        <v>4024</v>
      </c>
      <c r="J1405" t="s">
        <v>4027</v>
      </c>
      <c r="K1405" s="2">
        <v>45075</v>
      </c>
      <c r="L1405" s="2">
        <v>45082</v>
      </c>
      <c r="N1405">
        <v>168</v>
      </c>
      <c r="O1405">
        <f>IF(Tickets[[#This Row],[Ticket Priority]]="Critical",24,
IF(Tickets[[#This Row],[Ticket Priority]]="High",48,
IF(Tickets[[#This Row],[Ticket Priority]]="Medium",120,168)))</f>
        <v>168</v>
      </c>
      <c r="P1405" t="str">
        <f>IF(Tickets[[#This Row],[Resolution Duration Hours]] &lt;= Tickets[[#This Row],[SLA_Target_Hours]], "Yes", "No")</f>
        <v>Yes</v>
      </c>
    </row>
    <row r="1406" spans="1:16" hidden="1">
      <c r="A1406">
        <v>1405</v>
      </c>
      <c r="B1406" t="s">
        <v>1406</v>
      </c>
      <c r="C1406" t="s">
        <v>3385</v>
      </c>
      <c r="D1406" t="s">
        <v>3994</v>
      </c>
      <c r="E1406" s="1">
        <v>44405</v>
      </c>
      <c r="F1406" t="s">
        <v>3999</v>
      </c>
      <c r="G1406" t="s">
        <v>4011</v>
      </c>
      <c r="H1406" t="s">
        <v>4018</v>
      </c>
      <c r="I1406" t="s">
        <v>4022</v>
      </c>
      <c r="J1406" t="s">
        <v>4026</v>
      </c>
      <c r="K1406" s="2">
        <v>44671</v>
      </c>
      <c r="L1406" s="2">
        <v>44671</v>
      </c>
      <c r="M1406">
        <v>4</v>
      </c>
      <c r="N1406">
        <v>0</v>
      </c>
      <c r="O1406">
        <f>IF(Tickets[[#This Row],[Ticket Priority]]="Critical",24,
IF(Tickets[[#This Row],[Ticket Priority]]="High",48,
IF(Tickets[[#This Row],[Ticket Priority]]="Medium",120,168)))</f>
        <v>24</v>
      </c>
      <c r="P1406" t="str">
        <f>IF(Tickets[[#This Row],[Resolution Duration Hours]] &lt;= Tickets[[#This Row],[SLA_Target_Hours]], "Yes", "No")</f>
        <v>Yes</v>
      </c>
    </row>
    <row r="1407" spans="1:16" hidden="1">
      <c r="A1407">
        <v>1406</v>
      </c>
      <c r="B1407" t="s">
        <v>1407</v>
      </c>
      <c r="C1407" t="s">
        <v>3386</v>
      </c>
      <c r="D1407" t="s">
        <v>3981</v>
      </c>
      <c r="E1407" s="1">
        <v>44001</v>
      </c>
      <c r="F1407" t="s">
        <v>4001</v>
      </c>
      <c r="G1407" t="s">
        <v>4005</v>
      </c>
      <c r="H1407" t="s">
        <v>4018</v>
      </c>
      <c r="I1407" t="s">
        <v>4023</v>
      </c>
      <c r="J1407" t="s">
        <v>4026</v>
      </c>
      <c r="K1407" s="2">
        <v>44281</v>
      </c>
      <c r="L1407" s="2">
        <v>44285</v>
      </c>
      <c r="M1407">
        <v>3</v>
      </c>
      <c r="N1407">
        <v>96</v>
      </c>
      <c r="O1407">
        <f>IF(Tickets[[#This Row],[Ticket Priority]]="Critical",24,
IF(Tickets[[#This Row],[Ticket Priority]]="High",48,
IF(Tickets[[#This Row],[Ticket Priority]]="Medium",120,168)))</f>
        <v>120</v>
      </c>
      <c r="P1407" t="str">
        <f>IF(Tickets[[#This Row],[Resolution Duration Hours]] &lt;= Tickets[[#This Row],[SLA_Target_Hours]], "Yes", "No")</f>
        <v>Yes</v>
      </c>
    </row>
    <row r="1408" spans="1:16">
      <c r="A1408">
        <v>707</v>
      </c>
      <c r="B1408" t="s">
        <v>717</v>
      </c>
      <c r="C1408" t="s">
        <v>2689</v>
      </c>
      <c r="D1408" t="s">
        <v>3995</v>
      </c>
      <c r="E1408" s="1">
        <v>44728</v>
      </c>
      <c r="F1408" t="s">
        <v>4002</v>
      </c>
      <c r="G1408" t="s">
        <v>4011</v>
      </c>
      <c r="H1408" t="s">
        <v>4017</v>
      </c>
      <c r="I1408" t="s">
        <v>4023</v>
      </c>
      <c r="J1408" t="s">
        <v>4026</v>
      </c>
      <c r="K1408" s="2">
        <v>44886</v>
      </c>
      <c r="L1408" s="2">
        <v>44893</v>
      </c>
      <c r="N1408">
        <v>168</v>
      </c>
      <c r="O1408">
        <f>IF(Tickets[[#This Row],[Ticket Priority]]="Critical",24,
IF(Tickets[[#This Row],[Ticket Priority]]="High",48,
IF(Tickets[[#This Row],[Ticket Priority]]="Medium",120,168)))</f>
        <v>120</v>
      </c>
      <c r="P1408" t="str">
        <f>IF(Tickets[[#This Row],[Resolution Duration Hours]] &lt;= Tickets[[#This Row],[SLA_Target_Hours]], "Yes", "No")</f>
        <v>No</v>
      </c>
    </row>
    <row r="1409" spans="1:16">
      <c r="A1409">
        <v>733</v>
      </c>
      <c r="B1409" t="s">
        <v>742</v>
      </c>
      <c r="C1409" t="s">
        <v>2715</v>
      </c>
      <c r="D1409" t="s">
        <v>3985</v>
      </c>
      <c r="E1409" s="1">
        <v>43847</v>
      </c>
      <c r="F1409" t="s">
        <v>4001</v>
      </c>
      <c r="G1409" t="s">
        <v>4011</v>
      </c>
      <c r="H1409" t="s">
        <v>4020</v>
      </c>
      <c r="I1409" t="s">
        <v>4023</v>
      </c>
      <c r="J1409" t="s">
        <v>4026</v>
      </c>
      <c r="K1409" s="2">
        <v>44066</v>
      </c>
      <c r="L1409" s="2">
        <v>44073</v>
      </c>
      <c r="N1409">
        <v>168</v>
      </c>
      <c r="O1409">
        <f>IF(Tickets[[#This Row],[Ticket Priority]]="Critical",24,
IF(Tickets[[#This Row],[Ticket Priority]]="High",48,
IF(Tickets[[#This Row],[Ticket Priority]]="Medium",120,168)))</f>
        <v>120</v>
      </c>
      <c r="P1409" t="str">
        <f>IF(Tickets[[#This Row],[Resolution Duration Hours]] &lt;= Tickets[[#This Row],[SLA_Target_Hours]], "Yes", "No")</f>
        <v>No</v>
      </c>
    </row>
    <row r="1410" spans="1:16" hidden="1">
      <c r="A1410">
        <v>1409</v>
      </c>
      <c r="B1410" t="s">
        <v>1410</v>
      </c>
      <c r="C1410" t="s">
        <v>3389</v>
      </c>
      <c r="D1410" t="s">
        <v>3989</v>
      </c>
      <c r="E1410" s="1">
        <v>44504</v>
      </c>
      <c r="F1410" t="s">
        <v>4000</v>
      </c>
      <c r="G1410" t="s">
        <v>4003</v>
      </c>
      <c r="H1410" t="s">
        <v>4018</v>
      </c>
      <c r="I1410" t="s">
        <v>4023</v>
      </c>
      <c r="J1410" t="s">
        <v>4026</v>
      </c>
      <c r="K1410" s="2">
        <v>44516</v>
      </c>
      <c r="L1410" s="2">
        <v>44521</v>
      </c>
      <c r="M1410">
        <v>3</v>
      </c>
      <c r="N1410">
        <v>120</v>
      </c>
      <c r="O1410">
        <f>IF(Tickets[[#This Row],[Ticket Priority]]="Critical",24,
IF(Tickets[[#This Row],[Ticket Priority]]="High",48,
IF(Tickets[[#This Row],[Ticket Priority]]="Medium",120,168)))</f>
        <v>120</v>
      </c>
      <c r="P1410" t="str">
        <f>IF(Tickets[[#This Row],[Resolution Duration Hours]] &lt;= Tickets[[#This Row],[SLA_Target_Hours]], "Yes", "No")</f>
        <v>Yes</v>
      </c>
    </row>
    <row r="1411" spans="1:16" hidden="1">
      <c r="A1411">
        <v>1410</v>
      </c>
      <c r="B1411" t="s">
        <v>539</v>
      </c>
      <c r="C1411" t="s">
        <v>3390</v>
      </c>
      <c r="D1411" t="s">
        <v>3981</v>
      </c>
      <c r="E1411" s="1">
        <v>43886</v>
      </c>
      <c r="F1411" t="s">
        <v>3998</v>
      </c>
      <c r="G1411" t="s">
        <v>4006</v>
      </c>
      <c r="H1411" t="s">
        <v>4018</v>
      </c>
      <c r="I1411" t="s">
        <v>4024</v>
      </c>
      <c r="J1411" t="s">
        <v>4026</v>
      </c>
      <c r="K1411" s="2">
        <v>44224</v>
      </c>
      <c r="L1411" s="2">
        <v>44228</v>
      </c>
      <c r="M1411">
        <v>4</v>
      </c>
      <c r="N1411">
        <v>96</v>
      </c>
      <c r="O1411">
        <f>IF(Tickets[[#This Row],[Ticket Priority]]="Critical",24,
IF(Tickets[[#This Row],[Ticket Priority]]="High",48,
IF(Tickets[[#This Row],[Ticket Priority]]="Medium",120,168)))</f>
        <v>168</v>
      </c>
      <c r="P1411" t="str">
        <f>IF(Tickets[[#This Row],[Resolution Duration Hours]] &lt;= Tickets[[#This Row],[SLA_Target_Hours]], "Yes", "No")</f>
        <v>Yes</v>
      </c>
    </row>
    <row r="1412" spans="1:16">
      <c r="A1412">
        <v>738</v>
      </c>
      <c r="B1412" t="s">
        <v>747</v>
      </c>
      <c r="C1412" t="s">
        <v>2720</v>
      </c>
      <c r="D1412" t="s">
        <v>3986</v>
      </c>
      <c r="E1412" s="1">
        <v>44425</v>
      </c>
      <c r="F1412" t="s">
        <v>3999</v>
      </c>
      <c r="G1412" t="s">
        <v>4005</v>
      </c>
      <c r="H1412" t="s">
        <v>4018</v>
      </c>
      <c r="I1412" t="s">
        <v>4023</v>
      </c>
      <c r="J1412" t="s">
        <v>4027</v>
      </c>
      <c r="K1412" s="2">
        <v>44468</v>
      </c>
      <c r="L1412" s="2">
        <v>44475</v>
      </c>
      <c r="M1412">
        <v>5</v>
      </c>
      <c r="N1412">
        <v>168</v>
      </c>
      <c r="O1412">
        <f>IF(Tickets[[#This Row],[Ticket Priority]]="Critical",24,
IF(Tickets[[#This Row],[Ticket Priority]]="High",48,
IF(Tickets[[#This Row],[Ticket Priority]]="Medium",120,168)))</f>
        <v>120</v>
      </c>
      <c r="P1412" t="str">
        <f>IF(Tickets[[#This Row],[Resolution Duration Hours]] &lt;= Tickets[[#This Row],[SLA_Target_Hours]], "Yes", "No")</f>
        <v>No</v>
      </c>
    </row>
    <row r="1413" spans="1:16" hidden="1">
      <c r="A1413">
        <v>1412</v>
      </c>
      <c r="B1413" t="s">
        <v>1412</v>
      </c>
      <c r="C1413" t="s">
        <v>3392</v>
      </c>
      <c r="D1413" t="s">
        <v>3979</v>
      </c>
      <c r="E1413" s="1">
        <v>43968</v>
      </c>
      <c r="F1413" t="s">
        <v>4001</v>
      </c>
      <c r="G1413" t="s">
        <v>4011</v>
      </c>
      <c r="H1413" t="s">
        <v>4018</v>
      </c>
      <c r="I1413" t="s">
        <v>4023</v>
      </c>
      <c r="J1413" t="s">
        <v>4026</v>
      </c>
      <c r="K1413" s="2">
        <v>44184</v>
      </c>
      <c r="L1413" s="2">
        <v>44187</v>
      </c>
      <c r="M1413">
        <v>4</v>
      </c>
      <c r="N1413">
        <v>72</v>
      </c>
      <c r="O1413">
        <f>IF(Tickets[[#This Row],[Ticket Priority]]="Critical",24,
IF(Tickets[[#This Row],[Ticket Priority]]="High",48,
IF(Tickets[[#This Row],[Ticket Priority]]="Medium",120,168)))</f>
        <v>120</v>
      </c>
      <c r="P1413" t="str">
        <f>IF(Tickets[[#This Row],[Resolution Duration Hours]] &lt;= Tickets[[#This Row],[SLA_Target_Hours]], "Yes", "No")</f>
        <v>Yes</v>
      </c>
    </row>
    <row r="1414" spans="1:16" hidden="1">
      <c r="A1414">
        <v>1413</v>
      </c>
      <c r="B1414" t="s">
        <v>1413</v>
      </c>
      <c r="C1414" t="s">
        <v>3393</v>
      </c>
      <c r="D1414" t="s">
        <v>3988</v>
      </c>
      <c r="E1414" s="1">
        <v>44154</v>
      </c>
      <c r="F1414" t="s">
        <v>4000</v>
      </c>
      <c r="G1414" t="s">
        <v>4015</v>
      </c>
      <c r="H1414" t="s">
        <v>4018</v>
      </c>
      <c r="I1414" t="s">
        <v>4021</v>
      </c>
      <c r="J1414" t="s">
        <v>4026</v>
      </c>
      <c r="K1414" s="2">
        <v>44397</v>
      </c>
      <c r="L1414" s="2">
        <v>44397</v>
      </c>
      <c r="M1414">
        <v>4</v>
      </c>
      <c r="N1414">
        <v>0</v>
      </c>
      <c r="O1414">
        <f>IF(Tickets[[#This Row],[Ticket Priority]]="Critical",24,
IF(Tickets[[#This Row],[Ticket Priority]]="High",48,
IF(Tickets[[#This Row],[Ticket Priority]]="Medium",120,168)))</f>
        <v>48</v>
      </c>
      <c r="P1414" t="str">
        <f>IF(Tickets[[#This Row],[Resolution Duration Hours]] &lt;= Tickets[[#This Row],[SLA_Target_Hours]], "Yes", "No")</f>
        <v>Yes</v>
      </c>
    </row>
    <row r="1415" spans="1:16" hidden="1">
      <c r="A1415">
        <v>1414</v>
      </c>
      <c r="B1415" t="s">
        <v>1414</v>
      </c>
      <c r="C1415" t="s">
        <v>3394</v>
      </c>
      <c r="D1415" t="s">
        <v>3992</v>
      </c>
      <c r="E1415" s="1">
        <v>44372</v>
      </c>
      <c r="F1415" t="s">
        <v>4002</v>
      </c>
      <c r="G1415" t="s">
        <v>4009</v>
      </c>
      <c r="H1415" t="s">
        <v>4018</v>
      </c>
      <c r="I1415" t="s">
        <v>4023</v>
      </c>
      <c r="J1415" t="s">
        <v>4026</v>
      </c>
      <c r="K1415" s="2">
        <v>44389</v>
      </c>
      <c r="L1415" s="2">
        <v>44394</v>
      </c>
      <c r="N1415">
        <v>120</v>
      </c>
      <c r="O1415">
        <f>IF(Tickets[[#This Row],[Ticket Priority]]="Critical",24,
IF(Tickets[[#This Row],[Ticket Priority]]="High",48,
IF(Tickets[[#This Row],[Ticket Priority]]="Medium",120,168)))</f>
        <v>120</v>
      </c>
      <c r="P1415" t="str">
        <f>IF(Tickets[[#This Row],[Resolution Duration Hours]] &lt;= Tickets[[#This Row],[SLA_Target_Hours]], "Yes", "No")</f>
        <v>Yes</v>
      </c>
    </row>
    <row r="1416" spans="1:16" hidden="1">
      <c r="A1416">
        <v>1415</v>
      </c>
      <c r="B1416" t="s">
        <v>1415</v>
      </c>
      <c r="C1416" t="s">
        <v>3395</v>
      </c>
      <c r="D1416" t="s">
        <v>3987</v>
      </c>
      <c r="E1416" s="1">
        <v>45068</v>
      </c>
      <c r="F1416" t="s">
        <v>4001</v>
      </c>
      <c r="G1416" t="s">
        <v>4012</v>
      </c>
      <c r="H1416" t="s">
        <v>4018</v>
      </c>
      <c r="I1416" t="s">
        <v>4023</v>
      </c>
      <c r="J1416" t="s">
        <v>4027</v>
      </c>
      <c r="K1416" s="2">
        <v>45327</v>
      </c>
      <c r="L1416" s="2">
        <v>45330</v>
      </c>
      <c r="M1416">
        <v>4</v>
      </c>
      <c r="N1416">
        <v>72</v>
      </c>
      <c r="O1416">
        <f>IF(Tickets[[#This Row],[Ticket Priority]]="Critical",24,
IF(Tickets[[#This Row],[Ticket Priority]]="High",48,
IF(Tickets[[#This Row],[Ticket Priority]]="Medium",120,168)))</f>
        <v>120</v>
      </c>
      <c r="P1416" t="str">
        <f>IF(Tickets[[#This Row],[Resolution Duration Hours]] &lt;= Tickets[[#This Row],[SLA_Target_Hours]], "Yes", "No")</f>
        <v>Yes</v>
      </c>
    </row>
    <row r="1417" spans="1:16" hidden="1">
      <c r="A1417">
        <v>1416</v>
      </c>
      <c r="B1417" t="s">
        <v>1416</v>
      </c>
      <c r="C1417" t="s">
        <v>3396</v>
      </c>
      <c r="D1417" t="s">
        <v>3997</v>
      </c>
      <c r="E1417" s="1">
        <v>44525</v>
      </c>
      <c r="F1417" t="s">
        <v>4000</v>
      </c>
      <c r="G1417" t="s">
        <v>4003</v>
      </c>
      <c r="H1417" t="s">
        <v>4017</v>
      </c>
      <c r="I1417" t="s">
        <v>4023</v>
      </c>
      <c r="J1417" t="s">
        <v>4028</v>
      </c>
      <c r="K1417" s="2">
        <v>44776</v>
      </c>
      <c r="L1417" s="2">
        <v>44780</v>
      </c>
      <c r="N1417">
        <v>96</v>
      </c>
      <c r="O1417">
        <f>IF(Tickets[[#This Row],[Ticket Priority]]="Critical",24,
IF(Tickets[[#This Row],[Ticket Priority]]="High",48,
IF(Tickets[[#This Row],[Ticket Priority]]="Medium",120,168)))</f>
        <v>120</v>
      </c>
      <c r="P1417" t="str">
        <f>IF(Tickets[[#This Row],[Resolution Duration Hours]] &lt;= Tickets[[#This Row],[SLA_Target_Hours]], "Yes", "No")</f>
        <v>Yes</v>
      </c>
    </row>
    <row r="1418" spans="1:16">
      <c r="A1418">
        <v>901</v>
      </c>
      <c r="B1418" t="s">
        <v>909</v>
      </c>
      <c r="C1418" t="s">
        <v>2883</v>
      </c>
      <c r="D1418" t="s">
        <v>3984</v>
      </c>
      <c r="E1418" s="1">
        <v>44403</v>
      </c>
      <c r="F1418" t="s">
        <v>4002</v>
      </c>
      <c r="G1418" t="s">
        <v>4000</v>
      </c>
      <c r="H1418" t="s">
        <v>4018</v>
      </c>
      <c r="I1418" t="s">
        <v>4022</v>
      </c>
      <c r="J1418" t="s">
        <v>4026</v>
      </c>
      <c r="K1418" s="2">
        <v>44719</v>
      </c>
      <c r="L1418" s="2">
        <v>44726</v>
      </c>
      <c r="M1418">
        <v>4</v>
      </c>
      <c r="N1418">
        <v>168</v>
      </c>
      <c r="O1418">
        <f>IF(Tickets[[#This Row],[Ticket Priority]]="Critical",24,
IF(Tickets[[#This Row],[Ticket Priority]]="High",48,
IF(Tickets[[#This Row],[Ticket Priority]]="Medium",120,168)))</f>
        <v>24</v>
      </c>
      <c r="P1418" t="str">
        <f>IF(Tickets[[#This Row],[Resolution Duration Hours]] &lt;= Tickets[[#This Row],[SLA_Target_Hours]], "Yes", "No")</f>
        <v>No</v>
      </c>
    </row>
    <row r="1419" spans="1:16" hidden="1">
      <c r="A1419">
        <v>1418</v>
      </c>
      <c r="B1419" t="s">
        <v>1418</v>
      </c>
      <c r="C1419" t="s">
        <v>3398</v>
      </c>
      <c r="D1419" t="s">
        <v>3980</v>
      </c>
      <c r="E1419" s="1">
        <v>44471</v>
      </c>
      <c r="F1419" t="s">
        <v>3998</v>
      </c>
      <c r="G1419" t="s">
        <v>4009</v>
      </c>
      <c r="H1419" t="s">
        <v>4018</v>
      </c>
      <c r="I1419" t="s">
        <v>4023</v>
      </c>
      <c r="J1419" t="s">
        <v>4026</v>
      </c>
      <c r="K1419" s="2">
        <v>44723</v>
      </c>
      <c r="L1419" s="2">
        <v>44726</v>
      </c>
      <c r="M1419">
        <v>5</v>
      </c>
      <c r="N1419">
        <v>72</v>
      </c>
      <c r="O1419">
        <f>IF(Tickets[[#This Row],[Ticket Priority]]="Critical",24,
IF(Tickets[[#This Row],[Ticket Priority]]="High",48,
IF(Tickets[[#This Row],[Ticket Priority]]="Medium",120,168)))</f>
        <v>120</v>
      </c>
      <c r="P1419" t="str">
        <f>IF(Tickets[[#This Row],[Resolution Duration Hours]] &lt;= Tickets[[#This Row],[SLA_Target_Hours]], "Yes", "No")</f>
        <v>Yes</v>
      </c>
    </row>
    <row r="1420" spans="1:16" hidden="1">
      <c r="A1420">
        <v>1419</v>
      </c>
      <c r="B1420" t="s">
        <v>1419</v>
      </c>
      <c r="C1420" t="s">
        <v>3399</v>
      </c>
      <c r="D1420" t="s">
        <v>3992</v>
      </c>
      <c r="E1420" s="1">
        <v>44704</v>
      </c>
      <c r="F1420" t="s">
        <v>4000</v>
      </c>
      <c r="G1420" t="s">
        <v>4011</v>
      </c>
      <c r="H1420" t="s">
        <v>4018</v>
      </c>
      <c r="I1420" t="s">
        <v>4023</v>
      </c>
      <c r="J1420" t="s">
        <v>4028</v>
      </c>
      <c r="K1420" s="2">
        <v>44891</v>
      </c>
      <c r="L1420" s="2">
        <v>44894</v>
      </c>
      <c r="M1420">
        <v>4</v>
      </c>
      <c r="N1420">
        <v>72</v>
      </c>
      <c r="O1420">
        <f>IF(Tickets[[#This Row],[Ticket Priority]]="Critical",24,
IF(Tickets[[#This Row],[Ticket Priority]]="High",48,
IF(Tickets[[#This Row],[Ticket Priority]]="Medium",120,168)))</f>
        <v>120</v>
      </c>
      <c r="P1420" t="str">
        <f>IF(Tickets[[#This Row],[Resolution Duration Hours]] &lt;= Tickets[[#This Row],[SLA_Target_Hours]], "Yes", "No")</f>
        <v>Yes</v>
      </c>
    </row>
    <row r="1421" spans="1:16" hidden="1">
      <c r="A1421">
        <v>1420</v>
      </c>
      <c r="B1421" t="s">
        <v>1420</v>
      </c>
      <c r="C1421" t="s">
        <v>3400</v>
      </c>
      <c r="D1421" t="s">
        <v>3995</v>
      </c>
      <c r="E1421" s="1">
        <v>44235</v>
      </c>
      <c r="F1421" t="s">
        <v>3998</v>
      </c>
      <c r="G1421" t="s">
        <v>4006</v>
      </c>
      <c r="H1421" t="s">
        <v>4018</v>
      </c>
      <c r="I1421" t="s">
        <v>4022</v>
      </c>
      <c r="J1421" t="s">
        <v>4028</v>
      </c>
      <c r="K1421" s="2">
        <v>44520</v>
      </c>
      <c r="L1421" s="2">
        <v>44520</v>
      </c>
      <c r="M1421">
        <v>5</v>
      </c>
      <c r="N1421">
        <v>0</v>
      </c>
      <c r="O1421">
        <f>IF(Tickets[[#This Row],[Ticket Priority]]="Critical",24,
IF(Tickets[[#This Row],[Ticket Priority]]="High",48,
IF(Tickets[[#This Row],[Ticket Priority]]="Medium",120,168)))</f>
        <v>24</v>
      </c>
      <c r="P1421" t="str">
        <f>IF(Tickets[[#This Row],[Resolution Duration Hours]] &lt;= Tickets[[#This Row],[SLA_Target_Hours]], "Yes", "No")</f>
        <v>Yes</v>
      </c>
    </row>
    <row r="1422" spans="1:16" hidden="1">
      <c r="A1422">
        <v>1421</v>
      </c>
      <c r="B1422" t="s">
        <v>1421</v>
      </c>
      <c r="C1422" t="s">
        <v>3401</v>
      </c>
      <c r="D1422" t="s">
        <v>3985</v>
      </c>
      <c r="E1422" s="1">
        <v>44467</v>
      </c>
      <c r="F1422" t="s">
        <v>3998</v>
      </c>
      <c r="G1422" t="s">
        <v>4012</v>
      </c>
      <c r="H1422" t="s">
        <v>4018</v>
      </c>
      <c r="I1422" t="s">
        <v>4021</v>
      </c>
      <c r="J1422" t="s">
        <v>4028</v>
      </c>
      <c r="K1422" s="2">
        <v>44528</v>
      </c>
      <c r="L1422" s="2">
        <v>44529</v>
      </c>
      <c r="M1422">
        <v>3</v>
      </c>
      <c r="N1422">
        <v>24</v>
      </c>
      <c r="O1422">
        <f>IF(Tickets[[#This Row],[Ticket Priority]]="Critical",24,
IF(Tickets[[#This Row],[Ticket Priority]]="High",48,
IF(Tickets[[#This Row],[Ticket Priority]]="Medium",120,168)))</f>
        <v>48</v>
      </c>
      <c r="P1422" t="str">
        <f>IF(Tickets[[#This Row],[Resolution Duration Hours]] &lt;= Tickets[[#This Row],[SLA_Target_Hours]], "Yes", "No")</f>
        <v>Yes</v>
      </c>
    </row>
    <row r="1423" spans="1:16">
      <c r="A1423">
        <v>972</v>
      </c>
      <c r="B1423" t="s">
        <v>979</v>
      </c>
      <c r="C1423" t="s">
        <v>2954</v>
      </c>
      <c r="D1423" t="s">
        <v>3980</v>
      </c>
      <c r="E1423" s="1">
        <v>44859</v>
      </c>
      <c r="F1423" t="s">
        <v>4002</v>
      </c>
      <c r="G1423" t="s">
        <v>4007</v>
      </c>
      <c r="H1423" t="s">
        <v>4018</v>
      </c>
      <c r="I1423" t="s">
        <v>4023</v>
      </c>
      <c r="J1423" t="s">
        <v>4028</v>
      </c>
      <c r="K1423" s="2">
        <v>45058</v>
      </c>
      <c r="L1423" s="2">
        <v>45065</v>
      </c>
      <c r="M1423">
        <v>5</v>
      </c>
      <c r="N1423">
        <v>168</v>
      </c>
      <c r="O1423">
        <f>IF(Tickets[[#This Row],[Ticket Priority]]="Critical",24,
IF(Tickets[[#This Row],[Ticket Priority]]="High",48,
IF(Tickets[[#This Row],[Ticket Priority]]="Medium",120,168)))</f>
        <v>120</v>
      </c>
      <c r="P1423" t="str">
        <f>IF(Tickets[[#This Row],[Resolution Duration Hours]] &lt;= Tickets[[#This Row],[SLA_Target_Hours]], "Yes", "No")</f>
        <v>No</v>
      </c>
    </row>
    <row r="1424" spans="1:16" hidden="1">
      <c r="A1424">
        <v>1423</v>
      </c>
      <c r="B1424" t="s">
        <v>1423</v>
      </c>
      <c r="C1424" t="s">
        <v>3403</v>
      </c>
      <c r="D1424" t="s">
        <v>3981</v>
      </c>
      <c r="E1424" s="1">
        <v>44378</v>
      </c>
      <c r="F1424" t="s">
        <v>4002</v>
      </c>
      <c r="G1424" t="s">
        <v>4007</v>
      </c>
      <c r="H1424" t="s">
        <v>4018</v>
      </c>
      <c r="I1424" t="s">
        <v>4022</v>
      </c>
      <c r="J1424" t="s">
        <v>4026</v>
      </c>
      <c r="K1424" s="2">
        <v>44408</v>
      </c>
      <c r="L1424" s="2">
        <v>44409</v>
      </c>
      <c r="N1424">
        <v>24</v>
      </c>
      <c r="O1424">
        <f>IF(Tickets[[#This Row],[Ticket Priority]]="Critical",24,
IF(Tickets[[#This Row],[Ticket Priority]]="High",48,
IF(Tickets[[#This Row],[Ticket Priority]]="Medium",120,168)))</f>
        <v>24</v>
      </c>
      <c r="P1424" t="str">
        <f>IF(Tickets[[#This Row],[Resolution Duration Hours]] &lt;= Tickets[[#This Row],[SLA_Target_Hours]], "Yes", "No")</f>
        <v>Yes</v>
      </c>
    </row>
    <row r="1425" spans="1:16" hidden="1">
      <c r="A1425">
        <v>1424</v>
      </c>
      <c r="B1425" t="s">
        <v>1424</v>
      </c>
      <c r="C1425" t="s">
        <v>3404</v>
      </c>
      <c r="D1425" t="s">
        <v>3992</v>
      </c>
      <c r="E1425" s="1">
        <v>44663</v>
      </c>
      <c r="F1425" t="s">
        <v>3998</v>
      </c>
      <c r="G1425" t="s">
        <v>4016</v>
      </c>
      <c r="H1425" t="s">
        <v>4017</v>
      </c>
      <c r="I1425" t="s">
        <v>4023</v>
      </c>
      <c r="J1425" t="s">
        <v>4026</v>
      </c>
      <c r="K1425" s="2">
        <v>44772</v>
      </c>
      <c r="L1425" s="2">
        <v>44775</v>
      </c>
      <c r="N1425">
        <v>72</v>
      </c>
      <c r="O1425">
        <f>IF(Tickets[[#This Row],[Ticket Priority]]="Critical",24,
IF(Tickets[[#This Row],[Ticket Priority]]="High",48,
IF(Tickets[[#This Row],[Ticket Priority]]="Medium",120,168)))</f>
        <v>120</v>
      </c>
      <c r="P1425" t="str">
        <f>IF(Tickets[[#This Row],[Resolution Duration Hours]] &lt;= Tickets[[#This Row],[SLA_Target_Hours]], "Yes", "No")</f>
        <v>Yes</v>
      </c>
    </row>
    <row r="1426" spans="1:16" hidden="1">
      <c r="A1426">
        <v>1425</v>
      </c>
      <c r="B1426" t="s">
        <v>1425</v>
      </c>
      <c r="C1426" t="s">
        <v>3405</v>
      </c>
      <c r="D1426" t="s">
        <v>3988</v>
      </c>
      <c r="E1426" s="1">
        <v>44689</v>
      </c>
      <c r="F1426" t="s">
        <v>4001</v>
      </c>
      <c r="G1426" t="s">
        <v>4009</v>
      </c>
      <c r="H1426" t="s">
        <v>4018</v>
      </c>
      <c r="I1426" t="s">
        <v>4024</v>
      </c>
      <c r="J1426" t="s">
        <v>4027</v>
      </c>
      <c r="K1426" s="2">
        <v>44763</v>
      </c>
      <c r="L1426" s="2">
        <v>44764</v>
      </c>
      <c r="M1426">
        <v>5</v>
      </c>
      <c r="N1426">
        <v>24</v>
      </c>
      <c r="O1426">
        <f>IF(Tickets[[#This Row],[Ticket Priority]]="Critical",24,
IF(Tickets[[#This Row],[Ticket Priority]]="High",48,
IF(Tickets[[#This Row],[Ticket Priority]]="Medium",120,168)))</f>
        <v>168</v>
      </c>
      <c r="P1426" t="str">
        <f>IF(Tickets[[#This Row],[Resolution Duration Hours]] &lt;= Tickets[[#This Row],[SLA_Target_Hours]], "Yes", "No")</f>
        <v>Yes</v>
      </c>
    </row>
    <row r="1427" spans="1:16" hidden="1">
      <c r="A1427">
        <v>1426</v>
      </c>
      <c r="B1427" t="s">
        <v>1426</v>
      </c>
      <c r="C1427" t="s">
        <v>3406</v>
      </c>
      <c r="D1427" t="s">
        <v>3995</v>
      </c>
      <c r="E1427" s="1">
        <v>44449</v>
      </c>
      <c r="F1427" t="s">
        <v>3999</v>
      </c>
      <c r="G1427" t="s">
        <v>4008</v>
      </c>
      <c r="H1427" t="s">
        <v>4017</v>
      </c>
      <c r="I1427" t="s">
        <v>4021</v>
      </c>
      <c r="J1427" t="s">
        <v>4026</v>
      </c>
      <c r="K1427" s="2">
        <v>44769</v>
      </c>
      <c r="L1427" s="2">
        <v>44770</v>
      </c>
      <c r="N1427">
        <v>24</v>
      </c>
      <c r="O1427">
        <f>IF(Tickets[[#This Row],[Ticket Priority]]="Critical",24,
IF(Tickets[[#This Row],[Ticket Priority]]="High",48,
IF(Tickets[[#This Row],[Ticket Priority]]="Medium",120,168)))</f>
        <v>48</v>
      </c>
      <c r="P1427" t="str">
        <f>IF(Tickets[[#This Row],[Resolution Duration Hours]] &lt;= Tickets[[#This Row],[SLA_Target_Hours]], "Yes", "No")</f>
        <v>Yes</v>
      </c>
    </row>
    <row r="1428" spans="1:16">
      <c r="A1428">
        <v>1391</v>
      </c>
      <c r="B1428" t="s">
        <v>1392</v>
      </c>
      <c r="C1428" t="s">
        <v>3371</v>
      </c>
      <c r="D1428" t="s">
        <v>3992</v>
      </c>
      <c r="E1428" s="1">
        <v>44878</v>
      </c>
      <c r="F1428" t="s">
        <v>4001</v>
      </c>
      <c r="G1428" t="s">
        <v>4016</v>
      </c>
      <c r="H1428" t="s">
        <v>4018</v>
      </c>
      <c r="I1428" t="s">
        <v>4023</v>
      </c>
      <c r="J1428" t="s">
        <v>4028</v>
      </c>
      <c r="K1428" s="2">
        <v>45123</v>
      </c>
      <c r="L1428" s="2">
        <v>45130</v>
      </c>
      <c r="M1428">
        <v>3</v>
      </c>
      <c r="N1428">
        <v>168</v>
      </c>
      <c r="O1428">
        <f>IF(Tickets[[#This Row],[Ticket Priority]]="Critical",24,
IF(Tickets[[#This Row],[Ticket Priority]]="High",48,
IF(Tickets[[#This Row],[Ticket Priority]]="Medium",120,168)))</f>
        <v>120</v>
      </c>
      <c r="P1428" t="str">
        <f>IF(Tickets[[#This Row],[Resolution Duration Hours]] &lt;= Tickets[[#This Row],[SLA_Target_Hours]], "Yes", "No")</f>
        <v>No</v>
      </c>
    </row>
    <row r="1429" spans="1:16" hidden="1">
      <c r="A1429">
        <v>1428</v>
      </c>
      <c r="B1429" t="s">
        <v>1428</v>
      </c>
      <c r="C1429" t="s">
        <v>3408</v>
      </c>
      <c r="D1429" t="s">
        <v>3997</v>
      </c>
      <c r="E1429" s="1">
        <v>43962</v>
      </c>
      <c r="F1429" t="s">
        <v>4000</v>
      </c>
      <c r="G1429" t="s">
        <v>4009</v>
      </c>
      <c r="H1429" t="s">
        <v>4018</v>
      </c>
      <c r="I1429" t="s">
        <v>4024</v>
      </c>
      <c r="J1429" t="s">
        <v>4025</v>
      </c>
      <c r="K1429" s="2">
        <v>44170</v>
      </c>
      <c r="L1429" s="2">
        <v>44171</v>
      </c>
      <c r="M1429">
        <v>5</v>
      </c>
      <c r="N1429">
        <v>24</v>
      </c>
      <c r="O1429">
        <f>IF(Tickets[[#This Row],[Ticket Priority]]="Critical",24,
IF(Tickets[[#This Row],[Ticket Priority]]="High",48,
IF(Tickets[[#This Row],[Ticket Priority]]="Medium",120,168)))</f>
        <v>168</v>
      </c>
      <c r="P1429" t="str">
        <f>IF(Tickets[[#This Row],[Resolution Duration Hours]] &lt;= Tickets[[#This Row],[SLA_Target_Hours]], "Yes", "No")</f>
        <v>Yes</v>
      </c>
    </row>
    <row r="1430" spans="1:16" hidden="1">
      <c r="A1430">
        <v>1429</v>
      </c>
      <c r="B1430" t="s">
        <v>1429</v>
      </c>
      <c r="C1430" t="s">
        <v>3409</v>
      </c>
      <c r="D1430" t="s">
        <v>3988</v>
      </c>
      <c r="E1430" s="1">
        <v>44770</v>
      </c>
      <c r="F1430" t="s">
        <v>4000</v>
      </c>
      <c r="G1430" t="s">
        <v>4013</v>
      </c>
      <c r="H1430" t="s">
        <v>4018</v>
      </c>
      <c r="I1430" t="s">
        <v>4024</v>
      </c>
      <c r="J1430" t="s">
        <v>4026</v>
      </c>
      <c r="K1430" s="2">
        <v>45057</v>
      </c>
      <c r="L1430" s="2">
        <v>45060</v>
      </c>
      <c r="M1430">
        <v>5</v>
      </c>
      <c r="N1430">
        <v>72</v>
      </c>
      <c r="O1430">
        <f>IF(Tickets[[#This Row],[Ticket Priority]]="Critical",24,
IF(Tickets[[#This Row],[Ticket Priority]]="High",48,
IF(Tickets[[#This Row],[Ticket Priority]]="Medium",120,168)))</f>
        <v>168</v>
      </c>
      <c r="P1430" t="str">
        <f>IF(Tickets[[#This Row],[Resolution Duration Hours]] &lt;= Tickets[[#This Row],[SLA_Target_Hours]], "Yes", "No")</f>
        <v>Yes</v>
      </c>
    </row>
    <row r="1431" spans="1:16" hidden="1">
      <c r="A1431">
        <v>1430</v>
      </c>
      <c r="B1431" t="s">
        <v>1430</v>
      </c>
      <c r="C1431" t="s">
        <v>3410</v>
      </c>
      <c r="D1431" t="s">
        <v>3983</v>
      </c>
      <c r="E1431" s="1">
        <v>45050</v>
      </c>
      <c r="F1431" t="s">
        <v>3998</v>
      </c>
      <c r="G1431" t="s">
        <v>4015</v>
      </c>
      <c r="H1431" t="s">
        <v>4018</v>
      </c>
      <c r="I1431" t="s">
        <v>4023</v>
      </c>
      <c r="J1431" t="s">
        <v>4028</v>
      </c>
      <c r="K1431" s="2">
        <v>45205</v>
      </c>
      <c r="L1431" s="2">
        <v>45209</v>
      </c>
      <c r="M1431">
        <v>3</v>
      </c>
      <c r="N1431">
        <v>96</v>
      </c>
      <c r="O1431">
        <f>IF(Tickets[[#This Row],[Ticket Priority]]="Critical",24,
IF(Tickets[[#This Row],[Ticket Priority]]="High",48,
IF(Tickets[[#This Row],[Ticket Priority]]="Medium",120,168)))</f>
        <v>120</v>
      </c>
      <c r="P1431" t="str">
        <f>IF(Tickets[[#This Row],[Resolution Duration Hours]] &lt;= Tickets[[#This Row],[SLA_Target_Hours]], "Yes", "No")</f>
        <v>Yes</v>
      </c>
    </row>
    <row r="1432" spans="1:16" hidden="1">
      <c r="A1432">
        <v>1431</v>
      </c>
      <c r="B1432" t="s">
        <v>1431</v>
      </c>
      <c r="C1432" t="s">
        <v>3411</v>
      </c>
      <c r="D1432" t="s">
        <v>3980</v>
      </c>
      <c r="E1432" s="1">
        <v>44726</v>
      </c>
      <c r="F1432" t="s">
        <v>3999</v>
      </c>
      <c r="G1432" t="s">
        <v>4013</v>
      </c>
      <c r="H1432" t="s">
        <v>4018</v>
      </c>
      <c r="I1432" t="s">
        <v>4021</v>
      </c>
      <c r="J1432" t="s">
        <v>4028</v>
      </c>
      <c r="K1432" s="2">
        <v>44796</v>
      </c>
      <c r="L1432" s="2">
        <v>44797</v>
      </c>
      <c r="M1432">
        <v>5</v>
      </c>
      <c r="N1432">
        <v>24</v>
      </c>
      <c r="O1432">
        <f>IF(Tickets[[#This Row],[Ticket Priority]]="Critical",24,
IF(Tickets[[#This Row],[Ticket Priority]]="High",48,
IF(Tickets[[#This Row],[Ticket Priority]]="Medium",120,168)))</f>
        <v>48</v>
      </c>
      <c r="P1432" t="str">
        <f>IF(Tickets[[#This Row],[Resolution Duration Hours]] &lt;= Tickets[[#This Row],[SLA_Target_Hours]], "Yes", "No")</f>
        <v>Yes</v>
      </c>
    </row>
    <row r="1433" spans="1:16" hidden="1">
      <c r="A1433">
        <v>1432</v>
      </c>
      <c r="B1433" t="s">
        <v>1432</v>
      </c>
      <c r="C1433" t="s">
        <v>3412</v>
      </c>
      <c r="D1433" t="s">
        <v>3990</v>
      </c>
      <c r="E1433" s="1">
        <v>44922</v>
      </c>
      <c r="F1433" t="s">
        <v>3999</v>
      </c>
      <c r="G1433" t="s">
        <v>4005</v>
      </c>
      <c r="H1433" t="s">
        <v>4018</v>
      </c>
      <c r="I1433" t="s">
        <v>4021</v>
      </c>
      <c r="J1433" t="s">
        <v>4026</v>
      </c>
      <c r="K1433" s="2">
        <v>45069</v>
      </c>
      <c r="L1433" s="2">
        <v>45071</v>
      </c>
      <c r="M1433">
        <v>4</v>
      </c>
      <c r="N1433">
        <v>48</v>
      </c>
      <c r="O1433">
        <f>IF(Tickets[[#This Row],[Ticket Priority]]="Critical",24,
IF(Tickets[[#This Row],[Ticket Priority]]="High",48,
IF(Tickets[[#This Row],[Ticket Priority]]="Medium",120,168)))</f>
        <v>48</v>
      </c>
      <c r="P1433" t="str">
        <f>IF(Tickets[[#This Row],[Resolution Duration Hours]] &lt;= Tickets[[#This Row],[SLA_Target_Hours]], "Yes", "No")</f>
        <v>Yes</v>
      </c>
    </row>
    <row r="1434" spans="1:16">
      <c r="A1434">
        <v>1433</v>
      </c>
      <c r="B1434" t="s">
        <v>1433</v>
      </c>
      <c r="C1434" t="s">
        <v>3413</v>
      </c>
      <c r="D1434" t="s">
        <v>3997</v>
      </c>
      <c r="E1434" s="1">
        <v>44941</v>
      </c>
      <c r="F1434" t="s">
        <v>4002</v>
      </c>
      <c r="G1434" t="s">
        <v>4008</v>
      </c>
      <c r="H1434" t="s">
        <v>4020</v>
      </c>
      <c r="I1434" t="s">
        <v>4023</v>
      </c>
      <c r="J1434" t="s">
        <v>4027</v>
      </c>
      <c r="K1434" s="2">
        <v>45287</v>
      </c>
      <c r="L1434" s="2">
        <v>45294</v>
      </c>
      <c r="N1434">
        <v>168</v>
      </c>
      <c r="O1434">
        <f>IF(Tickets[[#This Row],[Ticket Priority]]="Critical",24,
IF(Tickets[[#This Row],[Ticket Priority]]="High",48,
IF(Tickets[[#This Row],[Ticket Priority]]="Medium",120,168)))</f>
        <v>120</v>
      </c>
      <c r="P1434" t="str">
        <f>IF(Tickets[[#This Row],[Resolution Duration Hours]] &lt;= Tickets[[#This Row],[SLA_Target_Hours]], "Yes", "No")</f>
        <v>No</v>
      </c>
    </row>
    <row r="1435" spans="1:16" hidden="1">
      <c r="A1435">
        <v>1434</v>
      </c>
      <c r="B1435" t="s">
        <v>1434</v>
      </c>
      <c r="C1435" t="s">
        <v>3414</v>
      </c>
      <c r="D1435" t="s">
        <v>3986</v>
      </c>
      <c r="E1435" s="1">
        <v>44571</v>
      </c>
      <c r="F1435" t="s">
        <v>4002</v>
      </c>
      <c r="G1435" t="s">
        <v>4003</v>
      </c>
      <c r="H1435" t="s">
        <v>4020</v>
      </c>
      <c r="I1435" t="s">
        <v>4023</v>
      </c>
      <c r="J1435" t="s">
        <v>4028</v>
      </c>
      <c r="K1435" s="2">
        <v>44668</v>
      </c>
      <c r="L1435" s="2">
        <v>44669</v>
      </c>
      <c r="N1435">
        <v>24</v>
      </c>
      <c r="O1435">
        <f>IF(Tickets[[#This Row],[Ticket Priority]]="Critical",24,
IF(Tickets[[#This Row],[Ticket Priority]]="High",48,
IF(Tickets[[#This Row],[Ticket Priority]]="Medium",120,168)))</f>
        <v>120</v>
      </c>
      <c r="P1435" t="str">
        <f>IF(Tickets[[#This Row],[Resolution Duration Hours]] &lt;= Tickets[[#This Row],[SLA_Target_Hours]], "Yes", "No")</f>
        <v>Yes</v>
      </c>
    </row>
    <row r="1436" spans="1:16">
      <c r="A1436">
        <v>1628</v>
      </c>
      <c r="B1436" t="s">
        <v>1624</v>
      </c>
      <c r="C1436" t="s">
        <v>3607</v>
      </c>
      <c r="D1436" t="s">
        <v>3997</v>
      </c>
      <c r="E1436" s="1">
        <v>45028</v>
      </c>
      <c r="F1436" t="s">
        <v>4001</v>
      </c>
      <c r="G1436" t="s">
        <v>4015</v>
      </c>
      <c r="H1436" t="s">
        <v>4018</v>
      </c>
      <c r="I1436" t="s">
        <v>4023</v>
      </c>
      <c r="J1436" t="s">
        <v>4028</v>
      </c>
      <c r="K1436" s="2">
        <v>45311</v>
      </c>
      <c r="L1436" s="2">
        <v>45318</v>
      </c>
      <c r="M1436">
        <v>4</v>
      </c>
      <c r="N1436">
        <v>168</v>
      </c>
      <c r="O1436">
        <f>IF(Tickets[[#This Row],[Ticket Priority]]="Critical",24,
IF(Tickets[[#This Row],[Ticket Priority]]="High",48,
IF(Tickets[[#This Row],[Ticket Priority]]="Medium",120,168)))</f>
        <v>120</v>
      </c>
      <c r="P1436" t="str">
        <f>IF(Tickets[[#This Row],[Resolution Duration Hours]] &lt;= Tickets[[#This Row],[SLA_Target_Hours]], "Yes", "No")</f>
        <v>No</v>
      </c>
    </row>
    <row r="1437" spans="1:16" hidden="1">
      <c r="A1437">
        <v>1436</v>
      </c>
      <c r="B1437" t="s">
        <v>1436</v>
      </c>
      <c r="C1437" t="s">
        <v>3416</v>
      </c>
      <c r="D1437" t="s">
        <v>3996</v>
      </c>
      <c r="E1437" s="1">
        <v>43922</v>
      </c>
      <c r="F1437" t="s">
        <v>4001</v>
      </c>
      <c r="G1437" t="s">
        <v>4000</v>
      </c>
      <c r="H1437" t="s">
        <v>4018</v>
      </c>
      <c r="I1437" t="s">
        <v>4024</v>
      </c>
      <c r="J1437" t="s">
        <v>4026</v>
      </c>
      <c r="K1437" s="2">
        <v>44169</v>
      </c>
      <c r="L1437" s="2">
        <v>44176</v>
      </c>
      <c r="M1437">
        <v>3</v>
      </c>
      <c r="N1437">
        <v>168</v>
      </c>
      <c r="O1437">
        <f>IF(Tickets[[#This Row],[Ticket Priority]]="Critical",24,
IF(Tickets[[#This Row],[Ticket Priority]]="High",48,
IF(Tickets[[#This Row],[Ticket Priority]]="Medium",120,168)))</f>
        <v>168</v>
      </c>
      <c r="P1437" t="str">
        <f>IF(Tickets[[#This Row],[Resolution Duration Hours]] &lt;= Tickets[[#This Row],[SLA_Target_Hours]], "Yes", "No")</f>
        <v>Yes</v>
      </c>
    </row>
    <row r="1438" spans="1:16" hidden="1">
      <c r="A1438">
        <v>1437</v>
      </c>
      <c r="B1438" t="s">
        <v>1437</v>
      </c>
      <c r="C1438" t="s">
        <v>3417</v>
      </c>
      <c r="D1438" t="s">
        <v>3996</v>
      </c>
      <c r="E1438" s="1">
        <v>44709</v>
      </c>
      <c r="F1438" t="s">
        <v>3999</v>
      </c>
      <c r="G1438" t="s">
        <v>4004</v>
      </c>
      <c r="H1438" t="s">
        <v>4019</v>
      </c>
      <c r="I1438" t="s">
        <v>4024</v>
      </c>
      <c r="J1438" t="s">
        <v>4028</v>
      </c>
      <c r="K1438" s="2">
        <v>44710</v>
      </c>
      <c r="L1438" s="2">
        <v>44713</v>
      </c>
      <c r="M1438">
        <v>4</v>
      </c>
      <c r="N1438">
        <v>72</v>
      </c>
      <c r="O1438">
        <f>IF(Tickets[[#This Row],[Ticket Priority]]="Critical",24,
IF(Tickets[[#This Row],[Ticket Priority]]="High",48,
IF(Tickets[[#This Row],[Ticket Priority]]="Medium",120,168)))</f>
        <v>168</v>
      </c>
      <c r="P1438" t="str">
        <f>IF(Tickets[[#This Row],[Resolution Duration Hours]] &lt;= Tickets[[#This Row],[SLA_Target_Hours]], "Yes", "No")</f>
        <v>Yes</v>
      </c>
    </row>
    <row r="1439" spans="1:16" hidden="1">
      <c r="A1439">
        <v>1438</v>
      </c>
      <c r="B1439" t="s">
        <v>1438</v>
      </c>
      <c r="C1439" t="s">
        <v>3418</v>
      </c>
      <c r="D1439" t="s">
        <v>3989</v>
      </c>
      <c r="E1439" s="1">
        <v>44607</v>
      </c>
      <c r="F1439" t="s">
        <v>4001</v>
      </c>
      <c r="G1439" t="s">
        <v>4014</v>
      </c>
      <c r="H1439" t="s">
        <v>4018</v>
      </c>
      <c r="I1439" t="s">
        <v>4023</v>
      </c>
      <c r="J1439" t="s">
        <v>4026</v>
      </c>
      <c r="K1439" s="2">
        <v>44743</v>
      </c>
      <c r="L1439" s="2">
        <v>44748</v>
      </c>
      <c r="M1439">
        <v>4</v>
      </c>
      <c r="N1439">
        <v>120</v>
      </c>
      <c r="O1439">
        <f>IF(Tickets[[#This Row],[Ticket Priority]]="Critical",24,
IF(Tickets[[#This Row],[Ticket Priority]]="High",48,
IF(Tickets[[#This Row],[Ticket Priority]]="Medium",120,168)))</f>
        <v>120</v>
      </c>
      <c r="P1439" t="str">
        <f>IF(Tickets[[#This Row],[Resolution Duration Hours]] &lt;= Tickets[[#This Row],[SLA_Target_Hours]], "Yes", "No")</f>
        <v>Yes</v>
      </c>
    </row>
    <row r="1440" spans="1:16">
      <c r="A1440">
        <v>1631</v>
      </c>
      <c r="B1440" t="s">
        <v>1627</v>
      </c>
      <c r="C1440" t="s">
        <v>3610</v>
      </c>
      <c r="D1440" t="s">
        <v>3991</v>
      </c>
      <c r="E1440" s="1">
        <v>44585</v>
      </c>
      <c r="F1440" t="s">
        <v>4002</v>
      </c>
      <c r="G1440" t="s">
        <v>4007</v>
      </c>
      <c r="H1440" t="s">
        <v>4020</v>
      </c>
      <c r="I1440" t="s">
        <v>4023</v>
      </c>
      <c r="J1440" t="s">
        <v>4025</v>
      </c>
      <c r="K1440" s="2">
        <v>44661</v>
      </c>
      <c r="L1440" s="2">
        <v>44668</v>
      </c>
      <c r="N1440">
        <v>168</v>
      </c>
      <c r="O1440">
        <f>IF(Tickets[[#This Row],[Ticket Priority]]="Critical",24,
IF(Tickets[[#This Row],[Ticket Priority]]="High",48,
IF(Tickets[[#This Row],[Ticket Priority]]="Medium",120,168)))</f>
        <v>120</v>
      </c>
      <c r="P1440" t="str">
        <f>IF(Tickets[[#This Row],[Resolution Duration Hours]] &lt;= Tickets[[#This Row],[SLA_Target_Hours]], "Yes", "No")</f>
        <v>No</v>
      </c>
    </row>
    <row r="1441" spans="1:16" hidden="1">
      <c r="A1441">
        <v>1440</v>
      </c>
      <c r="B1441" t="s">
        <v>1439</v>
      </c>
      <c r="C1441" t="s">
        <v>3420</v>
      </c>
      <c r="D1441" t="s">
        <v>3980</v>
      </c>
      <c r="E1441" s="1">
        <v>44019</v>
      </c>
      <c r="F1441" t="s">
        <v>3998</v>
      </c>
      <c r="G1441" t="s">
        <v>4009</v>
      </c>
      <c r="H1441" t="s">
        <v>4018</v>
      </c>
      <c r="I1441" t="s">
        <v>4023</v>
      </c>
      <c r="J1441" t="s">
        <v>4026</v>
      </c>
      <c r="K1441" s="2">
        <v>44049</v>
      </c>
      <c r="L1441" s="2">
        <v>44052</v>
      </c>
      <c r="M1441">
        <v>3</v>
      </c>
      <c r="N1441">
        <v>72</v>
      </c>
      <c r="O1441">
        <f>IF(Tickets[[#This Row],[Ticket Priority]]="Critical",24,
IF(Tickets[[#This Row],[Ticket Priority]]="High",48,
IF(Tickets[[#This Row],[Ticket Priority]]="Medium",120,168)))</f>
        <v>120</v>
      </c>
      <c r="P1441" t="str">
        <f>IF(Tickets[[#This Row],[Resolution Duration Hours]] &lt;= Tickets[[#This Row],[SLA_Target_Hours]], "Yes", "No")</f>
        <v>Yes</v>
      </c>
    </row>
    <row r="1442" spans="1:16" hidden="1">
      <c r="A1442">
        <v>1441</v>
      </c>
      <c r="B1442" t="s">
        <v>1440</v>
      </c>
      <c r="C1442" t="s">
        <v>3421</v>
      </c>
      <c r="D1442" t="s">
        <v>3990</v>
      </c>
      <c r="E1442" s="1">
        <v>44645</v>
      </c>
      <c r="F1442" t="s">
        <v>4000</v>
      </c>
      <c r="G1442" t="s">
        <v>4005</v>
      </c>
      <c r="H1442" t="s">
        <v>4020</v>
      </c>
      <c r="I1442" t="s">
        <v>4021</v>
      </c>
      <c r="J1442" t="s">
        <v>4026</v>
      </c>
      <c r="K1442" s="2">
        <v>44927</v>
      </c>
      <c r="L1442" s="2">
        <v>44929</v>
      </c>
      <c r="N1442">
        <v>48</v>
      </c>
      <c r="O1442">
        <f>IF(Tickets[[#This Row],[Ticket Priority]]="Critical",24,
IF(Tickets[[#This Row],[Ticket Priority]]="High",48,
IF(Tickets[[#This Row],[Ticket Priority]]="Medium",120,168)))</f>
        <v>48</v>
      </c>
      <c r="P1442" t="str">
        <f>IF(Tickets[[#This Row],[Resolution Duration Hours]] &lt;= Tickets[[#This Row],[SLA_Target_Hours]], "Yes", "No")</f>
        <v>Yes</v>
      </c>
    </row>
    <row r="1443" spans="1:16" hidden="1">
      <c r="A1443">
        <v>1442</v>
      </c>
      <c r="B1443" t="s">
        <v>1441</v>
      </c>
      <c r="C1443" t="s">
        <v>3422</v>
      </c>
      <c r="D1443" t="s">
        <v>3991</v>
      </c>
      <c r="E1443" s="1">
        <v>44331</v>
      </c>
      <c r="F1443" t="s">
        <v>4001</v>
      </c>
      <c r="G1443" t="s">
        <v>4003</v>
      </c>
      <c r="H1443" t="s">
        <v>4019</v>
      </c>
      <c r="I1443" t="s">
        <v>4021</v>
      </c>
      <c r="J1443" t="s">
        <v>4025</v>
      </c>
      <c r="K1443" s="2">
        <v>44646</v>
      </c>
      <c r="L1443" s="2">
        <v>44648</v>
      </c>
      <c r="M1443">
        <v>4</v>
      </c>
      <c r="N1443">
        <v>48</v>
      </c>
      <c r="O1443">
        <f>IF(Tickets[[#This Row],[Ticket Priority]]="Critical",24,
IF(Tickets[[#This Row],[Ticket Priority]]="High",48,
IF(Tickets[[#This Row],[Ticket Priority]]="Medium",120,168)))</f>
        <v>48</v>
      </c>
      <c r="P1443" t="str">
        <f>IF(Tickets[[#This Row],[Resolution Duration Hours]] &lt;= Tickets[[#This Row],[SLA_Target_Hours]], "Yes", "No")</f>
        <v>Yes</v>
      </c>
    </row>
    <row r="1444" spans="1:16" hidden="1">
      <c r="A1444">
        <v>1443</v>
      </c>
      <c r="B1444" t="s">
        <v>1442</v>
      </c>
      <c r="C1444" t="s">
        <v>3423</v>
      </c>
      <c r="D1444" t="s">
        <v>3995</v>
      </c>
      <c r="E1444" s="1">
        <v>44940</v>
      </c>
      <c r="F1444" t="s">
        <v>3999</v>
      </c>
      <c r="G1444" t="s">
        <v>4000</v>
      </c>
      <c r="H1444" t="s">
        <v>4018</v>
      </c>
      <c r="I1444" t="s">
        <v>4023</v>
      </c>
      <c r="J1444" t="s">
        <v>4026</v>
      </c>
      <c r="K1444" s="2">
        <v>45053</v>
      </c>
      <c r="L1444" s="2">
        <v>45053</v>
      </c>
      <c r="M1444">
        <v>4</v>
      </c>
      <c r="N1444">
        <v>0</v>
      </c>
      <c r="O1444">
        <f>IF(Tickets[[#This Row],[Ticket Priority]]="Critical",24,
IF(Tickets[[#This Row],[Ticket Priority]]="High",48,
IF(Tickets[[#This Row],[Ticket Priority]]="Medium",120,168)))</f>
        <v>120</v>
      </c>
      <c r="P1444" t="str">
        <f>IF(Tickets[[#This Row],[Resolution Duration Hours]] &lt;= Tickets[[#This Row],[SLA_Target_Hours]], "Yes", "No")</f>
        <v>Yes</v>
      </c>
    </row>
    <row r="1445" spans="1:16" hidden="1">
      <c r="A1445">
        <v>1444</v>
      </c>
      <c r="B1445" t="s">
        <v>1443</v>
      </c>
      <c r="C1445" t="s">
        <v>3424</v>
      </c>
      <c r="D1445" t="s">
        <v>3996</v>
      </c>
      <c r="E1445" s="1">
        <v>44041</v>
      </c>
      <c r="F1445" t="s">
        <v>4000</v>
      </c>
      <c r="G1445" t="s">
        <v>4016</v>
      </c>
      <c r="H1445" t="s">
        <v>4018</v>
      </c>
      <c r="I1445" t="s">
        <v>4021</v>
      </c>
      <c r="J1445" t="s">
        <v>4025</v>
      </c>
      <c r="K1445" s="2">
        <v>44269</v>
      </c>
      <c r="L1445" s="2">
        <v>44271</v>
      </c>
      <c r="M1445">
        <v>4</v>
      </c>
      <c r="N1445">
        <v>48</v>
      </c>
      <c r="O1445">
        <f>IF(Tickets[[#This Row],[Ticket Priority]]="Critical",24,
IF(Tickets[[#This Row],[Ticket Priority]]="High",48,
IF(Tickets[[#This Row],[Ticket Priority]]="Medium",120,168)))</f>
        <v>48</v>
      </c>
      <c r="P1445" t="str">
        <f>IF(Tickets[[#This Row],[Resolution Duration Hours]] &lt;= Tickets[[#This Row],[SLA_Target_Hours]], "Yes", "No")</f>
        <v>Yes</v>
      </c>
    </row>
    <row r="1446" spans="1:16" hidden="1">
      <c r="A1446">
        <v>1445</v>
      </c>
      <c r="B1446" t="s">
        <v>1444</v>
      </c>
      <c r="C1446" t="s">
        <v>3425</v>
      </c>
      <c r="D1446" t="s">
        <v>3996</v>
      </c>
      <c r="E1446" s="1">
        <v>43839</v>
      </c>
      <c r="F1446" t="s">
        <v>3999</v>
      </c>
      <c r="G1446" t="s">
        <v>4010</v>
      </c>
      <c r="H1446" t="s">
        <v>4020</v>
      </c>
      <c r="I1446" t="s">
        <v>4023</v>
      </c>
      <c r="J1446" t="s">
        <v>4028</v>
      </c>
      <c r="K1446" s="2">
        <v>43850</v>
      </c>
      <c r="L1446" s="2">
        <v>43855</v>
      </c>
      <c r="N1446">
        <v>120</v>
      </c>
      <c r="O1446">
        <f>IF(Tickets[[#This Row],[Ticket Priority]]="Critical",24,
IF(Tickets[[#This Row],[Ticket Priority]]="High",48,
IF(Tickets[[#This Row],[Ticket Priority]]="Medium",120,168)))</f>
        <v>120</v>
      </c>
      <c r="P1446" t="str">
        <f>IF(Tickets[[#This Row],[Resolution Duration Hours]] &lt;= Tickets[[#This Row],[SLA_Target_Hours]], "Yes", "No")</f>
        <v>Yes</v>
      </c>
    </row>
    <row r="1447" spans="1:16" hidden="1">
      <c r="A1447">
        <v>1446</v>
      </c>
      <c r="B1447" t="s">
        <v>1445</v>
      </c>
      <c r="C1447" t="s">
        <v>3426</v>
      </c>
      <c r="D1447" t="s">
        <v>3992</v>
      </c>
      <c r="E1447" s="1">
        <v>44559</v>
      </c>
      <c r="F1447" t="s">
        <v>4000</v>
      </c>
      <c r="G1447" t="s">
        <v>4014</v>
      </c>
      <c r="H1447" t="s">
        <v>4018</v>
      </c>
      <c r="I1447" t="s">
        <v>4024</v>
      </c>
      <c r="J1447" t="s">
        <v>4028</v>
      </c>
      <c r="K1447" s="2">
        <v>44818</v>
      </c>
      <c r="L1447" s="2">
        <v>44822</v>
      </c>
      <c r="M1447">
        <v>5</v>
      </c>
      <c r="N1447">
        <v>96</v>
      </c>
      <c r="O1447">
        <f>IF(Tickets[[#This Row],[Ticket Priority]]="Critical",24,
IF(Tickets[[#This Row],[Ticket Priority]]="High",48,
IF(Tickets[[#This Row],[Ticket Priority]]="Medium",120,168)))</f>
        <v>168</v>
      </c>
      <c r="P1447" t="str">
        <f>IF(Tickets[[#This Row],[Resolution Duration Hours]] &lt;= Tickets[[#This Row],[SLA_Target_Hours]], "Yes", "No")</f>
        <v>Yes</v>
      </c>
    </row>
    <row r="1448" spans="1:16" hidden="1">
      <c r="A1448">
        <v>1447</v>
      </c>
      <c r="B1448" t="s">
        <v>1446</v>
      </c>
      <c r="C1448" t="s">
        <v>3427</v>
      </c>
      <c r="D1448" t="s">
        <v>3989</v>
      </c>
      <c r="E1448" s="1">
        <v>44257</v>
      </c>
      <c r="F1448" t="s">
        <v>4000</v>
      </c>
      <c r="G1448" t="s">
        <v>4010</v>
      </c>
      <c r="H1448" t="s">
        <v>4018</v>
      </c>
      <c r="I1448" t="s">
        <v>4023</v>
      </c>
      <c r="J1448" t="s">
        <v>4028</v>
      </c>
      <c r="K1448" s="2">
        <v>44368</v>
      </c>
      <c r="L1448" s="2">
        <v>44373</v>
      </c>
      <c r="M1448">
        <v>3</v>
      </c>
      <c r="N1448">
        <v>120</v>
      </c>
      <c r="O1448">
        <f>IF(Tickets[[#This Row],[Ticket Priority]]="Critical",24,
IF(Tickets[[#This Row],[Ticket Priority]]="High",48,
IF(Tickets[[#This Row],[Ticket Priority]]="Medium",120,168)))</f>
        <v>120</v>
      </c>
      <c r="P1448" t="str">
        <f>IF(Tickets[[#This Row],[Resolution Duration Hours]] &lt;= Tickets[[#This Row],[SLA_Target_Hours]], "Yes", "No")</f>
        <v>Yes</v>
      </c>
    </row>
    <row r="1449" spans="1:16" hidden="1">
      <c r="A1449">
        <v>1448</v>
      </c>
      <c r="B1449" t="s">
        <v>1447</v>
      </c>
      <c r="C1449" t="s">
        <v>3428</v>
      </c>
      <c r="D1449" t="s">
        <v>3980</v>
      </c>
      <c r="E1449" s="1">
        <v>44671</v>
      </c>
      <c r="F1449" t="s">
        <v>3999</v>
      </c>
      <c r="G1449" t="s">
        <v>4000</v>
      </c>
      <c r="H1449" t="s">
        <v>4017</v>
      </c>
      <c r="I1449" t="s">
        <v>4022</v>
      </c>
      <c r="J1449" t="s">
        <v>4028</v>
      </c>
      <c r="K1449" s="2">
        <v>44795</v>
      </c>
      <c r="L1449" s="2">
        <v>44796</v>
      </c>
      <c r="N1449">
        <v>24</v>
      </c>
      <c r="O1449">
        <f>IF(Tickets[[#This Row],[Ticket Priority]]="Critical",24,
IF(Tickets[[#This Row],[Ticket Priority]]="High",48,
IF(Tickets[[#This Row],[Ticket Priority]]="Medium",120,168)))</f>
        <v>24</v>
      </c>
      <c r="P1449" t="str">
        <f>IF(Tickets[[#This Row],[Resolution Duration Hours]] &lt;= Tickets[[#This Row],[SLA_Target_Hours]], "Yes", "No")</f>
        <v>Yes</v>
      </c>
    </row>
    <row r="1450" spans="1:16" hidden="1">
      <c r="A1450">
        <v>1449</v>
      </c>
      <c r="B1450" t="s">
        <v>1448</v>
      </c>
      <c r="C1450" t="s">
        <v>3429</v>
      </c>
      <c r="D1450" t="s">
        <v>3987</v>
      </c>
      <c r="E1450" s="1">
        <v>44706</v>
      </c>
      <c r="F1450" t="s">
        <v>3999</v>
      </c>
      <c r="G1450" t="s">
        <v>4011</v>
      </c>
      <c r="H1450" t="s">
        <v>4018</v>
      </c>
      <c r="I1450" t="s">
        <v>4023</v>
      </c>
      <c r="J1450" t="s">
        <v>4026</v>
      </c>
      <c r="K1450" s="2">
        <v>44957</v>
      </c>
      <c r="L1450" s="2">
        <v>44960</v>
      </c>
      <c r="M1450">
        <v>4</v>
      </c>
      <c r="N1450">
        <v>72</v>
      </c>
      <c r="O1450">
        <f>IF(Tickets[[#This Row],[Ticket Priority]]="Critical",24,
IF(Tickets[[#This Row],[Ticket Priority]]="High",48,
IF(Tickets[[#This Row],[Ticket Priority]]="Medium",120,168)))</f>
        <v>120</v>
      </c>
      <c r="P1450" t="str">
        <f>IF(Tickets[[#This Row],[Resolution Duration Hours]] &lt;= Tickets[[#This Row],[SLA_Target_Hours]], "Yes", "No")</f>
        <v>Yes</v>
      </c>
    </row>
    <row r="1451" spans="1:16" hidden="1">
      <c r="A1451">
        <v>1450</v>
      </c>
      <c r="B1451" t="s">
        <v>1449</v>
      </c>
      <c r="C1451" t="s">
        <v>3430</v>
      </c>
      <c r="D1451" t="s">
        <v>3993</v>
      </c>
      <c r="E1451" s="1">
        <v>44770</v>
      </c>
      <c r="F1451" t="s">
        <v>4002</v>
      </c>
      <c r="G1451" t="s">
        <v>4003</v>
      </c>
      <c r="H1451" t="s">
        <v>4019</v>
      </c>
      <c r="I1451" t="s">
        <v>4023</v>
      </c>
      <c r="J1451" t="s">
        <v>4026</v>
      </c>
      <c r="K1451" s="2">
        <v>45069</v>
      </c>
      <c r="L1451" s="2">
        <v>45073</v>
      </c>
      <c r="M1451">
        <v>4</v>
      </c>
      <c r="N1451">
        <v>96</v>
      </c>
      <c r="O1451">
        <f>IF(Tickets[[#This Row],[Ticket Priority]]="Critical",24,
IF(Tickets[[#This Row],[Ticket Priority]]="High",48,
IF(Tickets[[#This Row],[Ticket Priority]]="Medium",120,168)))</f>
        <v>120</v>
      </c>
      <c r="P1451" t="str">
        <f>IF(Tickets[[#This Row],[Resolution Duration Hours]] &lt;= Tickets[[#This Row],[SLA_Target_Hours]], "Yes", "No")</f>
        <v>Yes</v>
      </c>
    </row>
    <row r="1452" spans="1:16" hidden="1">
      <c r="A1452">
        <v>1451</v>
      </c>
      <c r="B1452" t="s">
        <v>1450</v>
      </c>
      <c r="C1452" t="s">
        <v>3431</v>
      </c>
      <c r="D1452" t="s">
        <v>3982</v>
      </c>
      <c r="E1452" s="1">
        <v>44167</v>
      </c>
      <c r="F1452" t="s">
        <v>4002</v>
      </c>
      <c r="G1452" t="s">
        <v>4016</v>
      </c>
      <c r="H1452" t="s">
        <v>4018</v>
      </c>
      <c r="I1452" t="s">
        <v>4023</v>
      </c>
      <c r="J1452" t="s">
        <v>4026</v>
      </c>
      <c r="K1452" s="2">
        <v>44214</v>
      </c>
      <c r="L1452" s="2">
        <v>44216</v>
      </c>
      <c r="M1452">
        <v>4</v>
      </c>
      <c r="N1452">
        <v>48</v>
      </c>
      <c r="O1452">
        <f>IF(Tickets[[#This Row],[Ticket Priority]]="Critical",24,
IF(Tickets[[#This Row],[Ticket Priority]]="High",48,
IF(Tickets[[#This Row],[Ticket Priority]]="Medium",120,168)))</f>
        <v>120</v>
      </c>
      <c r="P1452" t="str">
        <f>IF(Tickets[[#This Row],[Resolution Duration Hours]] &lt;= Tickets[[#This Row],[SLA_Target_Hours]], "Yes", "No")</f>
        <v>Yes</v>
      </c>
    </row>
    <row r="1453" spans="1:16" hidden="1">
      <c r="A1453">
        <v>1452</v>
      </c>
      <c r="B1453" t="s">
        <v>1451</v>
      </c>
      <c r="C1453" t="s">
        <v>3432</v>
      </c>
      <c r="D1453" t="s">
        <v>3982</v>
      </c>
      <c r="E1453" s="1">
        <v>43912</v>
      </c>
      <c r="F1453" t="s">
        <v>4002</v>
      </c>
      <c r="G1453" t="s">
        <v>4012</v>
      </c>
      <c r="H1453" t="s">
        <v>4018</v>
      </c>
      <c r="I1453" t="s">
        <v>4021</v>
      </c>
      <c r="J1453" t="s">
        <v>4028</v>
      </c>
      <c r="K1453" s="2">
        <v>44029</v>
      </c>
      <c r="L1453" s="2">
        <v>44030</v>
      </c>
      <c r="M1453">
        <v>3</v>
      </c>
      <c r="N1453">
        <v>24</v>
      </c>
      <c r="O1453">
        <f>IF(Tickets[[#This Row],[Ticket Priority]]="Critical",24,
IF(Tickets[[#This Row],[Ticket Priority]]="High",48,
IF(Tickets[[#This Row],[Ticket Priority]]="Medium",120,168)))</f>
        <v>48</v>
      </c>
      <c r="P1453" t="str">
        <f>IF(Tickets[[#This Row],[Resolution Duration Hours]] &lt;= Tickets[[#This Row],[SLA_Target_Hours]], "Yes", "No")</f>
        <v>Yes</v>
      </c>
    </row>
    <row r="1454" spans="1:16">
      <c r="A1454">
        <v>1743</v>
      </c>
      <c r="B1454" t="s">
        <v>1736</v>
      </c>
      <c r="C1454" t="s">
        <v>3722</v>
      </c>
      <c r="D1454" t="s">
        <v>3982</v>
      </c>
      <c r="E1454" s="1">
        <v>44328</v>
      </c>
      <c r="F1454" t="s">
        <v>4001</v>
      </c>
      <c r="G1454" t="s">
        <v>4010</v>
      </c>
      <c r="H1454" t="s">
        <v>4018</v>
      </c>
      <c r="I1454" t="s">
        <v>4023</v>
      </c>
      <c r="J1454" t="s">
        <v>4026</v>
      </c>
      <c r="K1454" s="2">
        <v>44542</v>
      </c>
      <c r="L1454" s="2">
        <v>44549</v>
      </c>
      <c r="M1454">
        <v>4</v>
      </c>
      <c r="N1454">
        <v>168</v>
      </c>
      <c r="O1454">
        <f>IF(Tickets[[#This Row],[Ticket Priority]]="Critical",24,
IF(Tickets[[#This Row],[Ticket Priority]]="High",48,
IF(Tickets[[#This Row],[Ticket Priority]]="Medium",120,168)))</f>
        <v>120</v>
      </c>
      <c r="P1454" t="str">
        <f>IF(Tickets[[#This Row],[Resolution Duration Hours]] &lt;= Tickets[[#This Row],[SLA_Target_Hours]], "Yes", "No")</f>
        <v>No</v>
      </c>
    </row>
    <row r="1455" spans="1:16">
      <c r="A1455">
        <v>1903</v>
      </c>
      <c r="B1455" t="s">
        <v>1406</v>
      </c>
      <c r="C1455" t="s">
        <v>3882</v>
      </c>
      <c r="D1455" t="s">
        <v>3991</v>
      </c>
      <c r="E1455" s="1">
        <v>44195</v>
      </c>
      <c r="F1455" t="s">
        <v>3999</v>
      </c>
      <c r="G1455" t="s">
        <v>4008</v>
      </c>
      <c r="H1455" t="s">
        <v>4018</v>
      </c>
      <c r="I1455" t="s">
        <v>4023</v>
      </c>
      <c r="J1455" t="s">
        <v>4026</v>
      </c>
      <c r="K1455" s="2">
        <v>44486</v>
      </c>
      <c r="L1455" s="2">
        <v>44493</v>
      </c>
      <c r="M1455">
        <v>5</v>
      </c>
      <c r="N1455">
        <v>168</v>
      </c>
      <c r="O1455">
        <f>IF(Tickets[[#This Row],[Ticket Priority]]="Critical",24,
IF(Tickets[[#This Row],[Ticket Priority]]="High",48,
IF(Tickets[[#This Row],[Ticket Priority]]="Medium",120,168)))</f>
        <v>120</v>
      </c>
      <c r="P1455" t="str">
        <f>IF(Tickets[[#This Row],[Resolution Duration Hours]] &lt;= Tickets[[#This Row],[SLA_Target_Hours]], "Yes", "No")</f>
        <v>No</v>
      </c>
    </row>
    <row r="1456" spans="1:16" hidden="1">
      <c r="A1456">
        <v>1455</v>
      </c>
      <c r="B1456" t="s">
        <v>1454</v>
      </c>
      <c r="C1456" t="s">
        <v>3435</v>
      </c>
      <c r="D1456" t="s">
        <v>3987</v>
      </c>
      <c r="E1456" s="1">
        <v>44052</v>
      </c>
      <c r="F1456" t="s">
        <v>4002</v>
      </c>
      <c r="G1456" t="s">
        <v>4005</v>
      </c>
      <c r="H1456" t="s">
        <v>4017</v>
      </c>
      <c r="I1456" t="s">
        <v>4022</v>
      </c>
      <c r="J1456" t="s">
        <v>4026</v>
      </c>
      <c r="K1456" s="2">
        <v>44308</v>
      </c>
      <c r="L1456" s="2">
        <v>44308</v>
      </c>
      <c r="N1456">
        <v>0</v>
      </c>
      <c r="O1456">
        <f>IF(Tickets[[#This Row],[Ticket Priority]]="Critical",24,
IF(Tickets[[#This Row],[Ticket Priority]]="High",48,
IF(Tickets[[#This Row],[Ticket Priority]]="Medium",120,168)))</f>
        <v>24</v>
      </c>
      <c r="P1456" t="str">
        <f>IF(Tickets[[#This Row],[Resolution Duration Hours]] &lt;= Tickets[[#This Row],[SLA_Target_Hours]], "Yes", "No")</f>
        <v>Yes</v>
      </c>
    </row>
    <row r="1457" spans="1:16" hidden="1">
      <c r="A1457">
        <v>1456</v>
      </c>
      <c r="B1457" t="s">
        <v>1455</v>
      </c>
      <c r="C1457" t="s">
        <v>3436</v>
      </c>
      <c r="D1457" t="s">
        <v>3981</v>
      </c>
      <c r="E1457" s="1">
        <v>44371</v>
      </c>
      <c r="F1457" t="s">
        <v>3998</v>
      </c>
      <c r="G1457" t="s">
        <v>4008</v>
      </c>
      <c r="H1457" t="s">
        <v>4018</v>
      </c>
      <c r="I1457" t="s">
        <v>4023</v>
      </c>
      <c r="J1457" t="s">
        <v>4026</v>
      </c>
      <c r="K1457" s="2">
        <v>44664</v>
      </c>
      <c r="L1457" s="2">
        <v>44666</v>
      </c>
      <c r="M1457">
        <v>5</v>
      </c>
      <c r="N1457">
        <v>48</v>
      </c>
      <c r="O1457">
        <f>IF(Tickets[[#This Row],[Ticket Priority]]="Critical",24,
IF(Tickets[[#This Row],[Ticket Priority]]="High",48,
IF(Tickets[[#This Row],[Ticket Priority]]="Medium",120,168)))</f>
        <v>120</v>
      </c>
      <c r="P1457" t="str">
        <f>IF(Tickets[[#This Row],[Resolution Duration Hours]] &lt;= Tickets[[#This Row],[SLA_Target_Hours]], "Yes", "No")</f>
        <v>Yes</v>
      </c>
    </row>
    <row r="1458" spans="1:16" hidden="1">
      <c r="A1458">
        <v>1457</v>
      </c>
      <c r="B1458" t="s">
        <v>1456</v>
      </c>
      <c r="C1458" t="s">
        <v>3437</v>
      </c>
      <c r="D1458" t="s">
        <v>3996</v>
      </c>
      <c r="E1458" s="1">
        <v>44127</v>
      </c>
      <c r="F1458" t="s">
        <v>4000</v>
      </c>
      <c r="G1458" t="s">
        <v>4006</v>
      </c>
      <c r="H1458" t="s">
        <v>4018</v>
      </c>
      <c r="I1458" t="s">
        <v>4023</v>
      </c>
      <c r="J1458" t="s">
        <v>4028</v>
      </c>
      <c r="K1458" s="2">
        <v>44196</v>
      </c>
      <c r="L1458" s="2">
        <v>44198</v>
      </c>
      <c r="M1458">
        <v>4</v>
      </c>
      <c r="N1458">
        <v>48</v>
      </c>
      <c r="O1458">
        <f>IF(Tickets[[#This Row],[Ticket Priority]]="Critical",24,
IF(Tickets[[#This Row],[Ticket Priority]]="High",48,
IF(Tickets[[#This Row],[Ticket Priority]]="Medium",120,168)))</f>
        <v>120</v>
      </c>
      <c r="P1458" t="str">
        <f>IF(Tickets[[#This Row],[Resolution Duration Hours]] &lt;= Tickets[[#This Row],[SLA_Target_Hours]], "Yes", "No")</f>
        <v>Yes</v>
      </c>
    </row>
    <row r="1459" spans="1:16" hidden="1">
      <c r="A1459">
        <v>1458</v>
      </c>
      <c r="B1459" t="s">
        <v>1457</v>
      </c>
      <c r="C1459" t="s">
        <v>3438</v>
      </c>
      <c r="D1459" t="s">
        <v>3997</v>
      </c>
      <c r="E1459" s="1">
        <v>43839</v>
      </c>
      <c r="F1459" t="s">
        <v>4002</v>
      </c>
      <c r="G1459" t="s">
        <v>4004</v>
      </c>
      <c r="H1459" t="s">
        <v>4018</v>
      </c>
      <c r="I1459" t="s">
        <v>4023</v>
      </c>
      <c r="J1459" t="s">
        <v>4027</v>
      </c>
      <c r="K1459" s="2">
        <v>44020</v>
      </c>
      <c r="L1459" s="2">
        <v>44024</v>
      </c>
      <c r="N1459">
        <v>96</v>
      </c>
      <c r="O1459">
        <f>IF(Tickets[[#This Row],[Ticket Priority]]="Critical",24,
IF(Tickets[[#This Row],[Ticket Priority]]="High",48,
IF(Tickets[[#This Row],[Ticket Priority]]="Medium",120,168)))</f>
        <v>120</v>
      </c>
      <c r="P1459" t="str">
        <f>IF(Tickets[[#This Row],[Resolution Duration Hours]] &lt;= Tickets[[#This Row],[SLA_Target_Hours]], "Yes", "No")</f>
        <v>Yes</v>
      </c>
    </row>
    <row r="1460" spans="1:16" hidden="1">
      <c r="A1460">
        <v>1459</v>
      </c>
      <c r="B1460" t="s">
        <v>1458</v>
      </c>
      <c r="C1460" t="s">
        <v>3439</v>
      </c>
      <c r="D1460" t="s">
        <v>3985</v>
      </c>
      <c r="E1460" s="1">
        <v>43883</v>
      </c>
      <c r="F1460" t="s">
        <v>4000</v>
      </c>
      <c r="G1460" t="s">
        <v>4012</v>
      </c>
      <c r="H1460" t="s">
        <v>4018</v>
      </c>
      <c r="I1460" t="s">
        <v>4023</v>
      </c>
      <c r="J1460" t="s">
        <v>4026</v>
      </c>
      <c r="K1460" s="2">
        <v>43901</v>
      </c>
      <c r="L1460" s="2">
        <v>43906</v>
      </c>
      <c r="M1460">
        <v>4</v>
      </c>
      <c r="N1460">
        <v>120</v>
      </c>
      <c r="O1460">
        <f>IF(Tickets[[#This Row],[Ticket Priority]]="Critical",24,
IF(Tickets[[#This Row],[Ticket Priority]]="High",48,
IF(Tickets[[#This Row],[Ticket Priority]]="Medium",120,168)))</f>
        <v>120</v>
      </c>
      <c r="P1460" t="str">
        <f>IF(Tickets[[#This Row],[Resolution Duration Hours]] &lt;= Tickets[[#This Row],[SLA_Target_Hours]], "Yes", "No")</f>
        <v>Yes</v>
      </c>
    </row>
    <row r="1461" spans="1:16" hidden="1">
      <c r="A1461">
        <v>1460</v>
      </c>
      <c r="B1461" t="s">
        <v>1459</v>
      </c>
      <c r="C1461" t="s">
        <v>3440</v>
      </c>
      <c r="D1461" t="s">
        <v>3983</v>
      </c>
      <c r="E1461" s="1">
        <v>44946</v>
      </c>
      <c r="F1461" t="s">
        <v>4002</v>
      </c>
      <c r="G1461" t="s">
        <v>4013</v>
      </c>
      <c r="H1461" t="s">
        <v>4018</v>
      </c>
      <c r="I1461" t="s">
        <v>4022</v>
      </c>
      <c r="J1461" t="s">
        <v>4027</v>
      </c>
      <c r="K1461" s="2">
        <v>45195</v>
      </c>
      <c r="L1461" s="2">
        <v>45195</v>
      </c>
      <c r="M1461">
        <v>5</v>
      </c>
      <c r="N1461">
        <v>0</v>
      </c>
      <c r="O1461">
        <f>IF(Tickets[[#This Row],[Ticket Priority]]="Critical",24,
IF(Tickets[[#This Row],[Ticket Priority]]="High",48,
IF(Tickets[[#This Row],[Ticket Priority]]="Medium",120,168)))</f>
        <v>24</v>
      </c>
      <c r="P1461" t="str">
        <f>IF(Tickets[[#This Row],[Resolution Duration Hours]] &lt;= Tickets[[#This Row],[SLA_Target_Hours]], "Yes", "No")</f>
        <v>Yes</v>
      </c>
    </row>
    <row r="1462" spans="1:16">
      <c r="A1462">
        <v>12</v>
      </c>
      <c r="B1462" t="s">
        <v>25</v>
      </c>
      <c r="C1462" t="s">
        <v>1995</v>
      </c>
      <c r="D1462" t="s">
        <v>3979</v>
      </c>
      <c r="E1462" s="1">
        <v>44597</v>
      </c>
      <c r="F1462" t="s">
        <v>4002</v>
      </c>
      <c r="G1462" t="s">
        <v>4004</v>
      </c>
      <c r="H1462" t="s">
        <v>4018</v>
      </c>
      <c r="I1462" t="s">
        <v>4023</v>
      </c>
      <c r="J1462" t="s">
        <v>4028</v>
      </c>
      <c r="K1462" s="2">
        <v>44747</v>
      </c>
      <c r="L1462" s="2">
        <v>44753</v>
      </c>
      <c r="N1462">
        <v>144</v>
      </c>
      <c r="O1462">
        <f>IF(Tickets[[#This Row],[Ticket Priority]]="Critical",24,
IF(Tickets[[#This Row],[Ticket Priority]]="High",48,
IF(Tickets[[#This Row],[Ticket Priority]]="Medium",120,168)))</f>
        <v>120</v>
      </c>
      <c r="P1462" t="str">
        <f>IF(Tickets[[#This Row],[Resolution Duration Hours]] &lt;= Tickets[[#This Row],[SLA_Target_Hours]], "Yes", "No")</f>
        <v>No</v>
      </c>
    </row>
    <row r="1463" spans="1:16" hidden="1">
      <c r="A1463">
        <v>1462</v>
      </c>
      <c r="B1463" t="s">
        <v>1461</v>
      </c>
      <c r="C1463" t="s">
        <v>3442</v>
      </c>
      <c r="D1463" t="s">
        <v>3985</v>
      </c>
      <c r="E1463" s="1">
        <v>43959</v>
      </c>
      <c r="F1463" t="s">
        <v>3999</v>
      </c>
      <c r="G1463" t="s">
        <v>4011</v>
      </c>
      <c r="H1463" t="s">
        <v>4018</v>
      </c>
      <c r="I1463" t="s">
        <v>4021</v>
      </c>
      <c r="J1463" t="s">
        <v>4026</v>
      </c>
      <c r="K1463" s="2">
        <v>44172</v>
      </c>
      <c r="L1463" s="2">
        <v>44174</v>
      </c>
      <c r="N1463">
        <v>48</v>
      </c>
      <c r="O1463">
        <f>IF(Tickets[[#This Row],[Ticket Priority]]="Critical",24,
IF(Tickets[[#This Row],[Ticket Priority]]="High",48,
IF(Tickets[[#This Row],[Ticket Priority]]="Medium",120,168)))</f>
        <v>48</v>
      </c>
      <c r="P1463" t="str">
        <f>IF(Tickets[[#This Row],[Resolution Duration Hours]] &lt;= Tickets[[#This Row],[SLA_Target_Hours]], "Yes", "No")</f>
        <v>Yes</v>
      </c>
    </row>
    <row r="1464" spans="1:16" hidden="1">
      <c r="A1464">
        <v>1463</v>
      </c>
      <c r="B1464" t="s">
        <v>1462</v>
      </c>
      <c r="C1464" t="s">
        <v>3443</v>
      </c>
      <c r="D1464" t="s">
        <v>3995</v>
      </c>
      <c r="E1464" s="1">
        <v>44132</v>
      </c>
      <c r="F1464" t="s">
        <v>4000</v>
      </c>
      <c r="G1464" t="s">
        <v>4003</v>
      </c>
      <c r="H1464" t="s">
        <v>4019</v>
      </c>
      <c r="I1464" t="s">
        <v>4023</v>
      </c>
      <c r="J1464" t="s">
        <v>4027</v>
      </c>
      <c r="K1464" s="2">
        <v>44171</v>
      </c>
      <c r="L1464" s="2">
        <v>44173</v>
      </c>
      <c r="M1464">
        <v>3</v>
      </c>
      <c r="N1464">
        <v>48</v>
      </c>
      <c r="O1464">
        <f>IF(Tickets[[#This Row],[Ticket Priority]]="Critical",24,
IF(Tickets[[#This Row],[Ticket Priority]]="High",48,
IF(Tickets[[#This Row],[Ticket Priority]]="Medium",120,168)))</f>
        <v>120</v>
      </c>
      <c r="P1464" t="str">
        <f>IF(Tickets[[#This Row],[Resolution Duration Hours]] &lt;= Tickets[[#This Row],[SLA_Target_Hours]], "Yes", "No")</f>
        <v>Yes</v>
      </c>
    </row>
    <row r="1465" spans="1:16" hidden="1">
      <c r="A1465">
        <v>1464</v>
      </c>
      <c r="B1465" t="s">
        <v>1463</v>
      </c>
      <c r="C1465" t="s">
        <v>3444</v>
      </c>
      <c r="D1465" t="s">
        <v>3989</v>
      </c>
      <c r="E1465" s="1">
        <v>44399</v>
      </c>
      <c r="F1465" t="s">
        <v>3999</v>
      </c>
      <c r="G1465" t="s">
        <v>4010</v>
      </c>
      <c r="H1465" t="s">
        <v>4017</v>
      </c>
      <c r="I1465" t="s">
        <v>4021</v>
      </c>
      <c r="J1465" t="s">
        <v>4025</v>
      </c>
      <c r="K1465" s="2">
        <v>44557</v>
      </c>
      <c r="L1465" s="2">
        <v>44559</v>
      </c>
      <c r="N1465">
        <v>48</v>
      </c>
      <c r="O1465">
        <f>IF(Tickets[[#This Row],[Ticket Priority]]="Critical",24,
IF(Tickets[[#This Row],[Ticket Priority]]="High",48,
IF(Tickets[[#This Row],[Ticket Priority]]="Medium",120,168)))</f>
        <v>48</v>
      </c>
      <c r="P1465" t="str">
        <f>IF(Tickets[[#This Row],[Resolution Duration Hours]] &lt;= Tickets[[#This Row],[SLA_Target_Hours]], "Yes", "No")</f>
        <v>Yes</v>
      </c>
    </row>
    <row r="1466" spans="1:16" hidden="1">
      <c r="A1466">
        <v>1465</v>
      </c>
      <c r="B1466" t="s">
        <v>1464</v>
      </c>
      <c r="C1466" t="s">
        <v>3445</v>
      </c>
      <c r="D1466" t="s">
        <v>3987</v>
      </c>
      <c r="E1466" s="1">
        <v>44060</v>
      </c>
      <c r="F1466" t="s">
        <v>3998</v>
      </c>
      <c r="G1466" t="s">
        <v>4007</v>
      </c>
      <c r="H1466" t="s">
        <v>4020</v>
      </c>
      <c r="I1466" t="s">
        <v>4023</v>
      </c>
      <c r="J1466" t="s">
        <v>4028</v>
      </c>
      <c r="K1466" s="2">
        <v>44320</v>
      </c>
      <c r="L1466" s="2">
        <v>44324</v>
      </c>
      <c r="N1466">
        <v>96</v>
      </c>
      <c r="O1466">
        <f>IF(Tickets[[#This Row],[Ticket Priority]]="Critical",24,
IF(Tickets[[#This Row],[Ticket Priority]]="High",48,
IF(Tickets[[#This Row],[Ticket Priority]]="Medium",120,168)))</f>
        <v>120</v>
      </c>
      <c r="P1466" t="str">
        <f>IF(Tickets[[#This Row],[Resolution Duration Hours]] &lt;= Tickets[[#This Row],[SLA_Target_Hours]], "Yes", "No")</f>
        <v>Yes</v>
      </c>
    </row>
    <row r="1467" spans="1:16">
      <c r="A1467">
        <v>82</v>
      </c>
      <c r="B1467" t="s">
        <v>95</v>
      </c>
      <c r="C1467" t="s">
        <v>2065</v>
      </c>
      <c r="D1467" t="s">
        <v>3992</v>
      </c>
      <c r="E1467" s="1">
        <v>45062</v>
      </c>
      <c r="F1467" t="s">
        <v>4000</v>
      </c>
      <c r="G1467" t="s">
        <v>4003</v>
      </c>
      <c r="H1467" t="s">
        <v>4018</v>
      </c>
      <c r="I1467" t="s">
        <v>4023</v>
      </c>
      <c r="J1467" t="s">
        <v>4026</v>
      </c>
      <c r="K1467" s="2">
        <v>45124</v>
      </c>
      <c r="L1467" s="2">
        <v>45130</v>
      </c>
      <c r="M1467">
        <v>3</v>
      </c>
      <c r="N1467">
        <v>144</v>
      </c>
      <c r="O1467">
        <f>IF(Tickets[[#This Row],[Ticket Priority]]="Critical",24,
IF(Tickets[[#This Row],[Ticket Priority]]="High",48,
IF(Tickets[[#This Row],[Ticket Priority]]="Medium",120,168)))</f>
        <v>120</v>
      </c>
      <c r="P1467" t="str">
        <f>IF(Tickets[[#This Row],[Resolution Duration Hours]] &lt;= Tickets[[#This Row],[SLA_Target_Hours]], "Yes", "No")</f>
        <v>No</v>
      </c>
    </row>
    <row r="1468" spans="1:16" hidden="1">
      <c r="A1468">
        <v>1467</v>
      </c>
      <c r="B1468" t="s">
        <v>1466</v>
      </c>
      <c r="C1468" t="s">
        <v>3447</v>
      </c>
      <c r="D1468" t="s">
        <v>3980</v>
      </c>
      <c r="E1468" s="1">
        <v>44713</v>
      </c>
      <c r="F1468" t="s">
        <v>3999</v>
      </c>
      <c r="G1468" t="s">
        <v>4014</v>
      </c>
      <c r="H1468" t="s">
        <v>4018</v>
      </c>
      <c r="I1468" t="s">
        <v>4024</v>
      </c>
      <c r="J1468" t="s">
        <v>4026</v>
      </c>
      <c r="K1468" s="2">
        <v>44972</v>
      </c>
      <c r="L1468" s="2">
        <v>44974</v>
      </c>
      <c r="M1468">
        <v>5</v>
      </c>
      <c r="N1468">
        <v>48</v>
      </c>
      <c r="O1468">
        <f>IF(Tickets[[#This Row],[Ticket Priority]]="Critical",24,
IF(Tickets[[#This Row],[Ticket Priority]]="High",48,
IF(Tickets[[#This Row],[Ticket Priority]]="Medium",120,168)))</f>
        <v>168</v>
      </c>
      <c r="P1468" t="str">
        <f>IF(Tickets[[#This Row],[Resolution Duration Hours]] &lt;= Tickets[[#This Row],[SLA_Target_Hours]], "Yes", "No")</f>
        <v>Yes</v>
      </c>
    </row>
    <row r="1469" spans="1:16" hidden="1">
      <c r="A1469">
        <v>1468</v>
      </c>
      <c r="B1469" t="s">
        <v>1467</v>
      </c>
      <c r="C1469" t="s">
        <v>3448</v>
      </c>
      <c r="D1469" t="s">
        <v>3989</v>
      </c>
      <c r="E1469" s="1">
        <v>43965</v>
      </c>
      <c r="F1469" t="s">
        <v>4002</v>
      </c>
      <c r="G1469" t="s">
        <v>4005</v>
      </c>
      <c r="H1469" t="s">
        <v>4017</v>
      </c>
      <c r="I1469" t="s">
        <v>4023</v>
      </c>
      <c r="J1469" t="s">
        <v>4026</v>
      </c>
      <c r="K1469" s="2">
        <v>44012</v>
      </c>
      <c r="L1469" s="2">
        <v>44014</v>
      </c>
      <c r="N1469">
        <v>48</v>
      </c>
      <c r="O1469">
        <f>IF(Tickets[[#This Row],[Ticket Priority]]="Critical",24,
IF(Tickets[[#This Row],[Ticket Priority]]="High",48,
IF(Tickets[[#This Row],[Ticket Priority]]="Medium",120,168)))</f>
        <v>120</v>
      </c>
      <c r="P1469" t="str">
        <f>IF(Tickets[[#This Row],[Resolution Duration Hours]] &lt;= Tickets[[#This Row],[SLA_Target_Hours]], "Yes", "No")</f>
        <v>Yes</v>
      </c>
    </row>
    <row r="1470" spans="1:16" hidden="1">
      <c r="A1470">
        <v>1469</v>
      </c>
      <c r="B1470" t="s">
        <v>1468</v>
      </c>
      <c r="C1470" t="s">
        <v>3449</v>
      </c>
      <c r="D1470" t="s">
        <v>3995</v>
      </c>
      <c r="E1470" s="1">
        <v>44546</v>
      </c>
      <c r="F1470" t="s">
        <v>4002</v>
      </c>
      <c r="G1470" t="s">
        <v>4010</v>
      </c>
      <c r="H1470" t="s">
        <v>4018</v>
      </c>
      <c r="I1470" t="s">
        <v>4024</v>
      </c>
      <c r="J1470" t="s">
        <v>4027</v>
      </c>
      <c r="K1470" s="2">
        <v>44837</v>
      </c>
      <c r="L1470" s="2">
        <v>44842</v>
      </c>
      <c r="N1470">
        <v>120</v>
      </c>
      <c r="O1470">
        <f>IF(Tickets[[#This Row],[Ticket Priority]]="Critical",24,
IF(Tickets[[#This Row],[Ticket Priority]]="High",48,
IF(Tickets[[#This Row],[Ticket Priority]]="Medium",120,168)))</f>
        <v>168</v>
      </c>
      <c r="P1470" t="str">
        <f>IF(Tickets[[#This Row],[Resolution Duration Hours]] &lt;= Tickets[[#This Row],[SLA_Target_Hours]], "Yes", "No")</f>
        <v>Yes</v>
      </c>
    </row>
    <row r="1471" spans="1:16" hidden="1">
      <c r="A1471">
        <v>1470</v>
      </c>
      <c r="B1471" t="s">
        <v>1469</v>
      </c>
      <c r="C1471" t="s">
        <v>3450</v>
      </c>
      <c r="D1471" t="s">
        <v>3982</v>
      </c>
      <c r="E1471" s="1">
        <v>43913</v>
      </c>
      <c r="F1471" t="s">
        <v>4000</v>
      </c>
      <c r="G1471" t="s">
        <v>4003</v>
      </c>
      <c r="H1471" t="s">
        <v>4019</v>
      </c>
      <c r="I1471" t="s">
        <v>4023</v>
      </c>
      <c r="J1471" t="s">
        <v>4027</v>
      </c>
      <c r="K1471" s="2">
        <v>43932</v>
      </c>
      <c r="L1471" s="2">
        <v>43936</v>
      </c>
      <c r="M1471">
        <v>5</v>
      </c>
      <c r="N1471">
        <v>96</v>
      </c>
      <c r="O1471">
        <f>IF(Tickets[[#This Row],[Ticket Priority]]="Critical",24,
IF(Tickets[[#This Row],[Ticket Priority]]="High",48,
IF(Tickets[[#This Row],[Ticket Priority]]="Medium",120,168)))</f>
        <v>120</v>
      </c>
      <c r="P1471" t="str">
        <f>IF(Tickets[[#This Row],[Resolution Duration Hours]] &lt;= Tickets[[#This Row],[SLA_Target_Hours]], "Yes", "No")</f>
        <v>Yes</v>
      </c>
    </row>
    <row r="1472" spans="1:16">
      <c r="A1472">
        <v>85</v>
      </c>
      <c r="B1472" t="s">
        <v>98</v>
      </c>
      <c r="C1472" t="s">
        <v>2068</v>
      </c>
      <c r="D1472" t="s">
        <v>3995</v>
      </c>
      <c r="E1472" s="1">
        <v>44956</v>
      </c>
      <c r="F1472" t="s">
        <v>4000</v>
      </c>
      <c r="G1472" t="s">
        <v>4016</v>
      </c>
      <c r="H1472" t="s">
        <v>4018</v>
      </c>
      <c r="I1472" t="s">
        <v>4023</v>
      </c>
      <c r="J1472" t="s">
        <v>4028</v>
      </c>
      <c r="K1472" s="2">
        <v>45130</v>
      </c>
      <c r="L1472" s="2">
        <v>45136</v>
      </c>
      <c r="M1472">
        <v>3</v>
      </c>
      <c r="N1472">
        <v>144</v>
      </c>
      <c r="O1472">
        <f>IF(Tickets[[#This Row],[Ticket Priority]]="Critical",24,
IF(Tickets[[#This Row],[Ticket Priority]]="High",48,
IF(Tickets[[#This Row],[Ticket Priority]]="Medium",120,168)))</f>
        <v>120</v>
      </c>
      <c r="P1472" t="str">
        <f>IF(Tickets[[#This Row],[Resolution Duration Hours]] &lt;= Tickets[[#This Row],[SLA_Target_Hours]], "Yes", "No")</f>
        <v>No</v>
      </c>
    </row>
    <row r="1473" spans="1:16" hidden="1">
      <c r="A1473">
        <v>1472</v>
      </c>
      <c r="B1473" t="s">
        <v>1471</v>
      </c>
      <c r="C1473" t="s">
        <v>3452</v>
      </c>
      <c r="D1473" t="s">
        <v>3997</v>
      </c>
      <c r="E1473" s="1">
        <v>45030</v>
      </c>
      <c r="F1473" t="s">
        <v>4002</v>
      </c>
      <c r="G1473" t="s">
        <v>4005</v>
      </c>
      <c r="H1473" t="s">
        <v>4020</v>
      </c>
      <c r="I1473" t="s">
        <v>4024</v>
      </c>
      <c r="J1473" t="s">
        <v>4025</v>
      </c>
      <c r="K1473" s="2">
        <v>45109</v>
      </c>
      <c r="L1473" s="2">
        <v>45115</v>
      </c>
      <c r="N1473">
        <v>144</v>
      </c>
      <c r="O1473">
        <f>IF(Tickets[[#This Row],[Ticket Priority]]="Critical",24,
IF(Tickets[[#This Row],[Ticket Priority]]="High",48,
IF(Tickets[[#This Row],[Ticket Priority]]="Medium",120,168)))</f>
        <v>168</v>
      </c>
      <c r="P1473" t="str">
        <f>IF(Tickets[[#This Row],[Resolution Duration Hours]] &lt;= Tickets[[#This Row],[SLA_Target_Hours]], "Yes", "No")</f>
        <v>Yes</v>
      </c>
    </row>
    <row r="1474" spans="1:16" hidden="1">
      <c r="A1474">
        <v>1473</v>
      </c>
      <c r="B1474" t="s">
        <v>1472</v>
      </c>
      <c r="C1474" t="s">
        <v>3453</v>
      </c>
      <c r="D1474" t="s">
        <v>3987</v>
      </c>
      <c r="E1474" s="1">
        <v>44072</v>
      </c>
      <c r="F1474" t="s">
        <v>3998</v>
      </c>
      <c r="G1474" t="s">
        <v>4012</v>
      </c>
      <c r="H1474" t="s">
        <v>4018</v>
      </c>
      <c r="I1474" t="s">
        <v>4023</v>
      </c>
      <c r="J1474" t="s">
        <v>4026</v>
      </c>
      <c r="K1474" s="2">
        <v>44294</v>
      </c>
      <c r="L1474" s="2">
        <v>44298</v>
      </c>
      <c r="M1474">
        <v>5</v>
      </c>
      <c r="N1474">
        <v>96</v>
      </c>
      <c r="O1474">
        <f>IF(Tickets[[#This Row],[Ticket Priority]]="Critical",24,
IF(Tickets[[#This Row],[Ticket Priority]]="High",48,
IF(Tickets[[#This Row],[Ticket Priority]]="Medium",120,168)))</f>
        <v>120</v>
      </c>
      <c r="P1474" t="str">
        <f>IF(Tickets[[#This Row],[Resolution Duration Hours]] &lt;= Tickets[[#This Row],[SLA_Target_Hours]], "Yes", "No")</f>
        <v>Yes</v>
      </c>
    </row>
    <row r="1475" spans="1:16" hidden="1">
      <c r="A1475">
        <v>1474</v>
      </c>
      <c r="B1475" t="s">
        <v>1473</v>
      </c>
      <c r="C1475" t="s">
        <v>3454</v>
      </c>
      <c r="D1475" t="s">
        <v>3990</v>
      </c>
      <c r="E1475" s="1">
        <v>44917</v>
      </c>
      <c r="F1475" t="s">
        <v>4002</v>
      </c>
      <c r="G1475" t="s">
        <v>4006</v>
      </c>
      <c r="H1475" t="s">
        <v>4019</v>
      </c>
      <c r="I1475" t="s">
        <v>4023</v>
      </c>
      <c r="J1475" t="s">
        <v>4028</v>
      </c>
      <c r="K1475" s="2">
        <v>44971</v>
      </c>
      <c r="L1475" s="2">
        <v>44974</v>
      </c>
      <c r="M1475">
        <v>5</v>
      </c>
      <c r="N1475">
        <v>72</v>
      </c>
      <c r="O1475">
        <f>IF(Tickets[[#This Row],[Ticket Priority]]="Critical",24,
IF(Tickets[[#This Row],[Ticket Priority]]="High",48,
IF(Tickets[[#This Row],[Ticket Priority]]="Medium",120,168)))</f>
        <v>120</v>
      </c>
      <c r="P1475" t="str">
        <f>IF(Tickets[[#This Row],[Resolution Duration Hours]] &lt;= Tickets[[#This Row],[SLA_Target_Hours]], "Yes", "No")</f>
        <v>Yes</v>
      </c>
    </row>
    <row r="1476" spans="1:16" hidden="1">
      <c r="A1476">
        <v>1475</v>
      </c>
      <c r="B1476" t="s">
        <v>1474</v>
      </c>
      <c r="C1476" t="s">
        <v>3455</v>
      </c>
      <c r="D1476" t="s">
        <v>3991</v>
      </c>
      <c r="E1476" s="1">
        <v>44557</v>
      </c>
      <c r="F1476" t="s">
        <v>4000</v>
      </c>
      <c r="G1476" t="s">
        <v>4006</v>
      </c>
      <c r="H1476" t="s">
        <v>4018</v>
      </c>
      <c r="I1476" t="s">
        <v>4024</v>
      </c>
      <c r="J1476" t="s">
        <v>4026</v>
      </c>
      <c r="K1476" s="2">
        <v>44815</v>
      </c>
      <c r="L1476" s="2">
        <v>44822</v>
      </c>
      <c r="M1476">
        <v>4</v>
      </c>
      <c r="N1476">
        <v>168</v>
      </c>
      <c r="O1476">
        <f>IF(Tickets[[#This Row],[Ticket Priority]]="Critical",24,
IF(Tickets[[#This Row],[Ticket Priority]]="High",48,
IF(Tickets[[#This Row],[Ticket Priority]]="Medium",120,168)))</f>
        <v>168</v>
      </c>
      <c r="P1476" t="str">
        <f>IF(Tickets[[#This Row],[Resolution Duration Hours]] &lt;= Tickets[[#This Row],[SLA_Target_Hours]], "Yes", "No")</f>
        <v>Yes</v>
      </c>
    </row>
    <row r="1477" spans="1:16">
      <c r="A1477">
        <v>220</v>
      </c>
      <c r="B1477" t="s">
        <v>233</v>
      </c>
      <c r="C1477" t="s">
        <v>2203</v>
      </c>
      <c r="D1477" t="s">
        <v>3995</v>
      </c>
      <c r="E1477" s="1">
        <v>43924</v>
      </c>
      <c r="F1477" t="s">
        <v>3999</v>
      </c>
      <c r="G1477" t="s">
        <v>4012</v>
      </c>
      <c r="H1477" t="s">
        <v>4018</v>
      </c>
      <c r="I1477" t="s">
        <v>4023</v>
      </c>
      <c r="J1477" t="s">
        <v>4028</v>
      </c>
      <c r="K1477" s="2">
        <v>44075</v>
      </c>
      <c r="L1477" s="2">
        <v>44081</v>
      </c>
      <c r="M1477">
        <v>4</v>
      </c>
      <c r="N1477">
        <v>144</v>
      </c>
      <c r="O1477">
        <f>IF(Tickets[[#This Row],[Ticket Priority]]="Critical",24,
IF(Tickets[[#This Row],[Ticket Priority]]="High",48,
IF(Tickets[[#This Row],[Ticket Priority]]="Medium",120,168)))</f>
        <v>120</v>
      </c>
      <c r="P1477" t="str">
        <f>IF(Tickets[[#This Row],[Resolution Duration Hours]] &lt;= Tickets[[#This Row],[SLA_Target_Hours]], "Yes", "No")</f>
        <v>No</v>
      </c>
    </row>
    <row r="1478" spans="1:16" hidden="1">
      <c r="A1478">
        <v>1477</v>
      </c>
      <c r="B1478" t="s">
        <v>1476</v>
      </c>
      <c r="C1478" t="s">
        <v>3457</v>
      </c>
      <c r="D1478" t="s">
        <v>3993</v>
      </c>
      <c r="E1478" s="1">
        <v>44485</v>
      </c>
      <c r="F1478" t="s">
        <v>3999</v>
      </c>
      <c r="G1478" t="s">
        <v>4005</v>
      </c>
      <c r="H1478" t="s">
        <v>4018</v>
      </c>
      <c r="I1478" t="s">
        <v>4023</v>
      </c>
      <c r="J1478" t="s">
        <v>4025</v>
      </c>
      <c r="K1478" s="2">
        <v>44734</v>
      </c>
      <c r="L1478" s="2">
        <v>44738</v>
      </c>
      <c r="M1478">
        <v>5</v>
      </c>
      <c r="N1478">
        <v>96</v>
      </c>
      <c r="O1478">
        <f>IF(Tickets[[#This Row],[Ticket Priority]]="Critical",24,
IF(Tickets[[#This Row],[Ticket Priority]]="High",48,
IF(Tickets[[#This Row],[Ticket Priority]]="Medium",120,168)))</f>
        <v>120</v>
      </c>
      <c r="P1478" t="str">
        <f>IF(Tickets[[#This Row],[Resolution Duration Hours]] &lt;= Tickets[[#This Row],[SLA_Target_Hours]], "Yes", "No")</f>
        <v>Yes</v>
      </c>
    </row>
    <row r="1479" spans="1:16" hidden="1">
      <c r="A1479">
        <v>1478</v>
      </c>
      <c r="B1479" t="s">
        <v>1477</v>
      </c>
      <c r="C1479" t="s">
        <v>3458</v>
      </c>
      <c r="D1479" t="s">
        <v>3982</v>
      </c>
      <c r="E1479" s="1">
        <v>44680</v>
      </c>
      <c r="F1479" t="s">
        <v>4001</v>
      </c>
      <c r="G1479" t="s">
        <v>4014</v>
      </c>
      <c r="H1479" t="s">
        <v>4017</v>
      </c>
      <c r="I1479" t="s">
        <v>4023</v>
      </c>
      <c r="J1479" t="s">
        <v>4026</v>
      </c>
      <c r="K1479" s="2">
        <v>44852</v>
      </c>
      <c r="L1479" s="2">
        <v>44855</v>
      </c>
      <c r="N1479">
        <v>72</v>
      </c>
      <c r="O1479">
        <f>IF(Tickets[[#This Row],[Ticket Priority]]="Critical",24,
IF(Tickets[[#This Row],[Ticket Priority]]="High",48,
IF(Tickets[[#This Row],[Ticket Priority]]="Medium",120,168)))</f>
        <v>120</v>
      </c>
      <c r="P1479" t="str">
        <f>IF(Tickets[[#This Row],[Resolution Duration Hours]] &lt;= Tickets[[#This Row],[SLA_Target_Hours]], "Yes", "No")</f>
        <v>Yes</v>
      </c>
    </row>
    <row r="1480" spans="1:16" hidden="1">
      <c r="A1480">
        <v>1479</v>
      </c>
      <c r="B1480" t="s">
        <v>1478</v>
      </c>
      <c r="C1480" t="s">
        <v>3459</v>
      </c>
      <c r="D1480" t="s">
        <v>3991</v>
      </c>
      <c r="E1480" s="1">
        <v>44966</v>
      </c>
      <c r="F1480" t="s">
        <v>4001</v>
      </c>
      <c r="G1480" t="s">
        <v>4011</v>
      </c>
      <c r="H1480" t="s">
        <v>4018</v>
      </c>
      <c r="I1480" t="s">
        <v>4021</v>
      </c>
      <c r="J1480" t="s">
        <v>4027</v>
      </c>
      <c r="K1480" s="2">
        <v>45185</v>
      </c>
      <c r="L1480" s="2">
        <v>45186</v>
      </c>
      <c r="M1480">
        <v>3</v>
      </c>
      <c r="N1480">
        <v>24</v>
      </c>
      <c r="O1480">
        <f>IF(Tickets[[#This Row],[Ticket Priority]]="Critical",24,
IF(Tickets[[#This Row],[Ticket Priority]]="High",48,
IF(Tickets[[#This Row],[Ticket Priority]]="Medium",120,168)))</f>
        <v>48</v>
      </c>
      <c r="P1480" t="str">
        <f>IF(Tickets[[#This Row],[Resolution Duration Hours]] &lt;= Tickets[[#This Row],[SLA_Target_Hours]], "Yes", "No")</f>
        <v>Yes</v>
      </c>
    </row>
    <row r="1481" spans="1:16" hidden="1">
      <c r="A1481">
        <v>1480</v>
      </c>
      <c r="B1481" t="s">
        <v>1479</v>
      </c>
      <c r="C1481" t="s">
        <v>3460</v>
      </c>
      <c r="D1481" t="s">
        <v>3985</v>
      </c>
      <c r="E1481" s="1">
        <v>43893</v>
      </c>
      <c r="F1481" t="s">
        <v>4001</v>
      </c>
      <c r="G1481" t="s">
        <v>4014</v>
      </c>
      <c r="H1481" t="s">
        <v>4018</v>
      </c>
      <c r="I1481" t="s">
        <v>4023</v>
      </c>
      <c r="J1481" t="s">
        <v>4028</v>
      </c>
      <c r="K1481" s="2">
        <v>44043</v>
      </c>
      <c r="L1481" s="2">
        <v>44047</v>
      </c>
      <c r="N1481">
        <v>96</v>
      </c>
      <c r="O1481">
        <f>IF(Tickets[[#This Row],[Ticket Priority]]="Critical",24,
IF(Tickets[[#This Row],[Ticket Priority]]="High",48,
IF(Tickets[[#This Row],[Ticket Priority]]="Medium",120,168)))</f>
        <v>120</v>
      </c>
      <c r="P1481" t="str">
        <f>IF(Tickets[[#This Row],[Resolution Duration Hours]] &lt;= Tickets[[#This Row],[SLA_Target_Hours]], "Yes", "No")</f>
        <v>Yes</v>
      </c>
    </row>
    <row r="1482" spans="1:16" hidden="1">
      <c r="A1482">
        <v>1481</v>
      </c>
      <c r="B1482" t="s">
        <v>1480</v>
      </c>
      <c r="C1482" t="s">
        <v>3461</v>
      </c>
      <c r="D1482" t="s">
        <v>3983</v>
      </c>
      <c r="E1482" s="1">
        <v>44453</v>
      </c>
      <c r="F1482" t="s">
        <v>4002</v>
      </c>
      <c r="G1482" t="s">
        <v>4006</v>
      </c>
      <c r="H1482" t="s">
        <v>4020</v>
      </c>
      <c r="I1482" t="s">
        <v>4023</v>
      </c>
      <c r="J1482" t="s">
        <v>4026</v>
      </c>
      <c r="K1482" s="2">
        <v>44504</v>
      </c>
      <c r="L1482" s="2">
        <v>44509</v>
      </c>
      <c r="N1482">
        <v>120</v>
      </c>
      <c r="O1482">
        <f>IF(Tickets[[#This Row],[Ticket Priority]]="Critical",24,
IF(Tickets[[#This Row],[Ticket Priority]]="High",48,
IF(Tickets[[#This Row],[Ticket Priority]]="Medium",120,168)))</f>
        <v>120</v>
      </c>
      <c r="P1482" t="str">
        <f>IF(Tickets[[#This Row],[Resolution Duration Hours]] &lt;= Tickets[[#This Row],[SLA_Target_Hours]], "Yes", "No")</f>
        <v>Yes</v>
      </c>
    </row>
    <row r="1483" spans="1:16" hidden="1">
      <c r="A1483">
        <v>1482</v>
      </c>
      <c r="B1483" t="s">
        <v>1481</v>
      </c>
      <c r="C1483" t="s">
        <v>3462</v>
      </c>
      <c r="D1483" t="s">
        <v>3996</v>
      </c>
      <c r="E1483" s="1">
        <v>44998</v>
      </c>
      <c r="F1483" t="s">
        <v>4001</v>
      </c>
      <c r="G1483" t="s">
        <v>4011</v>
      </c>
      <c r="H1483" t="s">
        <v>4020</v>
      </c>
      <c r="I1483" t="s">
        <v>4023</v>
      </c>
      <c r="J1483" t="s">
        <v>4026</v>
      </c>
      <c r="K1483" s="2">
        <v>45249</v>
      </c>
      <c r="L1483" s="2">
        <v>45253</v>
      </c>
      <c r="N1483">
        <v>96</v>
      </c>
      <c r="O1483">
        <f>IF(Tickets[[#This Row],[Ticket Priority]]="Critical",24,
IF(Tickets[[#This Row],[Ticket Priority]]="High",48,
IF(Tickets[[#This Row],[Ticket Priority]]="Medium",120,168)))</f>
        <v>120</v>
      </c>
      <c r="P1483" t="str">
        <f>IF(Tickets[[#This Row],[Resolution Duration Hours]] &lt;= Tickets[[#This Row],[SLA_Target_Hours]], "Yes", "No")</f>
        <v>Yes</v>
      </c>
    </row>
    <row r="1484" spans="1:16">
      <c r="A1484">
        <v>234</v>
      </c>
      <c r="B1484" t="s">
        <v>247</v>
      </c>
      <c r="C1484" t="s">
        <v>2217</v>
      </c>
      <c r="D1484" t="s">
        <v>3985</v>
      </c>
      <c r="E1484" s="1">
        <v>44951</v>
      </c>
      <c r="F1484" t="s">
        <v>4001</v>
      </c>
      <c r="G1484" t="s">
        <v>4014</v>
      </c>
      <c r="H1484" t="s">
        <v>4020</v>
      </c>
      <c r="I1484" t="s">
        <v>4021</v>
      </c>
      <c r="J1484" t="s">
        <v>4026</v>
      </c>
      <c r="K1484" s="2">
        <v>45150</v>
      </c>
      <c r="L1484" s="2">
        <v>45156</v>
      </c>
      <c r="N1484">
        <v>144</v>
      </c>
      <c r="O1484">
        <f>IF(Tickets[[#This Row],[Ticket Priority]]="Critical",24,
IF(Tickets[[#This Row],[Ticket Priority]]="High",48,
IF(Tickets[[#This Row],[Ticket Priority]]="Medium",120,168)))</f>
        <v>48</v>
      </c>
      <c r="P1484" t="str">
        <f>IF(Tickets[[#This Row],[Resolution Duration Hours]] &lt;= Tickets[[#This Row],[SLA_Target_Hours]], "Yes", "No")</f>
        <v>No</v>
      </c>
    </row>
    <row r="1485" spans="1:16" hidden="1">
      <c r="A1485">
        <v>1484</v>
      </c>
      <c r="B1485" t="s">
        <v>1483</v>
      </c>
      <c r="C1485" t="s">
        <v>3464</v>
      </c>
      <c r="D1485" t="s">
        <v>3992</v>
      </c>
      <c r="E1485" s="1">
        <v>43955</v>
      </c>
      <c r="F1485" t="s">
        <v>4002</v>
      </c>
      <c r="G1485" t="s">
        <v>4008</v>
      </c>
      <c r="H1485" t="s">
        <v>4018</v>
      </c>
      <c r="I1485" t="s">
        <v>4023</v>
      </c>
      <c r="J1485" t="s">
        <v>4025</v>
      </c>
      <c r="K1485" s="2">
        <v>44186</v>
      </c>
      <c r="L1485" s="2">
        <v>44191</v>
      </c>
      <c r="N1485">
        <v>120</v>
      </c>
      <c r="O1485">
        <f>IF(Tickets[[#This Row],[Ticket Priority]]="Critical",24,
IF(Tickets[[#This Row],[Ticket Priority]]="High",48,
IF(Tickets[[#This Row],[Ticket Priority]]="Medium",120,168)))</f>
        <v>120</v>
      </c>
      <c r="P1485" t="str">
        <f>IF(Tickets[[#This Row],[Resolution Duration Hours]] &lt;= Tickets[[#This Row],[SLA_Target_Hours]], "Yes", "No")</f>
        <v>Yes</v>
      </c>
    </row>
    <row r="1486" spans="1:16" hidden="1">
      <c r="A1486">
        <v>1485</v>
      </c>
      <c r="B1486" t="s">
        <v>1484</v>
      </c>
      <c r="C1486" t="s">
        <v>3465</v>
      </c>
      <c r="D1486" t="s">
        <v>3986</v>
      </c>
      <c r="E1486" s="1">
        <v>43838</v>
      </c>
      <c r="F1486" t="s">
        <v>4001</v>
      </c>
      <c r="G1486" t="s">
        <v>4014</v>
      </c>
      <c r="H1486" t="s">
        <v>4018</v>
      </c>
      <c r="I1486" t="s">
        <v>4021</v>
      </c>
      <c r="J1486" t="s">
        <v>4028</v>
      </c>
      <c r="K1486" s="2">
        <v>44179</v>
      </c>
      <c r="L1486" s="2">
        <v>44180</v>
      </c>
      <c r="M1486">
        <v>4</v>
      </c>
      <c r="N1486">
        <v>24</v>
      </c>
      <c r="O1486">
        <f>IF(Tickets[[#This Row],[Ticket Priority]]="Critical",24,
IF(Tickets[[#This Row],[Ticket Priority]]="High",48,
IF(Tickets[[#This Row],[Ticket Priority]]="Medium",120,168)))</f>
        <v>48</v>
      </c>
      <c r="P1486" t="str">
        <f>IF(Tickets[[#This Row],[Resolution Duration Hours]] &lt;= Tickets[[#This Row],[SLA_Target_Hours]], "Yes", "No")</f>
        <v>Yes</v>
      </c>
    </row>
    <row r="1487" spans="1:16" hidden="1">
      <c r="A1487">
        <v>1486</v>
      </c>
      <c r="B1487" t="s">
        <v>1485</v>
      </c>
      <c r="C1487" t="s">
        <v>3466</v>
      </c>
      <c r="D1487" t="s">
        <v>3984</v>
      </c>
      <c r="E1487" s="1">
        <v>44415</v>
      </c>
      <c r="F1487" t="s">
        <v>4000</v>
      </c>
      <c r="G1487" t="s">
        <v>4000</v>
      </c>
      <c r="H1487" t="s">
        <v>4018</v>
      </c>
      <c r="I1487" t="s">
        <v>4021</v>
      </c>
      <c r="J1487" t="s">
        <v>4025</v>
      </c>
      <c r="K1487" s="2">
        <v>44479</v>
      </c>
      <c r="L1487" s="2">
        <v>44481</v>
      </c>
      <c r="M1487">
        <v>5</v>
      </c>
      <c r="N1487">
        <v>48</v>
      </c>
      <c r="O1487">
        <f>IF(Tickets[[#This Row],[Ticket Priority]]="Critical",24,
IF(Tickets[[#This Row],[Ticket Priority]]="High",48,
IF(Tickets[[#This Row],[Ticket Priority]]="Medium",120,168)))</f>
        <v>48</v>
      </c>
      <c r="P1487" t="str">
        <f>IF(Tickets[[#This Row],[Resolution Duration Hours]] &lt;= Tickets[[#This Row],[SLA_Target_Hours]], "Yes", "No")</f>
        <v>Yes</v>
      </c>
    </row>
    <row r="1488" spans="1:16" hidden="1">
      <c r="A1488">
        <v>1487</v>
      </c>
      <c r="B1488" t="s">
        <v>1486</v>
      </c>
      <c r="C1488" t="s">
        <v>3467</v>
      </c>
      <c r="D1488" t="s">
        <v>3991</v>
      </c>
      <c r="E1488" s="1">
        <v>44452</v>
      </c>
      <c r="F1488" t="s">
        <v>3999</v>
      </c>
      <c r="G1488" t="s">
        <v>4003</v>
      </c>
      <c r="H1488" t="s">
        <v>4018</v>
      </c>
      <c r="I1488" t="s">
        <v>4024</v>
      </c>
      <c r="J1488" t="s">
        <v>4026</v>
      </c>
      <c r="K1488" s="2">
        <v>44752</v>
      </c>
      <c r="L1488" s="2">
        <v>44758</v>
      </c>
      <c r="M1488">
        <v>4</v>
      </c>
      <c r="N1488">
        <v>144</v>
      </c>
      <c r="O1488">
        <f>IF(Tickets[[#This Row],[Ticket Priority]]="Critical",24,
IF(Tickets[[#This Row],[Ticket Priority]]="High",48,
IF(Tickets[[#This Row],[Ticket Priority]]="Medium",120,168)))</f>
        <v>168</v>
      </c>
      <c r="P1488" t="str">
        <f>IF(Tickets[[#This Row],[Resolution Duration Hours]] &lt;= Tickets[[#This Row],[SLA_Target_Hours]], "Yes", "No")</f>
        <v>Yes</v>
      </c>
    </row>
    <row r="1489" spans="1:16" hidden="1">
      <c r="A1489">
        <v>1488</v>
      </c>
      <c r="B1489" t="s">
        <v>1487</v>
      </c>
      <c r="C1489" t="s">
        <v>3468</v>
      </c>
      <c r="D1489" t="s">
        <v>3990</v>
      </c>
      <c r="E1489" s="1">
        <v>44369</v>
      </c>
      <c r="F1489" t="s">
        <v>4002</v>
      </c>
      <c r="G1489" t="s">
        <v>4016</v>
      </c>
      <c r="H1489" t="s">
        <v>4018</v>
      </c>
      <c r="I1489" t="s">
        <v>4023</v>
      </c>
      <c r="J1489" t="s">
        <v>4026</v>
      </c>
      <c r="K1489" s="2">
        <v>44568</v>
      </c>
      <c r="L1489" s="2">
        <v>44569</v>
      </c>
      <c r="M1489">
        <v>4</v>
      </c>
      <c r="N1489">
        <v>24</v>
      </c>
      <c r="O1489">
        <f>IF(Tickets[[#This Row],[Ticket Priority]]="Critical",24,
IF(Tickets[[#This Row],[Ticket Priority]]="High",48,
IF(Tickets[[#This Row],[Ticket Priority]]="Medium",120,168)))</f>
        <v>120</v>
      </c>
      <c r="P1489" t="str">
        <f>IF(Tickets[[#This Row],[Resolution Duration Hours]] &lt;= Tickets[[#This Row],[SLA_Target_Hours]], "Yes", "No")</f>
        <v>Yes</v>
      </c>
    </row>
    <row r="1490" spans="1:16">
      <c r="A1490">
        <v>257</v>
      </c>
      <c r="B1490" t="s">
        <v>270</v>
      </c>
      <c r="C1490" t="s">
        <v>2240</v>
      </c>
      <c r="D1490" t="s">
        <v>3996</v>
      </c>
      <c r="E1490" s="1">
        <v>45054</v>
      </c>
      <c r="F1490" t="s">
        <v>4001</v>
      </c>
      <c r="G1490" t="s">
        <v>4009</v>
      </c>
      <c r="H1490" t="s">
        <v>4020</v>
      </c>
      <c r="I1490" t="s">
        <v>4023</v>
      </c>
      <c r="J1490" t="s">
        <v>4028</v>
      </c>
      <c r="K1490" s="2">
        <v>45341</v>
      </c>
      <c r="L1490" s="2">
        <v>45347</v>
      </c>
      <c r="N1490">
        <v>144</v>
      </c>
      <c r="O1490">
        <f>IF(Tickets[[#This Row],[Ticket Priority]]="Critical",24,
IF(Tickets[[#This Row],[Ticket Priority]]="High",48,
IF(Tickets[[#This Row],[Ticket Priority]]="Medium",120,168)))</f>
        <v>120</v>
      </c>
      <c r="P1490" t="str">
        <f>IF(Tickets[[#This Row],[Resolution Duration Hours]] &lt;= Tickets[[#This Row],[SLA_Target_Hours]], "Yes", "No")</f>
        <v>No</v>
      </c>
    </row>
    <row r="1491" spans="1:16" hidden="1">
      <c r="A1491">
        <v>1490</v>
      </c>
      <c r="B1491" t="s">
        <v>1489</v>
      </c>
      <c r="C1491" t="s">
        <v>3470</v>
      </c>
      <c r="D1491" t="s">
        <v>3988</v>
      </c>
      <c r="E1491" s="1">
        <v>43899</v>
      </c>
      <c r="F1491" t="s">
        <v>4000</v>
      </c>
      <c r="G1491" t="s">
        <v>4012</v>
      </c>
      <c r="H1491" t="s">
        <v>4017</v>
      </c>
      <c r="I1491" t="s">
        <v>4023</v>
      </c>
      <c r="J1491" t="s">
        <v>4028</v>
      </c>
      <c r="K1491" s="2">
        <v>44148</v>
      </c>
      <c r="L1491" s="2">
        <v>44152</v>
      </c>
      <c r="N1491">
        <v>96</v>
      </c>
      <c r="O1491">
        <f>IF(Tickets[[#This Row],[Ticket Priority]]="Critical",24,
IF(Tickets[[#This Row],[Ticket Priority]]="High",48,
IF(Tickets[[#This Row],[Ticket Priority]]="Medium",120,168)))</f>
        <v>120</v>
      </c>
      <c r="P1491" t="str">
        <f>IF(Tickets[[#This Row],[Resolution Duration Hours]] &lt;= Tickets[[#This Row],[SLA_Target_Hours]], "Yes", "No")</f>
        <v>Yes</v>
      </c>
    </row>
    <row r="1492" spans="1:16">
      <c r="A1492">
        <v>303</v>
      </c>
      <c r="B1492" t="s">
        <v>316</v>
      </c>
      <c r="C1492" t="s">
        <v>2286</v>
      </c>
      <c r="D1492" t="s">
        <v>3996</v>
      </c>
      <c r="E1492" s="1">
        <v>43929</v>
      </c>
      <c r="F1492" t="s">
        <v>4001</v>
      </c>
      <c r="G1492" t="s">
        <v>4000</v>
      </c>
      <c r="H1492" t="s">
        <v>4019</v>
      </c>
      <c r="I1492" t="s">
        <v>4023</v>
      </c>
      <c r="J1492" t="s">
        <v>4028</v>
      </c>
      <c r="K1492" s="2">
        <v>43999</v>
      </c>
      <c r="L1492" s="2">
        <v>44005</v>
      </c>
      <c r="M1492">
        <v>5</v>
      </c>
      <c r="N1492">
        <v>144</v>
      </c>
      <c r="O1492">
        <f>IF(Tickets[[#This Row],[Ticket Priority]]="Critical",24,
IF(Tickets[[#This Row],[Ticket Priority]]="High",48,
IF(Tickets[[#This Row],[Ticket Priority]]="Medium",120,168)))</f>
        <v>120</v>
      </c>
      <c r="P1492" t="str">
        <f>IF(Tickets[[#This Row],[Resolution Duration Hours]] &lt;= Tickets[[#This Row],[SLA_Target_Hours]], "Yes", "No")</f>
        <v>No</v>
      </c>
    </row>
    <row r="1493" spans="1:16" hidden="1">
      <c r="A1493">
        <v>1492</v>
      </c>
      <c r="B1493" t="s">
        <v>1491</v>
      </c>
      <c r="C1493" t="s">
        <v>3472</v>
      </c>
      <c r="D1493" t="s">
        <v>3992</v>
      </c>
      <c r="E1493" s="1">
        <v>44634</v>
      </c>
      <c r="F1493" t="s">
        <v>4000</v>
      </c>
      <c r="G1493" t="s">
        <v>4006</v>
      </c>
      <c r="H1493" t="s">
        <v>4018</v>
      </c>
      <c r="I1493" t="s">
        <v>4021</v>
      </c>
      <c r="J1493" t="s">
        <v>4026</v>
      </c>
      <c r="K1493" s="2">
        <v>44890</v>
      </c>
      <c r="L1493" s="2">
        <v>44892</v>
      </c>
      <c r="M1493">
        <v>4</v>
      </c>
      <c r="N1493">
        <v>48</v>
      </c>
      <c r="O1493">
        <f>IF(Tickets[[#This Row],[Ticket Priority]]="Critical",24,
IF(Tickets[[#This Row],[Ticket Priority]]="High",48,
IF(Tickets[[#This Row],[Ticket Priority]]="Medium",120,168)))</f>
        <v>48</v>
      </c>
      <c r="P1493" t="str">
        <f>IF(Tickets[[#This Row],[Resolution Duration Hours]] &lt;= Tickets[[#This Row],[SLA_Target_Hours]], "Yes", "No")</f>
        <v>Yes</v>
      </c>
    </row>
    <row r="1494" spans="1:16" hidden="1">
      <c r="A1494">
        <v>1493</v>
      </c>
      <c r="B1494" t="s">
        <v>1492</v>
      </c>
      <c r="C1494" t="s">
        <v>3473</v>
      </c>
      <c r="D1494" t="s">
        <v>3980</v>
      </c>
      <c r="E1494" s="1">
        <v>44080</v>
      </c>
      <c r="F1494" t="s">
        <v>3998</v>
      </c>
      <c r="G1494" t="s">
        <v>4004</v>
      </c>
      <c r="H1494" t="s">
        <v>4017</v>
      </c>
      <c r="I1494" t="s">
        <v>4021</v>
      </c>
      <c r="J1494" t="s">
        <v>4027</v>
      </c>
      <c r="K1494" s="2">
        <v>44393</v>
      </c>
      <c r="L1494" s="2">
        <v>44394</v>
      </c>
      <c r="N1494">
        <v>24</v>
      </c>
      <c r="O1494">
        <f>IF(Tickets[[#This Row],[Ticket Priority]]="Critical",24,
IF(Tickets[[#This Row],[Ticket Priority]]="High",48,
IF(Tickets[[#This Row],[Ticket Priority]]="Medium",120,168)))</f>
        <v>48</v>
      </c>
      <c r="P1494" t="str">
        <f>IF(Tickets[[#This Row],[Resolution Duration Hours]] &lt;= Tickets[[#This Row],[SLA_Target_Hours]], "Yes", "No")</f>
        <v>Yes</v>
      </c>
    </row>
    <row r="1495" spans="1:16" hidden="1">
      <c r="A1495">
        <v>1494</v>
      </c>
      <c r="B1495" t="s">
        <v>1493</v>
      </c>
      <c r="C1495" t="s">
        <v>3474</v>
      </c>
      <c r="D1495" t="s">
        <v>3986</v>
      </c>
      <c r="E1495" s="1">
        <v>44455</v>
      </c>
      <c r="F1495" t="s">
        <v>4001</v>
      </c>
      <c r="G1495" t="s">
        <v>4011</v>
      </c>
      <c r="H1495" t="s">
        <v>4017</v>
      </c>
      <c r="I1495" t="s">
        <v>4023</v>
      </c>
      <c r="J1495" t="s">
        <v>4028</v>
      </c>
      <c r="K1495" s="2">
        <v>44731</v>
      </c>
      <c r="L1495" s="2">
        <v>44736</v>
      </c>
      <c r="N1495">
        <v>120</v>
      </c>
      <c r="O1495">
        <f>IF(Tickets[[#This Row],[Ticket Priority]]="Critical",24,
IF(Tickets[[#This Row],[Ticket Priority]]="High",48,
IF(Tickets[[#This Row],[Ticket Priority]]="Medium",120,168)))</f>
        <v>120</v>
      </c>
      <c r="P1495" t="str">
        <f>IF(Tickets[[#This Row],[Resolution Duration Hours]] &lt;= Tickets[[#This Row],[SLA_Target_Hours]], "Yes", "No")</f>
        <v>Yes</v>
      </c>
    </row>
    <row r="1496" spans="1:16" hidden="1">
      <c r="A1496">
        <v>1495</v>
      </c>
      <c r="B1496" t="s">
        <v>1494</v>
      </c>
      <c r="C1496" t="s">
        <v>3475</v>
      </c>
      <c r="D1496" t="s">
        <v>3995</v>
      </c>
      <c r="E1496" s="1">
        <v>44610</v>
      </c>
      <c r="F1496" t="s">
        <v>3999</v>
      </c>
      <c r="G1496" t="s">
        <v>4006</v>
      </c>
      <c r="H1496" t="s">
        <v>4018</v>
      </c>
      <c r="I1496" t="s">
        <v>4023</v>
      </c>
      <c r="J1496" t="s">
        <v>4026</v>
      </c>
      <c r="K1496" s="2">
        <v>44847</v>
      </c>
      <c r="L1496" s="2">
        <v>44851</v>
      </c>
      <c r="M1496">
        <v>4</v>
      </c>
      <c r="N1496">
        <v>96</v>
      </c>
      <c r="O1496">
        <f>IF(Tickets[[#This Row],[Ticket Priority]]="Critical",24,
IF(Tickets[[#This Row],[Ticket Priority]]="High",48,
IF(Tickets[[#This Row],[Ticket Priority]]="Medium",120,168)))</f>
        <v>120</v>
      </c>
      <c r="P1496" t="str">
        <f>IF(Tickets[[#This Row],[Resolution Duration Hours]] &lt;= Tickets[[#This Row],[SLA_Target_Hours]], "Yes", "No")</f>
        <v>Yes</v>
      </c>
    </row>
    <row r="1497" spans="1:16" hidden="1">
      <c r="A1497">
        <v>1496</v>
      </c>
      <c r="B1497" t="s">
        <v>1495</v>
      </c>
      <c r="C1497" t="s">
        <v>3476</v>
      </c>
      <c r="D1497" t="s">
        <v>3994</v>
      </c>
      <c r="E1497" s="1">
        <v>45011</v>
      </c>
      <c r="F1497" t="s">
        <v>4002</v>
      </c>
      <c r="G1497" t="s">
        <v>4016</v>
      </c>
      <c r="H1497" t="s">
        <v>4017</v>
      </c>
      <c r="I1497" t="s">
        <v>4023</v>
      </c>
      <c r="J1497" t="s">
        <v>4026</v>
      </c>
      <c r="K1497" s="2">
        <v>45128</v>
      </c>
      <c r="L1497" s="2">
        <v>45131</v>
      </c>
      <c r="N1497">
        <v>72</v>
      </c>
      <c r="O1497">
        <f>IF(Tickets[[#This Row],[Ticket Priority]]="Critical",24,
IF(Tickets[[#This Row],[Ticket Priority]]="High",48,
IF(Tickets[[#This Row],[Ticket Priority]]="Medium",120,168)))</f>
        <v>120</v>
      </c>
      <c r="P1497" t="str">
        <f>IF(Tickets[[#This Row],[Resolution Duration Hours]] &lt;= Tickets[[#This Row],[SLA_Target_Hours]], "Yes", "No")</f>
        <v>Yes</v>
      </c>
    </row>
    <row r="1498" spans="1:16" hidden="1">
      <c r="A1498">
        <v>1497</v>
      </c>
      <c r="B1498" t="s">
        <v>1496</v>
      </c>
      <c r="C1498" t="s">
        <v>3477</v>
      </c>
      <c r="D1498" t="s">
        <v>3984</v>
      </c>
      <c r="E1498" s="1">
        <v>44630</v>
      </c>
      <c r="F1498" t="s">
        <v>3998</v>
      </c>
      <c r="G1498" t="s">
        <v>4000</v>
      </c>
      <c r="H1498" t="s">
        <v>4018</v>
      </c>
      <c r="I1498" t="s">
        <v>4023</v>
      </c>
      <c r="J1498" t="s">
        <v>4025</v>
      </c>
      <c r="K1498" s="2">
        <v>44752</v>
      </c>
      <c r="L1498" s="2">
        <v>44752</v>
      </c>
      <c r="M1498">
        <v>5</v>
      </c>
      <c r="N1498">
        <v>0</v>
      </c>
      <c r="O1498">
        <f>IF(Tickets[[#This Row],[Ticket Priority]]="Critical",24,
IF(Tickets[[#This Row],[Ticket Priority]]="High",48,
IF(Tickets[[#This Row],[Ticket Priority]]="Medium",120,168)))</f>
        <v>120</v>
      </c>
      <c r="P1498" t="str">
        <f>IF(Tickets[[#This Row],[Resolution Duration Hours]] &lt;= Tickets[[#This Row],[SLA_Target_Hours]], "Yes", "No")</f>
        <v>Yes</v>
      </c>
    </row>
    <row r="1499" spans="1:16" hidden="1">
      <c r="A1499">
        <v>1498</v>
      </c>
      <c r="B1499" t="s">
        <v>1497</v>
      </c>
      <c r="C1499" t="s">
        <v>3478</v>
      </c>
      <c r="D1499" t="s">
        <v>3986</v>
      </c>
      <c r="E1499" s="1">
        <v>44545</v>
      </c>
      <c r="F1499" t="s">
        <v>4002</v>
      </c>
      <c r="G1499" t="s">
        <v>4006</v>
      </c>
      <c r="H1499" t="s">
        <v>4018</v>
      </c>
      <c r="I1499" t="s">
        <v>4023</v>
      </c>
      <c r="J1499" t="s">
        <v>4025</v>
      </c>
      <c r="K1499" s="2">
        <v>44852</v>
      </c>
      <c r="L1499" s="2">
        <v>44855</v>
      </c>
      <c r="N1499">
        <v>72</v>
      </c>
      <c r="O1499">
        <f>IF(Tickets[[#This Row],[Ticket Priority]]="Critical",24,
IF(Tickets[[#This Row],[Ticket Priority]]="High",48,
IF(Tickets[[#This Row],[Ticket Priority]]="Medium",120,168)))</f>
        <v>120</v>
      </c>
      <c r="P1499" t="str">
        <f>IF(Tickets[[#This Row],[Resolution Duration Hours]] &lt;= Tickets[[#This Row],[SLA_Target_Hours]], "Yes", "No")</f>
        <v>Yes</v>
      </c>
    </row>
    <row r="1500" spans="1:16">
      <c r="A1500">
        <v>382</v>
      </c>
      <c r="B1500" t="s">
        <v>395</v>
      </c>
      <c r="C1500" t="s">
        <v>2365</v>
      </c>
      <c r="D1500" t="s">
        <v>3982</v>
      </c>
      <c r="E1500" s="1">
        <v>44019</v>
      </c>
      <c r="F1500" t="s">
        <v>4000</v>
      </c>
      <c r="G1500" t="s">
        <v>4013</v>
      </c>
      <c r="H1500" t="s">
        <v>4018</v>
      </c>
      <c r="I1500" t="s">
        <v>4023</v>
      </c>
      <c r="J1500" t="s">
        <v>4028</v>
      </c>
      <c r="K1500" s="2">
        <v>44276</v>
      </c>
      <c r="L1500" s="2">
        <v>44282</v>
      </c>
      <c r="M1500">
        <v>5</v>
      </c>
      <c r="N1500">
        <v>144</v>
      </c>
      <c r="O1500">
        <f>IF(Tickets[[#This Row],[Ticket Priority]]="Critical",24,
IF(Tickets[[#This Row],[Ticket Priority]]="High",48,
IF(Tickets[[#This Row],[Ticket Priority]]="Medium",120,168)))</f>
        <v>120</v>
      </c>
      <c r="P1500" t="str">
        <f>IF(Tickets[[#This Row],[Resolution Duration Hours]] &lt;= Tickets[[#This Row],[SLA_Target_Hours]], "Yes", "No")</f>
        <v>No</v>
      </c>
    </row>
    <row r="1501" spans="1:16">
      <c r="A1501">
        <v>446</v>
      </c>
      <c r="B1501" t="s">
        <v>459</v>
      </c>
      <c r="C1501" t="s">
        <v>2429</v>
      </c>
      <c r="D1501" t="s">
        <v>3989</v>
      </c>
      <c r="E1501" s="1">
        <v>45041</v>
      </c>
      <c r="F1501" t="s">
        <v>4000</v>
      </c>
      <c r="G1501" t="s">
        <v>4009</v>
      </c>
      <c r="H1501" t="s">
        <v>4018</v>
      </c>
      <c r="I1501" t="s">
        <v>4023</v>
      </c>
      <c r="J1501" t="s">
        <v>4026</v>
      </c>
      <c r="K1501" s="2">
        <v>45235</v>
      </c>
      <c r="L1501" s="2">
        <v>45241</v>
      </c>
      <c r="M1501">
        <v>4</v>
      </c>
      <c r="N1501">
        <v>144</v>
      </c>
      <c r="O1501">
        <f>IF(Tickets[[#This Row],[Ticket Priority]]="Critical",24,
IF(Tickets[[#This Row],[Ticket Priority]]="High",48,
IF(Tickets[[#This Row],[Ticket Priority]]="Medium",120,168)))</f>
        <v>120</v>
      </c>
      <c r="P1501" t="str">
        <f>IF(Tickets[[#This Row],[Resolution Duration Hours]] &lt;= Tickets[[#This Row],[SLA_Target_Hours]], "Yes", "No")</f>
        <v>No</v>
      </c>
    </row>
    <row r="1502" spans="1:16" hidden="1">
      <c r="A1502">
        <v>1501</v>
      </c>
      <c r="B1502" t="s">
        <v>1500</v>
      </c>
      <c r="C1502" t="s">
        <v>3481</v>
      </c>
      <c r="D1502" t="s">
        <v>3981</v>
      </c>
      <c r="E1502" s="1">
        <v>44055</v>
      </c>
      <c r="F1502" t="s">
        <v>4002</v>
      </c>
      <c r="G1502" t="s">
        <v>4016</v>
      </c>
      <c r="H1502" t="s">
        <v>4018</v>
      </c>
      <c r="I1502" t="s">
        <v>4023</v>
      </c>
      <c r="J1502" t="s">
        <v>4026</v>
      </c>
      <c r="K1502" s="2">
        <v>44104</v>
      </c>
      <c r="L1502" s="2">
        <v>44109</v>
      </c>
      <c r="M1502">
        <v>4</v>
      </c>
      <c r="N1502">
        <v>120</v>
      </c>
      <c r="O1502">
        <f>IF(Tickets[[#This Row],[Ticket Priority]]="Critical",24,
IF(Tickets[[#This Row],[Ticket Priority]]="High",48,
IF(Tickets[[#This Row],[Ticket Priority]]="Medium",120,168)))</f>
        <v>120</v>
      </c>
      <c r="P1502" t="str">
        <f>IF(Tickets[[#This Row],[Resolution Duration Hours]] &lt;= Tickets[[#This Row],[SLA_Target_Hours]], "Yes", "No")</f>
        <v>Yes</v>
      </c>
    </row>
    <row r="1503" spans="1:16">
      <c r="A1503">
        <v>509</v>
      </c>
      <c r="B1503" t="s">
        <v>337</v>
      </c>
      <c r="C1503" t="s">
        <v>2492</v>
      </c>
      <c r="D1503" t="s">
        <v>3987</v>
      </c>
      <c r="E1503" s="1">
        <v>44740</v>
      </c>
      <c r="F1503" t="s">
        <v>3999</v>
      </c>
      <c r="G1503" t="s">
        <v>4014</v>
      </c>
      <c r="H1503" t="s">
        <v>4019</v>
      </c>
      <c r="I1503" t="s">
        <v>4023</v>
      </c>
      <c r="J1503" t="s">
        <v>4027</v>
      </c>
      <c r="K1503" s="2">
        <v>44903</v>
      </c>
      <c r="L1503" s="2">
        <v>44909</v>
      </c>
      <c r="M1503">
        <v>4</v>
      </c>
      <c r="N1503">
        <v>144</v>
      </c>
      <c r="O1503">
        <f>IF(Tickets[[#This Row],[Ticket Priority]]="Critical",24,
IF(Tickets[[#This Row],[Ticket Priority]]="High",48,
IF(Tickets[[#This Row],[Ticket Priority]]="Medium",120,168)))</f>
        <v>120</v>
      </c>
      <c r="P1503" t="str">
        <f>IF(Tickets[[#This Row],[Resolution Duration Hours]] &lt;= Tickets[[#This Row],[SLA_Target_Hours]], "Yes", "No")</f>
        <v>No</v>
      </c>
    </row>
    <row r="1504" spans="1:16" hidden="1">
      <c r="A1504">
        <v>1503</v>
      </c>
      <c r="B1504" t="s">
        <v>1502</v>
      </c>
      <c r="C1504" t="s">
        <v>3483</v>
      </c>
      <c r="D1504" t="s">
        <v>3991</v>
      </c>
      <c r="E1504" s="1">
        <v>43988</v>
      </c>
      <c r="F1504" t="s">
        <v>4002</v>
      </c>
      <c r="G1504" t="s">
        <v>4000</v>
      </c>
      <c r="H1504" t="s">
        <v>4018</v>
      </c>
      <c r="I1504" t="s">
        <v>4023</v>
      </c>
      <c r="J1504" t="s">
        <v>4026</v>
      </c>
      <c r="K1504" s="2">
        <v>44226</v>
      </c>
      <c r="L1504" s="2">
        <v>44231</v>
      </c>
      <c r="M1504">
        <v>4</v>
      </c>
      <c r="N1504">
        <v>120</v>
      </c>
      <c r="O1504">
        <f>IF(Tickets[[#This Row],[Ticket Priority]]="Critical",24,
IF(Tickets[[#This Row],[Ticket Priority]]="High",48,
IF(Tickets[[#This Row],[Ticket Priority]]="Medium",120,168)))</f>
        <v>120</v>
      </c>
      <c r="P1504" t="str">
        <f>IF(Tickets[[#This Row],[Resolution Duration Hours]] &lt;= Tickets[[#This Row],[SLA_Target_Hours]], "Yes", "No")</f>
        <v>Yes</v>
      </c>
    </row>
    <row r="1505" spans="1:16" hidden="1">
      <c r="A1505">
        <v>1504</v>
      </c>
      <c r="B1505" t="s">
        <v>1503</v>
      </c>
      <c r="C1505" t="s">
        <v>3484</v>
      </c>
      <c r="D1505" t="s">
        <v>3991</v>
      </c>
      <c r="E1505" s="1">
        <v>44230</v>
      </c>
      <c r="F1505" t="s">
        <v>4002</v>
      </c>
      <c r="G1505" t="s">
        <v>4014</v>
      </c>
      <c r="H1505" t="s">
        <v>4020</v>
      </c>
      <c r="I1505" t="s">
        <v>4024</v>
      </c>
      <c r="J1505" t="s">
        <v>4027</v>
      </c>
      <c r="K1505" s="2">
        <v>44358</v>
      </c>
      <c r="L1505" s="2">
        <v>44363</v>
      </c>
      <c r="N1505">
        <v>120</v>
      </c>
      <c r="O1505">
        <f>IF(Tickets[[#This Row],[Ticket Priority]]="Critical",24,
IF(Tickets[[#This Row],[Ticket Priority]]="High",48,
IF(Tickets[[#This Row],[Ticket Priority]]="Medium",120,168)))</f>
        <v>168</v>
      </c>
      <c r="P1505" t="str">
        <f>IF(Tickets[[#This Row],[Resolution Duration Hours]] &lt;= Tickets[[#This Row],[SLA_Target_Hours]], "Yes", "No")</f>
        <v>Yes</v>
      </c>
    </row>
    <row r="1506" spans="1:16" hidden="1">
      <c r="A1506">
        <v>1505</v>
      </c>
      <c r="B1506" t="s">
        <v>1504</v>
      </c>
      <c r="C1506" t="s">
        <v>3485</v>
      </c>
      <c r="D1506" t="s">
        <v>3983</v>
      </c>
      <c r="E1506" s="1">
        <v>44717</v>
      </c>
      <c r="F1506" t="s">
        <v>3999</v>
      </c>
      <c r="G1506" t="s">
        <v>4016</v>
      </c>
      <c r="H1506" t="s">
        <v>4020</v>
      </c>
      <c r="I1506" t="s">
        <v>4024</v>
      </c>
      <c r="J1506" t="s">
        <v>4026</v>
      </c>
      <c r="K1506" s="2">
        <v>44799</v>
      </c>
      <c r="L1506" s="2">
        <v>44806</v>
      </c>
      <c r="N1506">
        <v>168</v>
      </c>
      <c r="O1506">
        <f>IF(Tickets[[#This Row],[Ticket Priority]]="Critical",24,
IF(Tickets[[#This Row],[Ticket Priority]]="High",48,
IF(Tickets[[#This Row],[Ticket Priority]]="Medium",120,168)))</f>
        <v>168</v>
      </c>
      <c r="P1506" t="str">
        <f>IF(Tickets[[#This Row],[Resolution Duration Hours]] &lt;= Tickets[[#This Row],[SLA_Target_Hours]], "Yes", "No")</f>
        <v>Yes</v>
      </c>
    </row>
    <row r="1507" spans="1:16" hidden="1">
      <c r="A1507">
        <v>1506</v>
      </c>
      <c r="B1507" t="s">
        <v>1505</v>
      </c>
      <c r="C1507" t="s">
        <v>3486</v>
      </c>
      <c r="D1507" t="s">
        <v>3996</v>
      </c>
      <c r="E1507" s="1">
        <v>44565</v>
      </c>
      <c r="F1507" t="s">
        <v>3998</v>
      </c>
      <c r="G1507" t="s">
        <v>4015</v>
      </c>
      <c r="H1507" t="s">
        <v>4018</v>
      </c>
      <c r="I1507" t="s">
        <v>4023</v>
      </c>
      <c r="J1507" t="s">
        <v>4028</v>
      </c>
      <c r="K1507" s="2">
        <v>44786</v>
      </c>
      <c r="L1507" s="2">
        <v>44787</v>
      </c>
      <c r="M1507">
        <v>4</v>
      </c>
      <c r="N1507">
        <v>24</v>
      </c>
      <c r="O1507">
        <f>IF(Tickets[[#This Row],[Ticket Priority]]="Critical",24,
IF(Tickets[[#This Row],[Ticket Priority]]="High",48,
IF(Tickets[[#This Row],[Ticket Priority]]="Medium",120,168)))</f>
        <v>120</v>
      </c>
      <c r="P1507" t="str">
        <f>IF(Tickets[[#This Row],[Resolution Duration Hours]] &lt;= Tickets[[#This Row],[SLA_Target_Hours]], "Yes", "No")</f>
        <v>Yes</v>
      </c>
    </row>
    <row r="1508" spans="1:16" hidden="1">
      <c r="A1508">
        <v>1507</v>
      </c>
      <c r="B1508" t="s">
        <v>1506</v>
      </c>
      <c r="C1508" t="s">
        <v>3487</v>
      </c>
      <c r="D1508" t="s">
        <v>3993</v>
      </c>
      <c r="E1508" s="1">
        <v>44450</v>
      </c>
      <c r="F1508" t="s">
        <v>4001</v>
      </c>
      <c r="G1508" t="s">
        <v>4010</v>
      </c>
      <c r="H1508" t="s">
        <v>4018</v>
      </c>
      <c r="I1508" t="s">
        <v>4024</v>
      </c>
      <c r="J1508" t="s">
        <v>4026</v>
      </c>
      <c r="K1508" s="2">
        <v>44786</v>
      </c>
      <c r="L1508" s="2">
        <v>44790</v>
      </c>
      <c r="M1508">
        <v>3</v>
      </c>
      <c r="N1508">
        <v>96</v>
      </c>
      <c r="O1508">
        <f>IF(Tickets[[#This Row],[Ticket Priority]]="Critical",24,
IF(Tickets[[#This Row],[Ticket Priority]]="High",48,
IF(Tickets[[#This Row],[Ticket Priority]]="Medium",120,168)))</f>
        <v>168</v>
      </c>
      <c r="P1508" t="str">
        <f>IF(Tickets[[#This Row],[Resolution Duration Hours]] &lt;= Tickets[[#This Row],[SLA_Target_Hours]], "Yes", "No")</f>
        <v>Yes</v>
      </c>
    </row>
    <row r="1509" spans="1:16" hidden="1">
      <c r="A1509">
        <v>1508</v>
      </c>
      <c r="B1509" t="s">
        <v>702</v>
      </c>
      <c r="C1509" t="s">
        <v>3488</v>
      </c>
      <c r="D1509" t="s">
        <v>3987</v>
      </c>
      <c r="E1509" s="1">
        <v>44851</v>
      </c>
      <c r="F1509" t="s">
        <v>3999</v>
      </c>
      <c r="G1509" t="s">
        <v>4016</v>
      </c>
      <c r="H1509" t="s">
        <v>4018</v>
      </c>
      <c r="I1509" t="s">
        <v>4024</v>
      </c>
      <c r="J1509" t="s">
        <v>4025</v>
      </c>
      <c r="K1509" s="2">
        <v>45143</v>
      </c>
      <c r="L1509" s="2">
        <v>45145</v>
      </c>
      <c r="M1509">
        <v>5</v>
      </c>
      <c r="N1509">
        <v>48</v>
      </c>
      <c r="O1509">
        <f>IF(Tickets[[#This Row],[Ticket Priority]]="Critical",24,
IF(Tickets[[#This Row],[Ticket Priority]]="High",48,
IF(Tickets[[#This Row],[Ticket Priority]]="Medium",120,168)))</f>
        <v>168</v>
      </c>
      <c r="P1509" t="str">
        <f>IF(Tickets[[#This Row],[Resolution Duration Hours]] &lt;= Tickets[[#This Row],[SLA_Target_Hours]], "Yes", "No")</f>
        <v>Yes</v>
      </c>
    </row>
    <row r="1510" spans="1:16" hidden="1">
      <c r="A1510">
        <v>1509</v>
      </c>
      <c r="B1510" t="s">
        <v>1507</v>
      </c>
      <c r="C1510" t="s">
        <v>3489</v>
      </c>
      <c r="D1510" t="s">
        <v>3985</v>
      </c>
      <c r="E1510" s="1">
        <v>44335</v>
      </c>
      <c r="F1510" t="s">
        <v>3998</v>
      </c>
      <c r="G1510" t="s">
        <v>4015</v>
      </c>
      <c r="H1510" t="s">
        <v>4017</v>
      </c>
      <c r="I1510" t="s">
        <v>4023</v>
      </c>
      <c r="J1510" t="s">
        <v>4028</v>
      </c>
      <c r="K1510" s="2">
        <v>44384</v>
      </c>
      <c r="L1510" s="2">
        <v>44386</v>
      </c>
      <c r="N1510">
        <v>48</v>
      </c>
      <c r="O1510">
        <f>IF(Tickets[[#This Row],[Ticket Priority]]="Critical",24,
IF(Tickets[[#This Row],[Ticket Priority]]="High",48,
IF(Tickets[[#This Row],[Ticket Priority]]="Medium",120,168)))</f>
        <v>120</v>
      </c>
      <c r="P1510" t="str">
        <f>IF(Tickets[[#This Row],[Resolution Duration Hours]] &lt;= Tickets[[#This Row],[SLA_Target_Hours]], "Yes", "No")</f>
        <v>Yes</v>
      </c>
    </row>
    <row r="1511" spans="1:16" hidden="1">
      <c r="A1511">
        <v>1510</v>
      </c>
      <c r="B1511" t="s">
        <v>1508</v>
      </c>
      <c r="C1511" t="s">
        <v>3490</v>
      </c>
      <c r="D1511" t="s">
        <v>3983</v>
      </c>
      <c r="E1511" s="1">
        <v>44341</v>
      </c>
      <c r="F1511" t="s">
        <v>3999</v>
      </c>
      <c r="G1511" t="s">
        <v>4010</v>
      </c>
      <c r="H1511" t="s">
        <v>4018</v>
      </c>
      <c r="I1511" t="s">
        <v>4022</v>
      </c>
      <c r="J1511" t="s">
        <v>4025</v>
      </c>
      <c r="K1511" s="2">
        <v>44402</v>
      </c>
      <c r="L1511" s="2">
        <v>44403</v>
      </c>
      <c r="N1511">
        <v>24</v>
      </c>
      <c r="O1511">
        <f>IF(Tickets[[#This Row],[Ticket Priority]]="Critical",24,
IF(Tickets[[#This Row],[Ticket Priority]]="High",48,
IF(Tickets[[#This Row],[Ticket Priority]]="Medium",120,168)))</f>
        <v>24</v>
      </c>
      <c r="P1511" t="str">
        <f>IF(Tickets[[#This Row],[Resolution Duration Hours]] &lt;= Tickets[[#This Row],[SLA_Target_Hours]], "Yes", "No")</f>
        <v>Yes</v>
      </c>
    </row>
    <row r="1512" spans="1:16" hidden="1">
      <c r="A1512">
        <v>1511</v>
      </c>
      <c r="B1512" t="s">
        <v>1509</v>
      </c>
      <c r="C1512" t="s">
        <v>3491</v>
      </c>
      <c r="D1512" t="s">
        <v>3994</v>
      </c>
      <c r="E1512" s="1">
        <v>44548</v>
      </c>
      <c r="F1512" t="s">
        <v>4000</v>
      </c>
      <c r="G1512" t="s">
        <v>4003</v>
      </c>
      <c r="H1512" t="s">
        <v>4019</v>
      </c>
      <c r="I1512" t="s">
        <v>4024</v>
      </c>
      <c r="J1512" t="s">
        <v>4026</v>
      </c>
      <c r="K1512" s="2">
        <v>44701</v>
      </c>
      <c r="L1512" s="2">
        <v>44706</v>
      </c>
      <c r="N1512">
        <v>120</v>
      </c>
      <c r="O1512">
        <f>IF(Tickets[[#This Row],[Ticket Priority]]="Critical",24,
IF(Tickets[[#This Row],[Ticket Priority]]="High",48,
IF(Tickets[[#This Row],[Ticket Priority]]="Medium",120,168)))</f>
        <v>168</v>
      </c>
      <c r="P1512" t="str">
        <f>IF(Tickets[[#This Row],[Resolution Duration Hours]] &lt;= Tickets[[#This Row],[SLA_Target_Hours]], "Yes", "No")</f>
        <v>Yes</v>
      </c>
    </row>
    <row r="1513" spans="1:16" hidden="1">
      <c r="A1513">
        <v>1512</v>
      </c>
      <c r="B1513" t="s">
        <v>1510</v>
      </c>
      <c r="C1513" t="s">
        <v>3492</v>
      </c>
      <c r="D1513" t="s">
        <v>3981</v>
      </c>
      <c r="E1513" s="1">
        <v>44857</v>
      </c>
      <c r="F1513" t="s">
        <v>4002</v>
      </c>
      <c r="G1513" t="s">
        <v>4015</v>
      </c>
      <c r="H1513" t="s">
        <v>4017</v>
      </c>
      <c r="I1513" t="s">
        <v>4024</v>
      </c>
      <c r="J1513" t="s">
        <v>4026</v>
      </c>
      <c r="K1513" s="2">
        <v>44895</v>
      </c>
      <c r="L1513" s="2">
        <v>44897</v>
      </c>
      <c r="N1513">
        <v>48</v>
      </c>
      <c r="O1513">
        <f>IF(Tickets[[#This Row],[Ticket Priority]]="Critical",24,
IF(Tickets[[#This Row],[Ticket Priority]]="High",48,
IF(Tickets[[#This Row],[Ticket Priority]]="Medium",120,168)))</f>
        <v>168</v>
      </c>
      <c r="P1513" t="str">
        <f>IF(Tickets[[#This Row],[Resolution Duration Hours]] &lt;= Tickets[[#This Row],[SLA_Target_Hours]], "Yes", "No")</f>
        <v>Yes</v>
      </c>
    </row>
    <row r="1514" spans="1:16" hidden="1">
      <c r="A1514">
        <v>1513</v>
      </c>
      <c r="B1514" t="s">
        <v>1511</v>
      </c>
      <c r="C1514" t="s">
        <v>3493</v>
      </c>
      <c r="D1514" t="s">
        <v>3988</v>
      </c>
      <c r="E1514" s="1">
        <v>44284</v>
      </c>
      <c r="F1514" t="s">
        <v>3999</v>
      </c>
      <c r="G1514" t="s">
        <v>4007</v>
      </c>
      <c r="H1514" t="s">
        <v>4018</v>
      </c>
      <c r="I1514" t="s">
        <v>4023</v>
      </c>
      <c r="J1514" t="s">
        <v>4026</v>
      </c>
      <c r="K1514" s="2">
        <v>44354</v>
      </c>
      <c r="L1514" s="2">
        <v>44356</v>
      </c>
      <c r="N1514">
        <v>48</v>
      </c>
      <c r="O1514">
        <f>IF(Tickets[[#This Row],[Ticket Priority]]="Critical",24,
IF(Tickets[[#This Row],[Ticket Priority]]="High",48,
IF(Tickets[[#This Row],[Ticket Priority]]="Medium",120,168)))</f>
        <v>120</v>
      </c>
      <c r="P1514" t="str">
        <f>IF(Tickets[[#This Row],[Resolution Duration Hours]] &lt;= Tickets[[#This Row],[SLA_Target_Hours]], "Yes", "No")</f>
        <v>Yes</v>
      </c>
    </row>
    <row r="1515" spans="1:16">
      <c r="A1515">
        <v>516</v>
      </c>
      <c r="B1515" t="s">
        <v>526</v>
      </c>
      <c r="C1515" t="s">
        <v>2499</v>
      </c>
      <c r="D1515" t="s">
        <v>3986</v>
      </c>
      <c r="E1515" s="1">
        <v>44137</v>
      </c>
      <c r="F1515" t="s">
        <v>4001</v>
      </c>
      <c r="G1515" t="s">
        <v>4015</v>
      </c>
      <c r="H1515" t="s">
        <v>4018</v>
      </c>
      <c r="I1515" t="s">
        <v>4023</v>
      </c>
      <c r="J1515" t="s">
        <v>4028</v>
      </c>
      <c r="K1515" s="2">
        <v>44362</v>
      </c>
      <c r="L1515" s="2">
        <v>44368</v>
      </c>
      <c r="M1515">
        <v>5</v>
      </c>
      <c r="N1515">
        <v>144</v>
      </c>
      <c r="O1515">
        <f>IF(Tickets[[#This Row],[Ticket Priority]]="Critical",24,
IF(Tickets[[#This Row],[Ticket Priority]]="High",48,
IF(Tickets[[#This Row],[Ticket Priority]]="Medium",120,168)))</f>
        <v>120</v>
      </c>
      <c r="P1515" t="str">
        <f>IF(Tickets[[#This Row],[Resolution Duration Hours]] &lt;= Tickets[[#This Row],[SLA_Target_Hours]], "Yes", "No")</f>
        <v>No</v>
      </c>
    </row>
    <row r="1516" spans="1:16" hidden="1">
      <c r="A1516">
        <v>1515</v>
      </c>
      <c r="B1516" t="s">
        <v>1513</v>
      </c>
      <c r="C1516" t="s">
        <v>3495</v>
      </c>
      <c r="D1516" t="s">
        <v>3988</v>
      </c>
      <c r="E1516" s="1">
        <v>44666</v>
      </c>
      <c r="F1516" t="s">
        <v>4000</v>
      </c>
      <c r="G1516" t="s">
        <v>4008</v>
      </c>
      <c r="H1516" t="s">
        <v>4018</v>
      </c>
      <c r="I1516" t="s">
        <v>4023</v>
      </c>
      <c r="J1516" t="s">
        <v>4026</v>
      </c>
      <c r="K1516" s="2">
        <v>45030</v>
      </c>
      <c r="L1516" s="2">
        <v>45033</v>
      </c>
      <c r="N1516">
        <v>72</v>
      </c>
      <c r="O1516">
        <f>IF(Tickets[[#This Row],[Ticket Priority]]="Critical",24,
IF(Tickets[[#This Row],[Ticket Priority]]="High",48,
IF(Tickets[[#This Row],[Ticket Priority]]="Medium",120,168)))</f>
        <v>120</v>
      </c>
      <c r="P1516" t="str">
        <f>IF(Tickets[[#This Row],[Resolution Duration Hours]] &lt;= Tickets[[#This Row],[SLA_Target_Hours]], "Yes", "No")</f>
        <v>Yes</v>
      </c>
    </row>
    <row r="1517" spans="1:16" hidden="1">
      <c r="A1517">
        <v>1516</v>
      </c>
      <c r="B1517" t="s">
        <v>1514</v>
      </c>
      <c r="C1517" t="s">
        <v>3496</v>
      </c>
      <c r="D1517" t="s">
        <v>3986</v>
      </c>
      <c r="E1517" s="1">
        <v>44717</v>
      </c>
      <c r="F1517" t="s">
        <v>3998</v>
      </c>
      <c r="G1517" t="s">
        <v>4010</v>
      </c>
      <c r="H1517" t="s">
        <v>4017</v>
      </c>
      <c r="I1517" t="s">
        <v>4023</v>
      </c>
      <c r="J1517" t="s">
        <v>4026</v>
      </c>
      <c r="K1517" s="2">
        <v>44932</v>
      </c>
      <c r="L1517" s="2">
        <v>44935</v>
      </c>
      <c r="N1517">
        <v>72</v>
      </c>
      <c r="O1517">
        <f>IF(Tickets[[#This Row],[Ticket Priority]]="Critical",24,
IF(Tickets[[#This Row],[Ticket Priority]]="High",48,
IF(Tickets[[#This Row],[Ticket Priority]]="Medium",120,168)))</f>
        <v>120</v>
      </c>
      <c r="P1517" t="str">
        <f>IF(Tickets[[#This Row],[Resolution Duration Hours]] &lt;= Tickets[[#This Row],[SLA_Target_Hours]], "Yes", "No")</f>
        <v>Yes</v>
      </c>
    </row>
    <row r="1518" spans="1:16" hidden="1">
      <c r="A1518">
        <v>1517</v>
      </c>
      <c r="B1518" t="s">
        <v>1515</v>
      </c>
      <c r="C1518" t="s">
        <v>3497</v>
      </c>
      <c r="D1518" t="s">
        <v>3979</v>
      </c>
      <c r="E1518" s="1">
        <v>44480</v>
      </c>
      <c r="F1518" t="s">
        <v>3998</v>
      </c>
      <c r="G1518" t="s">
        <v>4006</v>
      </c>
      <c r="H1518" t="s">
        <v>4017</v>
      </c>
      <c r="I1518" t="s">
        <v>4024</v>
      </c>
      <c r="J1518" t="s">
        <v>4026</v>
      </c>
      <c r="K1518" s="2">
        <v>44724</v>
      </c>
      <c r="L1518" s="2">
        <v>44731</v>
      </c>
      <c r="N1518">
        <v>168</v>
      </c>
      <c r="O1518">
        <f>IF(Tickets[[#This Row],[Ticket Priority]]="Critical",24,
IF(Tickets[[#This Row],[Ticket Priority]]="High",48,
IF(Tickets[[#This Row],[Ticket Priority]]="Medium",120,168)))</f>
        <v>168</v>
      </c>
      <c r="P1518" t="str">
        <f>IF(Tickets[[#This Row],[Resolution Duration Hours]] &lt;= Tickets[[#This Row],[SLA_Target_Hours]], "Yes", "No")</f>
        <v>Yes</v>
      </c>
    </row>
    <row r="1519" spans="1:16" hidden="1">
      <c r="A1519">
        <v>1518</v>
      </c>
      <c r="B1519" t="s">
        <v>1516</v>
      </c>
      <c r="C1519" t="s">
        <v>3498</v>
      </c>
      <c r="D1519" t="s">
        <v>3993</v>
      </c>
      <c r="E1519" s="1">
        <v>45014</v>
      </c>
      <c r="F1519" t="s">
        <v>4000</v>
      </c>
      <c r="G1519" t="s">
        <v>4005</v>
      </c>
      <c r="H1519" t="s">
        <v>4018</v>
      </c>
      <c r="I1519" t="s">
        <v>4021</v>
      </c>
      <c r="J1519" t="s">
        <v>4025</v>
      </c>
      <c r="K1519" s="2">
        <v>45055</v>
      </c>
      <c r="L1519" s="2">
        <v>45057</v>
      </c>
      <c r="M1519">
        <v>5</v>
      </c>
      <c r="N1519">
        <v>48</v>
      </c>
      <c r="O1519">
        <f>IF(Tickets[[#This Row],[Ticket Priority]]="Critical",24,
IF(Tickets[[#This Row],[Ticket Priority]]="High",48,
IF(Tickets[[#This Row],[Ticket Priority]]="Medium",120,168)))</f>
        <v>48</v>
      </c>
      <c r="P1519" t="str">
        <f>IF(Tickets[[#This Row],[Resolution Duration Hours]] &lt;= Tickets[[#This Row],[SLA_Target_Hours]], "Yes", "No")</f>
        <v>Yes</v>
      </c>
    </row>
    <row r="1520" spans="1:16">
      <c r="A1520">
        <v>542</v>
      </c>
      <c r="B1520" t="s">
        <v>552</v>
      </c>
      <c r="C1520" t="s">
        <v>2525</v>
      </c>
      <c r="D1520" t="s">
        <v>3983</v>
      </c>
      <c r="E1520" s="1">
        <v>45014</v>
      </c>
      <c r="F1520" t="s">
        <v>3999</v>
      </c>
      <c r="G1520" t="s">
        <v>4003</v>
      </c>
      <c r="H1520" t="s">
        <v>4018</v>
      </c>
      <c r="I1520" t="s">
        <v>4023</v>
      </c>
      <c r="J1520" t="s">
        <v>4026</v>
      </c>
      <c r="K1520" s="2">
        <v>45116</v>
      </c>
      <c r="L1520" s="2">
        <v>45122</v>
      </c>
      <c r="M1520">
        <v>4</v>
      </c>
      <c r="N1520">
        <v>144</v>
      </c>
      <c r="O1520">
        <f>IF(Tickets[[#This Row],[Ticket Priority]]="Critical",24,
IF(Tickets[[#This Row],[Ticket Priority]]="High",48,
IF(Tickets[[#This Row],[Ticket Priority]]="Medium",120,168)))</f>
        <v>120</v>
      </c>
      <c r="P1520" t="str">
        <f>IF(Tickets[[#This Row],[Resolution Duration Hours]] &lt;= Tickets[[#This Row],[SLA_Target_Hours]], "Yes", "No")</f>
        <v>No</v>
      </c>
    </row>
    <row r="1521" spans="1:16" hidden="1">
      <c r="A1521">
        <v>1520</v>
      </c>
      <c r="B1521" t="s">
        <v>1517</v>
      </c>
      <c r="C1521" t="s">
        <v>3500</v>
      </c>
      <c r="D1521" t="s">
        <v>3989</v>
      </c>
      <c r="E1521" s="1">
        <v>45016</v>
      </c>
      <c r="F1521" t="s">
        <v>3999</v>
      </c>
      <c r="G1521" t="s">
        <v>4014</v>
      </c>
      <c r="H1521" t="s">
        <v>4018</v>
      </c>
      <c r="I1521" t="s">
        <v>4022</v>
      </c>
      <c r="J1521" t="s">
        <v>4028</v>
      </c>
      <c r="K1521" s="2">
        <v>45268</v>
      </c>
      <c r="L1521" s="2">
        <v>45268</v>
      </c>
      <c r="M1521">
        <v>4</v>
      </c>
      <c r="N1521">
        <v>0</v>
      </c>
      <c r="O1521">
        <f>IF(Tickets[[#This Row],[Ticket Priority]]="Critical",24,
IF(Tickets[[#This Row],[Ticket Priority]]="High",48,
IF(Tickets[[#This Row],[Ticket Priority]]="Medium",120,168)))</f>
        <v>24</v>
      </c>
      <c r="P1521" t="str">
        <f>IF(Tickets[[#This Row],[Resolution Duration Hours]] &lt;= Tickets[[#This Row],[SLA_Target_Hours]], "Yes", "No")</f>
        <v>Yes</v>
      </c>
    </row>
    <row r="1522" spans="1:16" hidden="1">
      <c r="A1522">
        <v>1521</v>
      </c>
      <c r="B1522" t="s">
        <v>1518</v>
      </c>
      <c r="C1522" t="s">
        <v>3501</v>
      </c>
      <c r="D1522" t="s">
        <v>3980</v>
      </c>
      <c r="E1522" s="1">
        <v>44468</v>
      </c>
      <c r="F1522" t="s">
        <v>3998</v>
      </c>
      <c r="G1522" t="s">
        <v>4011</v>
      </c>
      <c r="H1522" t="s">
        <v>4018</v>
      </c>
      <c r="I1522" t="s">
        <v>4023</v>
      </c>
      <c r="J1522" t="s">
        <v>4026</v>
      </c>
      <c r="K1522" s="2">
        <v>44678</v>
      </c>
      <c r="L1522" s="2">
        <v>44682</v>
      </c>
      <c r="M1522">
        <v>3</v>
      </c>
      <c r="N1522">
        <v>96</v>
      </c>
      <c r="O1522">
        <f>IF(Tickets[[#This Row],[Ticket Priority]]="Critical",24,
IF(Tickets[[#This Row],[Ticket Priority]]="High",48,
IF(Tickets[[#This Row],[Ticket Priority]]="Medium",120,168)))</f>
        <v>120</v>
      </c>
      <c r="P1522" t="str">
        <f>IF(Tickets[[#This Row],[Resolution Duration Hours]] &lt;= Tickets[[#This Row],[SLA_Target_Hours]], "Yes", "No")</f>
        <v>Yes</v>
      </c>
    </row>
    <row r="1523" spans="1:16" hidden="1">
      <c r="A1523">
        <v>1522</v>
      </c>
      <c r="B1523" t="s">
        <v>1519</v>
      </c>
      <c r="C1523" t="s">
        <v>3502</v>
      </c>
      <c r="D1523" t="s">
        <v>3979</v>
      </c>
      <c r="E1523" s="1">
        <v>44335</v>
      </c>
      <c r="F1523" t="s">
        <v>4002</v>
      </c>
      <c r="G1523" t="s">
        <v>4014</v>
      </c>
      <c r="H1523" t="s">
        <v>4020</v>
      </c>
      <c r="I1523" t="s">
        <v>4024</v>
      </c>
      <c r="J1523" t="s">
        <v>4028</v>
      </c>
      <c r="K1523" s="2">
        <v>44542</v>
      </c>
      <c r="L1523" s="2">
        <v>44546</v>
      </c>
      <c r="N1523">
        <v>96</v>
      </c>
      <c r="O1523">
        <f>IF(Tickets[[#This Row],[Ticket Priority]]="Critical",24,
IF(Tickets[[#This Row],[Ticket Priority]]="High",48,
IF(Tickets[[#This Row],[Ticket Priority]]="Medium",120,168)))</f>
        <v>168</v>
      </c>
      <c r="P1523" t="str">
        <f>IF(Tickets[[#This Row],[Resolution Duration Hours]] &lt;= Tickets[[#This Row],[SLA_Target_Hours]], "Yes", "No")</f>
        <v>Yes</v>
      </c>
    </row>
    <row r="1524" spans="1:16" hidden="1">
      <c r="A1524">
        <v>1523</v>
      </c>
      <c r="B1524" t="s">
        <v>1520</v>
      </c>
      <c r="C1524" t="s">
        <v>3503</v>
      </c>
      <c r="D1524" t="s">
        <v>3994</v>
      </c>
      <c r="E1524" s="1">
        <v>45058</v>
      </c>
      <c r="F1524" t="s">
        <v>4001</v>
      </c>
      <c r="G1524" t="s">
        <v>4009</v>
      </c>
      <c r="H1524" t="s">
        <v>4018</v>
      </c>
      <c r="I1524" t="s">
        <v>4024</v>
      </c>
      <c r="J1524" t="s">
        <v>4026</v>
      </c>
      <c r="K1524" s="2">
        <v>45178</v>
      </c>
      <c r="L1524" s="2">
        <v>45185</v>
      </c>
      <c r="M1524">
        <v>4</v>
      </c>
      <c r="N1524">
        <v>168</v>
      </c>
      <c r="O1524">
        <f>IF(Tickets[[#This Row],[Ticket Priority]]="Critical",24,
IF(Tickets[[#This Row],[Ticket Priority]]="High",48,
IF(Tickets[[#This Row],[Ticket Priority]]="Medium",120,168)))</f>
        <v>168</v>
      </c>
      <c r="P1524" t="str">
        <f>IF(Tickets[[#This Row],[Resolution Duration Hours]] &lt;= Tickets[[#This Row],[SLA_Target_Hours]], "Yes", "No")</f>
        <v>Yes</v>
      </c>
    </row>
    <row r="1525" spans="1:16" hidden="1">
      <c r="A1525">
        <v>1524</v>
      </c>
      <c r="B1525" t="s">
        <v>1521</v>
      </c>
      <c r="C1525" t="s">
        <v>3504</v>
      </c>
      <c r="D1525" t="s">
        <v>3989</v>
      </c>
      <c r="E1525" s="1">
        <v>44103</v>
      </c>
      <c r="F1525" t="s">
        <v>4001</v>
      </c>
      <c r="G1525" t="s">
        <v>4016</v>
      </c>
      <c r="H1525" t="s">
        <v>4018</v>
      </c>
      <c r="I1525" t="s">
        <v>4022</v>
      </c>
      <c r="J1525" t="s">
        <v>4025</v>
      </c>
      <c r="K1525" s="2">
        <v>44159</v>
      </c>
      <c r="L1525" s="2">
        <v>44160</v>
      </c>
      <c r="M1525">
        <v>3</v>
      </c>
      <c r="N1525">
        <v>24</v>
      </c>
      <c r="O1525">
        <f>IF(Tickets[[#This Row],[Ticket Priority]]="Critical",24,
IF(Tickets[[#This Row],[Ticket Priority]]="High",48,
IF(Tickets[[#This Row],[Ticket Priority]]="Medium",120,168)))</f>
        <v>24</v>
      </c>
      <c r="P1525" t="str">
        <f>IF(Tickets[[#This Row],[Resolution Duration Hours]] &lt;= Tickets[[#This Row],[SLA_Target_Hours]], "Yes", "No")</f>
        <v>Yes</v>
      </c>
    </row>
    <row r="1526" spans="1:16" hidden="1">
      <c r="A1526">
        <v>1525</v>
      </c>
      <c r="B1526" t="s">
        <v>1522</v>
      </c>
      <c r="C1526" t="s">
        <v>3505</v>
      </c>
      <c r="D1526" t="s">
        <v>3995</v>
      </c>
      <c r="E1526" s="1">
        <v>44728</v>
      </c>
      <c r="F1526" t="s">
        <v>3999</v>
      </c>
      <c r="G1526" t="s">
        <v>4005</v>
      </c>
      <c r="H1526" t="s">
        <v>4018</v>
      </c>
      <c r="I1526" t="s">
        <v>4024</v>
      </c>
      <c r="J1526" t="s">
        <v>4026</v>
      </c>
      <c r="K1526" s="2">
        <v>44921</v>
      </c>
      <c r="L1526" s="2">
        <v>44927</v>
      </c>
      <c r="N1526">
        <v>144</v>
      </c>
      <c r="O1526">
        <f>IF(Tickets[[#This Row],[Ticket Priority]]="Critical",24,
IF(Tickets[[#This Row],[Ticket Priority]]="High",48,
IF(Tickets[[#This Row],[Ticket Priority]]="Medium",120,168)))</f>
        <v>168</v>
      </c>
      <c r="P1526" t="str">
        <f>IF(Tickets[[#This Row],[Resolution Duration Hours]] &lt;= Tickets[[#This Row],[SLA_Target_Hours]], "Yes", "No")</f>
        <v>Yes</v>
      </c>
    </row>
    <row r="1527" spans="1:16" hidden="1">
      <c r="A1527">
        <v>1526</v>
      </c>
      <c r="B1527" t="s">
        <v>1523</v>
      </c>
      <c r="C1527" t="s">
        <v>3506</v>
      </c>
      <c r="D1527" t="s">
        <v>3993</v>
      </c>
      <c r="E1527" s="1">
        <v>44827</v>
      </c>
      <c r="F1527" t="s">
        <v>4001</v>
      </c>
      <c r="G1527" t="s">
        <v>4008</v>
      </c>
      <c r="H1527" t="s">
        <v>4017</v>
      </c>
      <c r="I1527" t="s">
        <v>4023</v>
      </c>
      <c r="J1527" t="s">
        <v>4028</v>
      </c>
      <c r="K1527" s="2">
        <v>45077</v>
      </c>
      <c r="L1527" s="2">
        <v>45079</v>
      </c>
      <c r="N1527">
        <v>48</v>
      </c>
      <c r="O1527">
        <f>IF(Tickets[[#This Row],[Ticket Priority]]="Critical",24,
IF(Tickets[[#This Row],[Ticket Priority]]="High",48,
IF(Tickets[[#This Row],[Ticket Priority]]="Medium",120,168)))</f>
        <v>120</v>
      </c>
      <c r="P1527" t="str">
        <f>IF(Tickets[[#This Row],[Resolution Duration Hours]] &lt;= Tickets[[#This Row],[SLA_Target_Hours]], "Yes", "No")</f>
        <v>Yes</v>
      </c>
    </row>
    <row r="1528" spans="1:16" hidden="1">
      <c r="A1528">
        <v>1527</v>
      </c>
      <c r="B1528" t="s">
        <v>1524</v>
      </c>
      <c r="C1528" t="s">
        <v>3507</v>
      </c>
      <c r="D1528" t="s">
        <v>3994</v>
      </c>
      <c r="E1528" s="1">
        <v>43841</v>
      </c>
      <c r="F1528" t="s">
        <v>4001</v>
      </c>
      <c r="G1528" t="s">
        <v>4011</v>
      </c>
      <c r="H1528" t="s">
        <v>4018</v>
      </c>
      <c r="I1528" t="s">
        <v>4021</v>
      </c>
      <c r="J1528" t="s">
        <v>4026</v>
      </c>
      <c r="K1528" s="2">
        <v>44075</v>
      </c>
      <c r="L1528" s="2">
        <v>44077</v>
      </c>
      <c r="M1528">
        <v>5</v>
      </c>
      <c r="N1528">
        <v>48</v>
      </c>
      <c r="O1528">
        <f>IF(Tickets[[#This Row],[Ticket Priority]]="Critical",24,
IF(Tickets[[#This Row],[Ticket Priority]]="High",48,
IF(Tickets[[#This Row],[Ticket Priority]]="Medium",120,168)))</f>
        <v>48</v>
      </c>
      <c r="P1528" t="str">
        <f>IF(Tickets[[#This Row],[Resolution Duration Hours]] &lt;= Tickets[[#This Row],[SLA_Target_Hours]], "Yes", "No")</f>
        <v>Yes</v>
      </c>
    </row>
    <row r="1529" spans="1:16" hidden="1">
      <c r="A1529">
        <v>1528</v>
      </c>
      <c r="B1529" t="s">
        <v>1525</v>
      </c>
      <c r="C1529" t="s">
        <v>3508</v>
      </c>
      <c r="D1529" t="s">
        <v>3997</v>
      </c>
      <c r="E1529" s="1">
        <v>44234</v>
      </c>
      <c r="F1529" t="s">
        <v>4000</v>
      </c>
      <c r="G1529" t="s">
        <v>4000</v>
      </c>
      <c r="H1529" t="s">
        <v>4018</v>
      </c>
      <c r="I1529" t="s">
        <v>4023</v>
      </c>
      <c r="J1529" t="s">
        <v>4026</v>
      </c>
      <c r="K1529" s="2">
        <v>44267</v>
      </c>
      <c r="L1529" s="2">
        <v>44268</v>
      </c>
      <c r="M1529">
        <v>3</v>
      </c>
      <c r="N1529">
        <v>24</v>
      </c>
      <c r="O1529">
        <f>IF(Tickets[[#This Row],[Ticket Priority]]="Critical",24,
IF(Tickets[[#This Row],[Ticket Priority]]="High",48,
IF(Tickets[[#This Row],[Ticket Priority]]="Medium",120,168)))</f>
        <v>120</v>
      </c>
      <c r="P1529" t="str">
        <f>IF(Tickets[[#This Row],[Resolution Duration Hours]] &lt;= Tickets[[#This Row],[SLA_Target_Hours]], "Yes", "No")</f>
        <v>Yes</v>
      </c>
    </row>
    <row r="1530" spans="1:16" hidden="1">
      <c r="A1530">
        <v>1529</v>
      </c>
      <c r="B1530" t="s">
        <v>1526</v>
      </c>
      <c r="C1530" t="s">
        <v>3509</v>
      </c>
      <c r="D1530" t="s">
        <v>3992</v>
      </c>
      <c r="E1530" s="1">
        <v>44286</v>
      </c>
      <c r="F1530" t="s">
        <v>3998</v>
      </c>
      <c r="G1530" t="s">
        <v>4004</v>
      </c>
      <c r="H1530" t="s">
        <v>4018</v>
      </c>
      <c r="I1530" t="s">
        <v>4021</v>
      </c>
      <c r="J1530" t="s">
        <v>4027</v>
      </c>
      <c r="K1530" s="2">
        <v>44398</v>
      </c>
      <c r="L1530" s="2">
        <v>44398</v>
      </c>
      <c r="M1530">
        <v>3</v>
      </c>
      <c r="N1530">
        <v>0</v>
      </c>
      <c r="O1530">
        <f>IF(Tickets[[#This Row],[Ticket Priority]]="Critical",24,
IF(Tickets[[#This Row],[Ticket Priority]]="High",48,
IF(Tickets[[#This Row],[Ticket Priority]]="Medium",120,168)))</f>
        <v>48</v>
      </c>
      <c r="P1530" t="str">
        <f>IF(Tickets[[#This Row],[Resolution Duration Hours]] &lt;= Tickets[[#This Row],[SLA_Target_Hours]], "Yes", "No")</f>
        <v>Yes</v>
      </c>
    </row>
    <row r="1531" spans="1:16" hidden="1">
      <c r="A1531">
        <v>1530</v>
      </c>
      <c r="B1531" t="s">
        <v>1527</v>
      </c>
      <c r="C1531" t="s">
        <v>3510</v>
      </c>
      <c r="D1531" t="s">
        <v>3985</v>
      </c>
      <c r="E1531" s="1">
        <v>44808</v>
      </c>
      <c r="F1531" t="s">
        <v>3998</v>
      </c>
      <c r="G1531" t="s">
        <v>4008</v>
      </c>
      <c r="H1531" t="s">
        <v>4017</v>
      </c>
      <c r="I1531" t="s">
        <v>4023</v>
      </c>
      <c r="J1531" t="s">
        <v>4027</v>
      </c>
      <c r="K1531" s="2">
        <v>44864</v>
      </c>
      <c r="L1531" s="2">
        <v>44867</v>
      </c>
      <c r="N1531">
        <v>72</v>
      </c>
      <c r="O1531">
        <f>IF(Tickets[[#This Row],[Ticket Priority]]="Critical",24,
IF(Tickets[[#This Row],[Ticket Priority]]="High",48,
IF(Tickets[[#This Row],[Ticket Priority]]="Medium",120,168)))</f>
        <v>120</v>
      </c>
      <c r="P1531" t="str">
        <f>IF(Tickets[[#This Row],[Resolution Duration Hours]] &lt;= Tickets[[#This Row],[SLA_Target_Hours]], "Yes", "No")</f>
        <v>Yes</v>
      </c>
    </row>
    <row r="1532" spans="1:16" hidden="1">
      <c r="A1532">
        <v>1531</v>
      </c>
      <c r="B1532" t="s">
        <v>217</v>
      </c>
      <c r="C1532" t="s">
        <v>3511</v>
      </c>
      <c r="D1532" t="s">
        <v>3986</v>
      </c>
      <c r="E1532" s="1">
        <v>45001</v>
      </c>
      <c r="F1532" t="s">
        <v>3998</v>
      </c>
      <c r="G1532" t="s">
        <v>4016</v>
      </c>
      <c r="H1532" t="s">
        <v>4018</v>
      </c>
      <c r="I1532" t="s">
        <v>4023</v>
      </c>
      <c r="J1532" t="s">
        <v>4025</v>
      </c>
      <c r="K1532" s="2">
        <v>45207</v>
      </c>
      <c r="L1532" s="2">
        <v>45208</v>
      </c>
      <c r="M1532">
        <v>3</v>
      </c>
      <c r="N1532">
        <v>24</v>
      </c>
      <c r="O1532">
        <f>IF(Tickets[[#This Row],[Ticket Priority]]="Critical",24,
IF(Tickets[[#This Row],[Ticket Priority]]="High",48,
IF(Tickets[[#This Row],[Ticket Priority]]="Medium",120,168)))</f>
        <v>120</v>
      </c>
      <c r="P1532" t="str">
        <f>IF(Tickets[[#This Row],[Resolution Duration Hours]] &lt;= Tickets[[#This Row],[SLA_Target_Hours]], "Yes", "No")</f>
        <v>Yes</v>
      </c>
    </row>
    <row r="1533" spans="1:16">
      <c r="A1533">
        <v>605</v>
      </c>
      <c r="B1533" t="s">
        <v>615</v>
      </c>
      <c r="C1533" t="s">
        <v>2588</v>
      </c>
      <c r="D1533" t="s">
        <v>3993</v>
      </c>
      <c r="E1533" s="1">
        <v>44220</v>
      </c>
      <c r="F1533" t="s">
        <v>4001</v>
      </c>
      <c r="G1533" t="s">
        <v>4000</v>
      </c>
      <c r="H1533" t="s">
        <v>4018</v>
      </c>
      <c r="I1533" t="s">
        <v>4023</v>
      </c>
      <c r="J1533" t="s">
        <v>4028</v>
      </c>
      <c r="K1533" s="2">
        <v>44346</v>
      </c>
      <c r="L1533" s="2">
        <v>44352</v>
      </c>
      <c r="N1533">
        <v>144</v>
      </c>
      <c r="O1533">
        <f>IF(Tickets[[#This Row],[Ticket Priority]]="Critical",24,
IF(Tickets[[#This Row],[Ticket Priority]]="High",48,
IF(Tickets[[#This Row],[Ticket Priority]]="Medium",120,168)))</f>
        <v>120</v>
      </c>
      <c r="P1533" t="str">
        <f>IF(Tickets[[#This Row],[Resolution Duration Hours]] &lt;= Tickets[[#This Row],[SLA_Target_Hours]], "Yes", "No")</f>
        <v>No</v>
      </c>
    </row>
    <row r="1534" spans="1:16" hidden="1">
      <c r="A1534">
        <v>1533</v>
      </c>
      <c r="B1534" t="s">
        <v>1529</v>
      </c>
      <c r="C1534" t="s">
        <v>3513</v>
      </c>
      <c r="D1534" t="s">
        <v>3989</v>
      </c>
      <c r="E1534" s="1">
        <v>44362</v>
      </c>
      <c r="F1534" t="s">
        <v>4000</v>
      </c>
      <c r="G1534" t="s">
        <v>4013</v>
      </c>
      <c r="H1534" t="s">
        <v>4020</v>
      </c>
      <c r="I1534" t="s">
        <v>4023</v>
      </c>
      <c r="J1534" t="s">
        <v>4028</v>
      </c>
      <c r="K1534" s="2">
        <v>44457</v>
      </c>
      <c r="L1534" s="2">
        <v>44461</v>
      </c>
      <c r="N1534">
        <v>96</v>
      </c>
      <c r="O1534">
        <f>IF(Tickets[[#This Row],[Ticket Priority]]="Critical",24,
IF(Tickets[[#This Row],[Ticket Priority]]="High",48,
IF(Tickets[[#This Row],[Ticket Priority]]="Medium",120,168)))</f>
        <v>120</v>
      </c>
      <c r="P1534" t="str">
        <f>IF(Tickets[[#This Row],[Resolution Duration Hours]] &lt;= Tickets[[#This Row],[SLA_Target_Hours]], "Yes", "No")</f>
        <v>Yes</v>
      </c>
    </row>
    <row r="1535" spans="1:16" hidden="1">
      <c r="A1535">
        <v>1534</v>
      </c>
      <c r="B1535" t="s">
        <v>1530</v>
      </c>
      <c r="C1535" t="s">
        <v>3514</v>
      </c>
      <c r="D1535" t="s">
        <v>3980</v>
      </c>
      <c r="E1535" s="1">
        <v>44060</v>
      </c>
      <c r="F1535" t="s">
        <v>3999</v>
      </c>
      <c r="G1535" t="s">
        <v>4011</v>
      </c>
      <c r="H1535" t="s">
        <v>4018</v>
      </c>
      <c r="I1535" t="s">
        <v>4023</v>
      </c>
      <c r="J1535" t="s">
        <v>4027</v>
      </c>
      <c r="K1535" s="2">
        <v>44348</v>
      </c>
      <c r="L1535" s="2">
        <v>44350</v>
      </c>
      <c r="M1535">
        <v>4</v>
      </c>
      <c r="N1535">
        <v>48</v>
      </c>
      <c r="O1535">
        <f>IF(Tickets[[#This Row],[Ticket Priority]]="Critical",24,
IF(Tickets[[#This Row],[Ticket Priority]]="High",48,
IF(Tickets[[#This Row],[Ticket Priority]]="Medium",120,168)))</f>
        <v>120</v>
      </c>
      <c r="P1535" t="str">
        <f>IF(Tickets[[#This Row],[Resolution Duration Hours]] &lt;= Tickets[[#This Row],[SLA_Target_Hours]], "Yes", "No")</f>
        <v>Yes</v>
      </c>
    </row>
    <row r="1536" spans="1:16" hidden="1">
      <c r="A1536">
        <v>1535</v>
      </c>
      <c r="B1536" t="s">
        <v>1531</v>
      </c>
      <c r="C1536" t="s">
        <v>3515</v>
      </c>
      <c r="D1536" t="s">
        <v>3991</v>
      </c>
      <c r="E1536" s="1">
        <v>44815</v>
      </c>
      <c r="F1536" t="s">
        <v>4002</v>
      </c>
      <c r="G1536" t="s">
        <v>4000</v>
      </c>
      <c r="H1536" t="s">
        <v>4018</v>
      </c>
      <c r="I1536" t="s">
        <v>4023</v>
      </c>
      <c r="J1536" t="s">
        <v>4027</v>
      </c>
      <c r="K1536" s="2">
        <v>44985</v>
      </c>
      <c r="L1536" s="2">
        <v>44988</v>
      </c>
      <c r="N1536">
        <v>72</v>
      </c>
      <c r="O1536">
        <f>IF(Tickets[[#This Row],[Ticket Priority]]="Critical",24,
IF(Tickets[[#This Row],[Ticket Priority]]="High",48,
IF(Tickets[[#This Row],[Ticket Priority]]="Medium",120,168)))</f>
        <v>120</v>
      </c>
      <c r="P1536" t="str">
        <f>IF(Tickets[[#This Row],[Resolution Duration Hours]] &lt;= Tickets[[#This Row],[SLA_Target_Hours]], "Yes", "No")</f>
        <v>Yes</v>
      </c>
    </row>
    <row r="1537" spans="1:16" hidden="1">
      <c r="A1537">
        <v>1536</v>
      </c>
      <c r="B1537" t="s">
        <v>1532</v>
      </c>
      <c r="C1537" t="s">
        <v>3516</v>
      </c>
      <c r="D1537" t="s">
        <v>3989</v>
      </c>
      <c r="E1537" s="1">
        <v>44774</v>
      </c>
      <c r="F1537" t="s">
        <v>4002</v>
      </c>
      <c r="G1537" t="s">
        <v>4005</v>
      </c>
      <c r="H1537" t="s">
        <v>4019</v>
      </c>
      <c r="I1537" t="s">
        <v>4024</v>
      </c>
      <c r="J1537" t="s">
        <v>4026</v>
      </c>
      <c r="K1537" s="2">
        <v>45013</v>
      </c>
      <c r="L1537" s="2">
        <v>45019</v>
      </c>
      <c r="M1537">
        <v>5</v>
      </c>
      <c r="N1537">
        <v>144</v>
      </c>
      <c r="O1537">
        <f>IF(Tickets[[#This Row],[Ticket Priority]]="Critical",24,
IF(Tickets[[#This Row],[Ticket Priority]]="High",48,
IF(Tickets[[#This Row],[Ticket Priority]]="Medium",120,168)))</f>
        <v>168</v>
      </c>
      <c r="P1537" t="str">
        <f>IF(Tickets[[#This Row],[Resolution Duration Hours]] &lt;= Tickets[[#This Row],[SLA_Target_Hours]], "Yes", "No")</f>
        <v>Yes</v>
      </c>
    </row>
    <row r="1538" spans="1:16">
      <c r="A1538">
        <v>610</v>
      </c>
      <c r="B1538" t="s">
        <v>620</v>
      </c>
      <c r="C1538" t="s">
        <v>2593</v>
      </c>
      <c r="D1538" t="s">
        <v>3994</v>
      </c>
      <c r="E1538" s="1">
        <v>44032</v>
      </c>
      <c r="F1538" t="s">
        <v>4001</v>
      </c>
      <c r="G1538" t="s">
        <v>4009</v>
      </c>
      <c r="H1538" t="s">
        <v>4020</v>
      </c>
      <c r="I1538" t="s">
        <v>4023</v>
      </c>
      <c r="J1538" t="s">
        <v>4025</v>
      </c>
      <c r="K1538" s="2">
        <v>44183</v>
      </c>
      <c r="L1538" s="2">
        <v>44189</v>
      </c>
      <c r="N1538">
        <v>144</v>
      </c>
      <c r="O1538">
        <f>IF(Tickets[[#This Row],[Ticket Priority]]="Critical",24,
IF(Tickets[[#This Row],[Ticket Priority]]="High",48,
IF(Tickets[[#This Row],[Ticket Priority]]="Medium",120,168)))</f>
        <v>120</v>
      </c>
      <c r="P1538" t="str">
        <f>IF(Tickets[[#This Row],[Resolution Duration Hours]] &lt;= Tickets[[#This Row],[SLA_Target_Hours]], "Yes", "No")</f>
        <v>No</v>
      </c>
    </row>
    <row r="1539" spans="1:16" hidden="1">
      <c r="A1539">
        <v>1538</v>
      </c>
      <c r="B1539" t="s">
        <v>1534</v>
      </c>
      <c r="C1539" t="s">
        <v>3518</v>
      </c>
      <c r="D1539" t="s">
        <v>3983</v>
      </c>
      <c r="E1539" s="1">
        <v>44831</v>
      </c>
      <c r="F1539" t="s">
        <v>4002</v>
      </c>
      <c r="G1539" t="s">
        <v>4010</v>
      </c>
      <c r="H1539" t="s">
        <v>4018</v>
      </c>
      <c r="I1539" t="s">
        <v>4021</v>
      </c>
      <c r="J1539" t="s">
        <v>4027</v>
      </c>
      <c r="K1539" s="2">
        <v>44952</v>
      </c>
      <c r="L1539" s="2">
        <v>44954</v>
      </c>
      <c r="M1539">
        <v>5</v>
      </c>
      <c r="N1539">
        <v>48</v>
      </c>
      <c r="O1539">
        <f>IF(Tickets[[#This Row],[Ticket Priority]]="Critical",24,
IF(Tickets[[#This Row],[Ticket Priority]]="High",48,
IF(Tickets[[#This Row],[Ticket Priority]]="Medium",120,168)))</f>
        <v>48</v>
      </c>
      <c r="P1539" t="str">
        <f>IF(Tickets[[#This Row],[Resolution Duration Hours]] &lt;= Tickets[[#This Row],[SLA_Target_Hours]], "Yes", "No")</f>
        <v>Yes</v>
      </c>
    </row>
    <row r="1540" spans="1:16" hidden="1">
      <c r="A1540">
        <v>1539</v>
      </c>
      <c r="B1540" t="s">
        <v>1535</v>
      </c>
      <c r="C1540" t="s">
        <v>3519</v>
      </c>
      <c r="D1540" t="s">
        <v>3990</v>
      </c>
      <c r="E1540" s="1">
        <v>44579</v>
      </c>
      <c r="F1540" t="s">
        <v>4000</v>
      </c>
      <c r="G1540" t="s">
        <v>4006</v>
      </c>
      <c r="H1540" t="s">
        <v>4018</v>
      </c>
      <c r="I1540" t="s">
        <v>4024</v>
      </c>
      <c r="J1540" t="s">
        <v>4027</v>
      </c>
      <c r="K1540" s="2">
        <v>44856</v>
      </c>
      <c r="L1540" s="2">
        <v>44859</v>
      </c>
      <c r="M1540">
        <v>5</v>
      </c>
      <c r="N1540">
        <v>72</v>
      </c>
      <c r="O1540">
        <f>IF(Tickets[[#This Row],[Ticket Priority]]="Critical",24,
IF(Tickets[[#This Row],[Ticket Priority]]="High",48,
IF(Tickets[[#This Row],[Ticket Priority]]="Medium",120,168)))</f>
        <v>168</v>
      </c>
      <c r="P1540" t="str">
        <f>IF(Tickets[[#This Row],[Resolution Duration Hours]] &lt;= Tickets[[#This Row],[SLA_Target_Hours]], "Yes", "No")</f>
        <v>Yes</v>
      </c>
    </row>
    <row r="1541" spans="1:16">
      <c r="A1541">
        <v>638</v>
      </c>
      <c r="B1541" t="s">
        <v>648</v>
      </c>
      <c r="C1541" t="s">
        <v>2621</v>
      </c>
      <c r="D1541" t="s">
        <v>3982</v>
      </c>
      <c r="E1541" s="1">
        <v>44736</v>
      </c>
      <c r="F1541" t="s">
        <v>3999</v>
      </c>
      <c r="G1541" t="s">
        <v>4003</v>
      </c>
      <c r="H1541" t="s">
        <v>4018</v>
      </c>
      <c r="I1541" t="s">
        <v>4023</v>
      </c>
      <c r="J1541" t="s">
        <v>4028</v>
      </c>
      <c r="K1541" s="2">
        <v>45014</v>
      </c>
      <c r="L1541" s="2">
        <v>45020</v>
      </c>
      <c r="M1541">
        <v>4</v>
      </c>
      <c r="N1541">
        <v>144</v>
      </c>
      <c r="O1541">
        <f>IF(Tickets[[#This Row],[Ticket Priority]]="Critical",24,
IF(Tickets[[#This Row],[Ticket Priority]]="High",48,
IF(Tickets[[#This Row],[Ticket Priority]]="Medium",120,168)))</f>
        <v>120</v>
      </c>
      <c r="P1541" t="str">
        <f>IF(Tickets[[#This Row],[Resolution Duration Hours]] &lt;= Tickets[[#This Row],[SLA_Target_Hours]], "Yes", "No")</f>
        <v>No</v>
      </c>
    </row>
    <row r="1542" spans="1:16" hidden="1">
      <c r="A1542">
        <v>1541</v>
      </c>
      <c r="B1542" t="s">
        <v>1537</v>
      </c>
      <c r="C1542" t="s">
        <v>3521</v>
      </c>
      <c r="D1542" t="s">
        <v>3987</v>
      </c>
      <c r="E1542" s="1">
        <v>43849</v>
      </c>
      <c r="F1542" t="s">
        <v>4001</v>
      </c>
      <c r="G1542" t="s">
        <v>4015</v>
      </c>
      <c r="H1542" t="s">
        <v>4020</v>
      </c>
      <c r="I1542" t="s">
        <v>4023</v>
      </c>
      <c r="J1542" t="s">
        <v>4026</v>
      </c>
      <c r="K1542" s="2">
        <v>43899</v>
      </c>
      <c r="L1542" s="2">
        <v>43901</v>
      </c>
      <c r="N1542">
        <v>48</v>
      </c>
      <c r="O1542">
        <f>IF(Tickets[[#This Row],[Ticket Priority]]="Critical",24,
IF(Tickets[[#This Row],[Ticket Priority]]="High",48,
IF(Tickets[[#This Row],[Ticket Priority]]="Medium",120,168)))</f>
        <v>120</v>
      </c>
      <c r="P1542" t="str">
        <f>IF(Tickets[[#This Row],[Resolution Duration Hours]] &lt;= Tickets[[#This Row],[SLA_Target_Hours]], "Yes", "No")</f>
        <v>Yes</v>
      </c>
    </row>
    <row r="1543" spans="1:16" hidden="1">
      <c r="A1543">
        <v>1542</v>
      </c>
      <c r="B1543" t="s">
        <v>1538</v>
      </c>
      <c r="C1543" t="s">
        <v>3522</v>
      </c>
      <c r="D1543" t="s">
        <v>3982</v>
      </c>
      <c r="E1543" s="1">
        <v>44450</v>
      </c>
      <c r="F1543" t="s">
        <v>3998</v>
      </c>
      <c r="G1543" t="s">
        <v>4014</v>
      </c>
      <c r="H1543" t="s">
        <v>4017</v>
      </c>
      <c r="I1543" t="s">
        <v>4021</v>
      </c>
      <c r="J1543" t="s">
        <v>4026</v>
      </c>
      <c r="K1543" s="2">
        <v>44550</v>
      </c>
      <c r="L1543" s="2">
        <v>44552</v>
      </c>
      <c r="N1543">
        <v>48</v>
      </c>
      <c r="O1543">
        <f>IF(Tickets[[#This Row],[Ticket Priority]]="Critical",24,
IF(Tickets[[#This Row],[Ticket Priority]]="High",48,
IF(Tickets[[#This Row],[Ticket Priority]]="Medium",120,168)))</f>
        <v>48</v>
      </c>
      <c r="P1543" t="str">
        <f>IF(Tickets[[#This Row],[Resolution Duration Hours]] &lt;= Tickets[[#This Row],[SLA_Target_Hours]], "Yes", "No")</f>
        <v>Yes</v>
      </c>
    </row>
    <row r="1544" spans="1:16" hidden="1">
      <c r="A1544">
        <v>1543</v>
      </c>
      <c r="B1544" t="s">
        <v>1539</v>
      </c>
      <c r="C1544" t="s">
        <v>3523</v>
      </c>
      <c r="D1544" t="s">
        <v>3994</v>
      </c>
      <c r="E1544" s="1">
        <v>45070</v>
      </c>
      <c r="F1544" t="s">
        <v>4000</v>
      </c>
      <c r="G1544" t="s">
        <v>4014</v>
      </c>
      <c r="H1544" t="s">
        <v>4020</v>
      </c>
      <c r="I1544" t="s">
        <v>4024</v>
      </c>
      <c r="J1544" t="s">
        <v>4025</v>
      </c>
      <c r="K1544" s="2">
        <v>45130</v>
      </c>
      <c r="L1544" s="2">
        <v>45137</v>
      </c>
      <c r="N1544">
        <v>168</v>
      </c>
      <c r="O1544">
        <f>IF(Tickets[[#This Row],[Ticket Priority]]="Critical",24,
IF(Tickets[[#This Row],[Ticket Priority]]="High",48,
IF(Tickets[[#This Row],[Ticket Priority]]="Medium",120,168)))</f>
        <v>168</v>
      </c>
      <c r="P1544" t="str">
        <f>IF(Tickets[[#This Row],[Resolution Duration Hours]] &lt;= Tickets[[#This Row],[SLA_Target_Hours]], "Yes", "No")</f>
        <v>Yes</v>
      </c>
    </row>
    <row r="1545" spans="1:16" hidden="1">
      <c r="A1545">
        <v>1544</v>
      </c>
      <c r="B1545" t="s">
        <v>1540</v>
      </c>
      <c r="C1545" t="s">
        <v>3524</v>
      </c>
      <c r="D1545" t="s">
        <v>3988</v>
      </c>
      <c r="E1545" s="1">
        <v>44902</v>
      </c>
      <c r="F1545" t="s">
        <v>4001</v>
      </c>
      <c r="G1545" t="s">
        <v>4003</v>
      </c>
      <c r="H1545" t="s">
        <v>4018</v>
      </c>
      <c r="I1545" t="s">
        <v>4022</v>
      </c>
      <c r="J1545" t="s">
        <v>4027</v>
      </c>
      <c r="K1545" s="2">
        <v>44983</v>
      </c>
      <c r="L1545" s="2">
        <v>44984</v>
      </c>
      <c r="M1545">
        <v>4</v>
      </c>
      <c r="N1545">
        <v>24</v>
      </c>
      <c r="O1545">
        <f>IF(Tickets[[#This Row],[Ticket Priority]]="Critical",24,
IF(Tickets[[#This Row],[Ticket Priority]]="High",48,
IF(Tickets[[#This Row],[Ticket Priority]]="Medium",120,168)))</f>
        <v>24</v>
      </c>
      <c r="P1545" t="str">
        <f>IF(Tickets[[#This Row],[Resolution Duration Hours]] &lt;= Tickets[[#This Row],[SLA_Target_Hours]], "Yes", "No")</f>
        <v>Yes</v>
      </c>
    </row>
    <row r="1546" spans="1:16" hidden="1">
      <c r="A1546">
        <v>1545</v>
      </c>
      <c r="B1546" t="s">
        <v>1541</v>
      </c>
      <c r="C1546" t="s">
        <v>3525</v>
      </c>
      <c r="D1546" t="s">
        <v>3989</v>
      </c>
      <c r="E1546" s="1">
        <v>43929</v>
      </c>
      <c r="F1546" t="s">
        <v>3998</v>
      </c>
      <c r="G1546" t="s">
        <v>4006</v>
      </c>
      <c r="H1546" t="s">
        <v>4018</v>
      </c>
      <c r="I1546" t="s">
        <v>4021</v>
      </c>
      <c r="J1546" t="s">
        <v>4028</v>
      </c>
      <c r="K1546" s="2">
        <v>43966</v>
      </c>
      <c r="L1546" s="2">
        <v>43968</v>
      </c>
      <c r="M1546">
        <v>3</v>
      </c>
      <c r="N1546">
        <v>48</v>
      </c>
      <c r="O1546">
        <f>IF(Tickets[[#This Row],[Ticket Priority]]="Critical",24,
IF(Tickets[[#This Row],[Ticket Priority]]="High",48,
IF(Tickets[[#This Row],[Ticket Priority]]="Medium",120,168)))</f>
        <v>48</v>
      </c>
      <c r="P1546" t="str">
        <f>IF(Tickets[[#This Row],[Resolution Duration Hours]] &lt;= Tickets[[#This Row],[SLA_Target_Hours]], "Yes", "No")</f>
        <v>Yes</v>
      </c>
    </row>
    <row r="1547" spans="1:16">
      <c r="A1547">
        <v>640</v>
      </c>
      <c r="B1547" t="s">
        <v>650</v>
      </c>
      <c r="C1547" t="s">
        <v>2623</v>
      </c>
      <c r="D1547" t="s">
        <v>3993</v>
      </c>
      <c r="E1547" s="1">
        <v>44390</v>
      </c>
      <c r="F1547" t="s">
        <v>4001</v>
      </c>
      <c r="G1547" t="s">
        <v>4000</v>
      </c>
      <c r="H1547" t="s">
        <v>4020</v>
      </c>
      <c r="I1547" t="s">
        <v>4023</v>
      </c>
      <c r="J1547" t="s">
        <v>4025</v>
      </c>
      <c r="K1547" s="2">
        <v>44486</v>
      </c>
      <c r="L1547" s="2">
        <v>44492</v>
      </c>
      <c r="N1547">
        <v>144</v>
      </c>
      <c r="O1547">
        <f>IF(Tickets[[#This Row],[Ticket Priority]]="Critical",24,
IF(Tickets[[#This Row],[Ticket Priority]]="High",48,
IF(Tickets[[#This Row],[Ticket Priority]]="Medium",120,168)))</f>
        <v>120</v>
      </c>
      <c r="P1547" t="str">
        <f>IF(Tickets[[#This Row],[Resolution Duration Hours]] &lt;= Tickets[[#This Row],[SLA_Target_Hours]], "Yes", "No")</f>
        <v>No</v>
      </c>
    </row>
    <row r="1548" spans="1:16" hidden="1">
      <c r="A1548">
        <v>1547</v>
      </c>
      <c r="B1548" t="s">
        <v>1543</v>
      </c>
      <c r="C1548" t="s">
        <v>3527</v>
      </c>
      <c r="D1548" t="s">
        <v>3984</v>
      </c>
      <c r="E1548" s="1">
        <v>44011</v>
      </c>
      <c r="F1548" t="s">
        <v>3999</v>
      </c>
      <c r="G1548" t="s">
        <v>4000</v>
      </c>
      <c r="H1548" t="s">
        <v>4020</v>
      </c>
      <c r="I1548" t="s">
        <v>4023</v>
      </c>
      <c r="J1548" t="s">
        <v>4026</v>
      </c>
      <c r="K1548" s="2">
        <v>44153</v>
      </c>
      <c r="L1548" s="2">
        <v>44156</v>
      </c>
      <c r="N1548">
        <v>72</v>
      </c>
      <c r="O1548">
        <f>IF(Tickets[[#This Row],[Ticket Priority]]="Critical",24,
IF(Tickets[[#This Row],[Ticket Priority]]="High",48,
IF(Tickets[[#This Row],[Ticket Priority]]="Medium",120,168)))</f>
        <v>120</v>
      </c>
      <c r="P1548" t="str">
        <f>IF(Tickets[[#This Row],[Resolution Duration Hours]] &lt;= Tickets[[#This Row],[SLA_Target_Hours]], "Yes", "No")</f>
        <v>Yes</v>
      </c>
    </row>
    <row r="1549" spans="1:16" hidden="1">
      <c r="A1549">
        <v>1548</v>
      </c>
      <c r="B1549" t="s">
        <v>1544</v>
      </c>
      <c r="C1549" t="s">
        <v>3528</v>
      </c>
      <c r="D1549" t="s">
        <v>3991</v>
      </c>
      <c r="E1549" s="1">
        <v>44734</v>
      </c>
      <c r="F1549" t="s">
        <v>3998</v>
      </c>
      <c r="G1549" t="s">
        <v>4016</v>
      </c>
      <c r="H1549" t="s">
        <v>4020</v>
      </c>
      <c r="I1549" t="s">
        <v>4024</v>
      </c>
      <c r="J1549" t="s">
        <v>4026</v>
      </c>
      <c r="K1549" s="2">
        <v>44972</v>
      </c>
      <c r="L1549" s="2">
        <v>44978</v>
      </c>
      <c r="N1549">
        <v>144</v>
      </c>
      <c r="O1549">
        <f>IF(Tickets[[#This Row],[Ticket Priority]]="Critical",24,
IF(Tickets[[#This Row],[Ticket Priority]]="High",48,
IF(Tickets[[#This Row],[Ticket Priority]]="Medium",120,168)))</f>
        <v>168</v>
      </c>
      <c r="P1549" t="str">
        <f>IF(Tickets[[#This Row],[Resolution Duration Hours]] &lt;= Tickets[[#This Row],[SLA_Target_Hours]], "Yes", "No")</f>
        <v>Yes</v>
      </c>
    </row>
    <row r="1550" spans="1:16" hidden="1">
      <c r="A1550">
        <v>1549</v>
      </c>
      <c r="B1550" t="s">
        <v>1545</v>
      </c>
      <c r="C1550" t="s">
        <v>3529</v>
      </c>
      <c r="D1550" t="s">
        <v>3979</v>
      </c>
      <c r="E1550" s="1">
        <v>44817</v>
      </c>
      <c r="F1550" t="s">
        <v>3998</v>
      </c>
      <c r="G1550" t="s">
        <v>4006</v>
      </c>
      <c r="H1550" t="s">
        <v>4018</v>
      </c>
      <c r="I1550" t="s">
        <v>4024</v>
      </c>
      <c r="J1550" t="s">
        <v>4028</v>
      </c>
      <c r="K1550" s="2">
        <v>45103</v>
      </c>
      <c r="L1550" s="2">
        <v>45105</v>
      </c>
      <c r="M1550">
        <v>4</v>
      </c>
      <c r="N1550">
        <v>48</v>
      </c>
      <c r="O1550">
        <f>IF(Tickets[[#This Row],[Ticket Priority]]="Critical",24,
IF(Tickets[[#This Row],[Ticket Priority]]="High",48,
IF(Tickets[[#This Row],[Ticket Priority]]="Medium",120,168)))</f>
        <v>168</v>
      </c>
      <c r="P1550" t="str">
        <f>IF(Tickets[[#This Row],[Resolution Duration Hours]] &lt;= Tickets[[#This Row],[SLA_Target_Hours]], "Yes", "No")</f>
        <v>Yes</v>
      </c>
    </row>
    <row r="1551" spans="1:16" hidden="1">
      <c r="A1551">
        <v>1550</v>
      </c>
      <c r="B1551" t="s">
        <v>1546</v>
      </c>
      <c r="C1551" t="s">
        <v>3530</v>
      </c>
      <c r="D1551" t="s">
        <v>3985</v>
      </c>
      <c r="E1551" s="1">
        <v>44105</v>
      </c>
      <c r="F1551" t="s">
        <v>3999</v>
      </c>
      <c r="G1551" t="s">
        <v>4004</v>
      </c>
      <c r="H1551" t="s">
        <v>4018</v>
      </c>
      <c r="I1551" t="s">
        <v>4023</v>
      </c>
      <c r="J1551" t="s">
        <v>4028</v>
      </c>
      <c r="K1551" s="2">
        <v>44228</v>
      </c>
      <c r="L1551" s="2">
        <v>44232</v>
      </c>
      <c r="M1551">
        <v>4</v>
      </c>
      <c r="N1551">
        <v>96</v>
      </c>
      <c r="O1551">
        <f>IF(Tickets[[#This Row],[Ticket Priority]]="Critical",24,
IF(Tickets[[#This Row],[Ticket Priority]]="High",48,
IF(Tickets[[#This Row],[Ticket Priority]]="Medium",120,168)))</f>
        <v>120</v>
      </c>
      <c r="P1551" t="str">
        <f>IF(Tickets[[#This Row],[Resolution Duration Hours]] &lt;= Tickets[[#This Row],[SLA_Target_Hours]], "Yes", "No")</f>
        <v>Yes</v>
      </c>
    </row>
    <row r="1552" spans="1:16" hidden="1">
      <c r="A1552">
        <v>1551</v>
      </c>
      <c r="B1552" t="s">
        <v>1547</v>
      </c>
      <c r="C1552" t="s">
        <v>3531</v>
      </c>
      <c r="D1552" t="s">
        <v>3990</v>
      </c>
      <c r="E1552" s="1">
        <v>44258</v>
      </c>
      <c r="F1552" t="s">
        <v>4002</v>
      </c>
      <c r="G1552" t="s">
        <v>4015</v>
      </c>
      <c r="H1552" t="s">
        <v>4020</v>
      </c>
      <c r="I1552" t="s">
        <v>4021</v>
      </c>
      <c r="J1552" t="s">
        <v>4026</v>
      </c>
      <c r="K1552" s="2">
        <v>44391</v>
      </c>
      <c r="L1552" s="2">
        <v>44393</v>
      </c>
      <c r="N1552">
        <v>48</v>
      </c>
      <c r="O1552">
        <f>IF(Tickets[[#This Row],[Ticket Priority]]="Critical",24,
IF(Tickets[[#This Row],[Ticket Priority]]="High",48,
IF(Tickets[[#This Row],[Ticket Priority]]="Medium",120,168)))</f>
        <v>48</v>
      </c>
      <c r="P1552" t="str">
        <f>IF(Tickets[[#This Row],[Resolution Duration Hours]] &lt;= Tickets[[#This Row],[SLA_Target_Hours]], "Yes", "No")</f>
        <v>Yes</v>
      </c>
    </row>
    <row r="1553" spans="1:16" hidden="1">
      <c r="A1553">
        <v>1552</v>
      </c>
      <c r="B1553" t="s">
        <v>1548</v>
      </c>
      <c r="C1553" t="s">
        <v>3532</v>
      </c>
      <c r="D1553" t="s">
        <v>3988</v>
      </c>
      <c r="E1553" s="1">
        <v>43841</v>
      </c>
      <c r="F1553" t="s">
        <v>4000</v>
      </c>
      <c r="G1553" t="s">
        <v>4014</v>
      </c>
      <c r="H1553" t="s">
        <v>4018</v>
      </c>
      <c r="I1553" t="s">
        <v>4023</v>
      </c>
      <c r="J1553" t="s">
        <v>4025</v>
      </c>
      <c r="K1553" s="2">
        <v>44106</v>
      </c>
      <c r="L1553" s="2">
        <v>44109</v>
      </c>
      <c r="M1553">
        <v>4</v>
      </c>
      <c r="N1553">
        <v>72</v>
      </c>
      <c r="O1553">
        <f>IF(Tickets[[#This Row],[Ticket Priority]]="Critical",24,
IF(Tickets[[#This Row],[Ticket Priority]]="High",48,
IF(Tickets[[#This Row],[Ticket Priority]]="Medium",120,168)))</f>
        <v>120</v>
      </c>
      <c r="P1553" t="str">
        <f>IF(Tickets[[#This Row],[Resolution Duration Hours]] &lt;= Tickets[[#This Row],[SLA_Target_Hours]], "Yes", "No")</f>
        <v>Yes</v>
      </c>
    </row>
    <row r="1554" spans="1:16" hidden="1">
      <c r="A1554">
        <v>1553</v>
      </c>
      <c r="B1554" t="s">
        <v>1549</v>
      </c>
      <c r="C1554" t="s">
        <v>3533</v>
      </c>
      <c r="D1554" t="s">
        <v>3983</v>
      </c>
      <c r="E1554" s="1">
        <v>44304</v>
      </c>
      <c r="F1554" t="s">
        <v>4001</v>
      </c>
      <c r="G1554" t="s">
        <v>4003</v>
      </c>
      <c r="H1554" t="s">
        <v>4017</v>
      </c>
      <c r="I1554" t="s">
        <v>4022</v>
      </c>
      <c r="J1554" t="s">
        <v>4025</v>
      </c>
      <c r="K1554" s="2">
        <v>44319</v>
      </c>
      <c r="L1554" s="2">
        <v>44319</v>
      </c>
      <c r="N1554">
        <v>0</v>
      </c>
      <c r="O1554">
        <f>IF(Tickets[[#This Row],[Ticket Priority]]="Critical",24,
IF(Tickets[[#This Row],[Ticket Priority]]="High",48,
IF(Tickets[[#This Row],[Ticket Priority]]="Medium",120,168)))</f>
        <v>24</v>
      </c>
      <c r="P1554" t="str">
        <f>IF(Tickets[[#This Row],[Resolution Duration Hours]] &lt;= Tickets[[#This Row],[SLA_Target_Hours]], "Yes", "No")</f>
        <v>Yes</v>
      </c>
    </row>
    <row r="1555" spans="1:16" hidden="1">
      <c r="A1555">
        <v>1554</v>
      </c>
      <c r="B1555" t="s">
        <v>1550</v>
      </c>
      <c r="C1555" t="s">
        <v>3534</v>
      </c>
      <c r="D1555" t="s">
        <v>3983</v>
      </c>
      <c r="E1555" s="1">
        <v>44162</v>
      </c>
      <c r="F1555" t="s">
        <v>4001</v>
      </c>
      <c r="G1555" t="s">
        <v>4011</v>
      </c>
      <c r="H1555" t="s">
        <v>4017</v>
      </c>
      <c r="I1555" t="s">
        <v>4024</v>
      </c>
      <c r="J1555" t="s">
        <v>4026</v>
      </c>
      <c r="K1555" s="2">
        <v>44246</v>
      </c>
      <c r="L1555" s="2">
        <v>44252</v>
      </c>
      <c r="N1555">
        <v>144</v>
      </c>
      <c r="O1555">
        <f>IF(Tickets[[#This Row],[Ticket Priority]]="Critical",24,
IF(Tickets[[#This Row],[Ticket Priority]]="High",48,
IF(Tickets[[#This Row],[Ticket Priority]]="Medium",120,168)))</f>
        <v>168</v>
      </c>
      <c r="P1555" t="str">
        <f>IF(Tickets[[#This Row],[Resolution Duration Hours]] &lt;= Tickets[[#This Row],[SLA_Target_Hours]], "Yes", "No")</f>
        <v>Yes</v>
      </c>
    </row>
    <row r="1556" spans="1:16" hidden="1">
      <c r="A1556">
        <v>1555</v>
      </c>
      <c r="B1556" t="s">
        <v>1551</v>
      </c>
      <c r="C1556" t="s">
        <v>3535</v>
      </c>
      <c r="D1556" t="s">
        <v>3991</v>
      </c>
      <c r="E1556" s="1">
        <v>44157</v>
      </c>
      <c r="F1556" t="s">
        <v>3999</v>
      </c>
      <c r="G1556" t="s">
        <v>4000</v>
      </c>
      <c r="H1556" t="s">
        <v>4018</v>
      </c>
      <c r="I1556" t="s">
        <v>4024</v>
      </c>
      <c r="J1556" t="s">
        <v>4027</v>
      </c>
      <c r="K1556" s="2">
        <v>44488</v>
      </c>
      <c r="L1556" s="2">
        <v>44494</v>
      </c>
      <c r="M1556">
        <v>4</v>
      </c>
      <c r="N1556">
        <v>144</v>
      </c>
      <c r="O1556">
        <f>IF(Tickets[[#This Row],[Ticket Priority]]="Critical",24,
IF(Tickets[[#This Row],[Ticket Priority]]="High",48,
IF(Tickets[[#This Row],[Ticket Priority]]="Medium",120,168)))</f>
        <v>168</v>
      </c>
      <c r="P1556" t="str">
        <f>IF(Tickets[[#This Row],[Resolution Duration Hours]] &lt;= Tickets[[#This Row],[SLA_Target_Hours]], "Yes", "No")</f>
        <v>Yes</v>
      </c>
    </row>
    <row r="1557" spans="1:16" hidden="1">
      <c r="A1557">
        <v>1556</v>
      </c>
      <c r="B1557" t="s">
        <v>1552</v>
      </c>
      <c r="C1557" t="s">
        <v>3536</v>
      </c>
      <c r="D1557" t="s">
        <v>3997</v>
      </c>
      <c r="E1557" s="1">
        <v>44860</v>
      </c>
      <c r="F1557" t="s">
        <v>3998</v>
      </c>
      <c r="G1557" t="s">
        <v>4011</v>
      </c>
      <c r="H1557" t="s">
        <v>4018</v>
      </c>
      <c r="I1557" t="s">
        <v>4023</v>
      </c>
      <c r="J1557" t="s">
        <v>4028</v>
      </c>
      <c r="K1557" s="2">
        <v>45190</v>
      </c>
      <c r="L1557" s="2">
        <v>45193</v>
      </c>
      <c r="M1557">
        <v>4</v>
      </c>
      <c r="N1557">
        <v>72</v>
      </c>
      <c r="O1557">
        <f>IF(Tickets[[#This Row],[Ticket Priority]]="Critical",24,
IF(Tickets[[#This Row],[Ticket Priority]]="High",48,
IF(Tickets[[#This Row],[Ticket Priority]]="Medium",120,168)))</f>
        <v>120</v>
      </c>
      <c r="P1557" t="str">
        <f>IF(Tickets[[#This Row],[Resolution Duration Hours]] &lt;= Tickets[[#This Row],[SLA_Target_Hours]], "Yes", "No")</f>
        <v>Yes</v>
      </c>
    </row>
    <row r="1558" spans="1:16">
      <c r="A1558">
        <v>662</v>
      </c>
      <c r="B1558" t="s">
        <v>672</v>
      </c>
      <c r="C1558" t="s">
        <v>2645</v>
      </c>
      <c r="D1558" t="s">
        <v>3983</v>
      </c>
      <c r="E1558" s="1">
        <v>44838</v>
      </c>
      <c r="F1558" t="s">
        <v>3999</v>
      </c>
      <c r="G1558" t="s">
        <v>4009</v>
      </c>
      <c r="H1558" t="s">
        <v>4018</v>
      </c>
      <c r="I1558" t="s">
        <v>4023</v>
      </c>
      <c r="J1558" t="s">
        <v>4026</v>
      </c>
      <c r="K1558" s="2">
        <v>45032</v>
      </c>
      <c r="L1558" s="2">
        <v>45038</v>
      </c>
      <c r="M1558">
        <v>5</v>
      </c>
      <c r="N1558">
        <v>144</v>
      </c>
      <c r="O1558">
        <f>IF(Tickets[[#This Row],[Ticket Priority]]="Critical",24,
IF(Tickets[[#This Row],[Ticket Priority]]="High",48,
IF(Tickets[[#This Row],[Ticket Priority]]="Medium",120,168)))</f>
        <v>120</v>
      </c>
      <c r="P1558" t="str">
        <f>IF(Tickets[[#This Row],[Resolution Duration Hours]] &lt;= Tickets[[#This Row],[SLA_Target_Hours]], "Yes", "No")</f>
        <v>No</v>
      </c>
    </row>
    <row r="1559" spans="1:16">
      <c r="A1559">
        <v>722</v>
      </c>
      <c r="B1559" t="s">
        <v>731</v>
      </c>
      <c r="C1559" t="s">
        <v>2704</v>
      </c>
      <c r="D1559" t="s">
        <v>3992</v>
      </c>
      <c r="E1559" s="1">
        <v>44720</v>
      </c>
      <c r="F1559" t="s">
        <v>4002</v>
      </c>
      <c r="G1559" t="s">
        <v>4011</v>
      </c>
      <c r="H1559" t="s">
        <v>4017</v>
      </c>
      <c r="I1559" t="s">
        <v>4023</v>
      </c>
      <c r="J1559" t="s">
        <v>4026</v>
      </c>
      <c r="K1559" s="2">
        <v>45038</v>
      </c>
      <c r="L1559" s="2">
        <v>45044</v>
      </c>
      <c r="N1559">
        <v>144</v>
      </c>
      <c r="O1559">
        <f>IF(Tickets[[#This Row],[Ticket Priority]]="Critical",24,
IF(Tickets[[#This Row],[Ticket Priority]]="High",48,
IF(Tickets[[#This Row],[Ticket Priority]]="Medium",120,168)))</f>
        <v>120</v>
      </c>
      <c r="P1559" t="str">
        <f>IF(Tickets[[#This Row],[Resolution Duration Hours]] &lt;= Tickets[[#This Row],[SLA_Target_Hours]], "Yes", "No")</f>
        <v>No</v>
      </c>
    </row>
    <row r="1560" spans="1:16">
      <c r="A1560">
        <v>748</v>
      </c>
      <c r="B1560" t="s">
        <v>757</v>
      </c>
      <c r="C1560" t="s">
        <v>2730</v>
      </c>
      <c r="D1560" t="s">
        <v>3981</v>
      </c>
      <c r="E1560" s="1">
        <v>44830</v>
      </c>
      <c r="F1560" t="s">
        <v>4001</v>
      </c>
      <c r="G1560" t="s">
        <v>4006</v>
      </c>
      <c r="H1560" t="s">
        <v>4018</v>
      </c>
      <c r="I1560" t="s">
        <v>4023</v>
      </c>
      <c r="J1560" t="s">
        <v>4028</v>
      </c>
      <c r="K1560" s="2">
        <v>44987</v>
      </c>
      <c r="L1560" s="2">
        <v>44993</v>
      </c>
      <c r="N1560">
        <v>144</v>
      </c>
      <c r="O1560">
        <f>IF(Tickets[[#This Row],[Ticket Priority]]="Critical",24,
IF(Tickets[[#This Row],[Ticket Priority]]="High",48,
IF(Tickets[[#This Row],[Ticket Priority]]="Medium",120,168)))</f>
        <v>120</v>
      </c>
      <c r="P1560" t="str">
        <f>IF(Tickets[[#This Row],[Resolution Duration Hours]] &lt;= Tickets[[#This Row],[SLA_Target_Hours]], "Yes", "No")</f>
        <v>No</v>
      </c>
    </row>
    <row r="1561" spans="1:16">
      <c r="A1561">
        <v>785</v>
      </c>
      <c r="B1561" t="s">
        <v>794</v>
      </c>
      <c r="C1561" t="s">
        <v>2767</v>
      </c>
      <c r="D1561" t="s">
        <v>3981</v>
      </c>
      <c r="E1561" s="1">
        <v>44060</v>
      </c>
      <c r="F1561" t="s">
        <v>4001</v>
      </c>
      <c r="G1561" t="s">
        <v>4004</v>
      </c>
      <c r="H1561" t="s">
        <v>4018</v>
      </c>
      <c r="I1561" t="s">
        <v>4023</v>
      </c>
      <c r="J1561" t="s">
        <v>4026</v>
      </c>
      <c r="K1561" s="2">
        <v>44219</v>
      </c>
      <c r="L1561" s="2">
        <v>44225</v>
      </c>
      <c r="M1561">
        <v>4</v>
      </c>
      <c r="N1561">
        <v>144</v>
      </c>
      <c r="O1561">
        <f>IF(Tickets[[#This Row],[Ticket Priority]]="Critical",24,
IF(Tickets[[#This Row],[Ticket Priority]]="High",48,
IF(Tickets[[#This Row],[Ticket Priority]]="Medium",120,168)))</f>
        <v>120</v>
      </c>
      <c r="P1561" t="str">
        <f>IF(Tickets[[#This Row],[Resolution Duration Hours]] &lt;= Tickets[[#This Row],[SLA_Target_Hours]], "Yes", "No")</f>
        <v>No</v>
      </c>
    </row>
    <row r="1562" spans="1:16" hidden="1">
      <c r="A1562">
        <v>1561</v>
      </c>
      <c r="B1562" t="s">
        <v>1557</v>
      </c>
      <c r="C1562" t="s">
        <v>3541</v>
      </c>
      <c r="D1562" t="s">
        <v>3993</v>
      </c>
      <c r="E1562" s="1">
        <v>44700</v>
      </c>
      <c r="F1562" t="s">
        <v>3998</v>
      </c>
      <c r="G1562" t="s">
        <v>4014</v>
      </c>
      <c r="H1562" t="s">
        <v>4019</v>
      </c>
      <c r="I1562" t="s">
        <v>4023</v>
      </c>
      <c r="J1562" t="s">
        <v>4025</v>
      </c>
      <c r="K1562" s="2">
        <v>44910</v>
      </c>
      <c r="L1562" s="2">
        <v>44915</v>
      </c>
      <c r="M1562">
        <v>4</v>
      </c>
      <c r="N1562">
        <v>120</v>
      </c>
      <c r="O1562">
        <f>IF(Tickets[[#This Row],[Ticket Priority]]="Critical",24,
IF(Tickets[[#This Row],[Ticket Priority]]="High",48,
IF(Tickets[[#This Row],[Ticket Priority]]="Medium",120,168)))</f>
        <v>120</v>
      </c>
      <c r="P1562" t="str">
        <f>IF(Tickets[[#This Row],[Resolution Duration Hours]] &lt;= Tickets[[#This Row],[SLA_Target_Hours]], "Yes", "No")</f>
        <v>Yes</v>
      </c>
    </row>
    <row r="1563" spans="1:16" hidden="1">
      <c r="A1563">
        <v>1562</v>
      </c>
      <c r="B1563" t="s">
        <v>1558</v>
      </c>
      <c r="C1563" t="s">
        <v>3542</v>
      </c>
      <c r="D1563" t="s">
        <v>3994</v>
      </c>
      <c r="E1563" s="1">
        <v>44208</v>
      </c>
      <c r="F1563" t="s">
        <v>3998</v>
      </c>
      <c r="G1563" t="s">
        <v>4015</v>
      </c>
      <c r="H1563" t="s">
        <v>4018</v>
      </c>
      <c r="I1563" t="s">
        <v>4024</v>
      </c>
      <c r="J1563" t="s">
        <v>4027</v>
      </c>
      <c r="K1563" s="2">
        <v>44345</v>
      </c>
      <c r="L1563" s="2">
        <v>44352</v>
      </c>
      <c r="M1563">
        <v>4</v>
      </c>
      <c r="N1563">
        <v>168</v>
      </c>
      <c r="O1563">
        <f>IF(Tickets[[#This Row],[Ticket Priority]]="Critical",24,
IF(Tickets[[#This Row],[Ticket Priority]]="High",48,
IF(Tickets[[#This Row],[Ticket Priority]]="Medium",120,168)))</f>
        <v>168</v>
      </c>
      <c r="P1563" t="str">
        <f>IF(Tickets[[#This Row],[Resolution Duration Hours]] &lt;= Tickets[[#This Row],[SLA_Target_Hours]], "Yes", "No")</f>
        <v>Yes</v>
      </c>
    </row>
    <row r="1564" spans="1:16" hidden="1">
      <c r="A1564">
        <v>1563</v>
      </c>
      <c r="B1564" t="s">
        <v>1559</v>
      </c>
      <c r="C1564" t="s">
        <v>3543</v>
      </c>
      <c r="D1564" t="s">
        <v>3990</v>
      </c>
      <c r="E1564" s="1">
        <v>44436</v>
      </c>
      <c r="F1564" t="s">
        <v>4002</v>
      </c>
      <c r="G1564" t="s">
        <v>4004</v>
      </c>
      <c r="H1564" t="s">
        <v>4018</v>
      </c>
      <c r="I1564" t="s">
        <v>4024</v>
      </c>
      <c r="J1564" t="s">
        <v>4026</v>
      </c>
      <c r="K1564" s="2">
        <v>44765</v>
      </c>
      <c r="L1564" s="2">
        <v>44771</v>
      </c>
      <c r="M1564">
        <v>3</v>
      </c>
      <c r="N1564">
        <v>144</v>
      </c>
      <c r="O1564">
        <f>IF(Tickets[[#This Row],[Ticket Priority]]="Critical",24,
IF(Tickets[[#This Row],[Ticket Priority]]="High",48,
IF(Tickets[[#This Row],[Ticket Priority]]="Medium",120,168)))</f>
        <v>168</v>
      </c>
      <c r="P1564" t="str">
        <f>IF(Tickets[[#This Row],[Resolution Duration Hours]] &lt;= Tickets[[#This Row],[SLA_Target_Hours]], "Yes", "No")</f>
        <v>Yes</v>
      </c>
    </row>
    <row r="1565" spans="1:16" hidden="1">
      <c r="A1565">
        <v>1564</v>
      </c>
      <c r="B1565" t="s">
        <v>1560</v>
      </c>
      <c r="C1565" t="s">
        <v>3544</v>
      </c>
      <c r="D1565" t="s">
        <v>3996</v>
      </c>
      <c r="E1565" s="1">
        <v>43988</v>
      </c>
      <c r="F1565" t="s">
        <v>3998</v>
      </c>
      <c r="G1565" t="s">
        <v>4009</v>
      </c>
      <c r="H1565" t="s">
        <v>4018</v>
      </c>
      <c r="I1565" t="s">
        <v>4024</v>
      </c>
      <c r="J1565" t="s">
        <v>4025</v>
      </c>
      <c r="K1565" s="2">
        <v>44125</v>
      </c>
      <c r="L1565" s="2">
        <v>44130</v>
      </c>
      <c r="M1565">
        <v>3</v>
      </c>
      <c r="N1565">
        <v>120</v>
      </c>
      <c r="O1565">
        <f>IF(Tickets[[#This Row],[Ticket Priority]]="Critical",24,
IF(Tickets[[#This Row],[Ticket Priority]]="High",48,
IF(Tickets[[#This Row],[Ticket Priority]]="Medium",120,168)))</f>
        <v>168</v>
      </c>
      <c r="P1565" t="str">
        <f>IF(Tickets[[#This Row],[Resolution Duration Hours]] &lt;= Tickets[[#This Row],[SLA_Target_Hours]], "Yes", "No")</f>
        <v>Yes</v>
      </c>
    </row>
    <row r="1566" spans="1:16" hidden="1">
      <c r="A1566">
        <v>1565</v>
      </c>
      <c r="B1566" t="s">
        <v>1561</v>
      </c>
      <c r="C1566" t="s">
        <v>3545</v>
      </c>
      <c r="D1566" t="s">
        <v>3986</v>
      </c>
      <c r="E1566" s="1">
        <v>44039</v>
      </c>
      <c r="F1566" t="s">
        <v>3998</v>
      </c>
      <c r="G1566" t="s">
        <v>4000</v>
      </c>
      <c r="H1566" t="s">
        <v>4018</v>
      </c>
      <c r="I1566" t="s">
        <v>4022</v>
      </c>
      <c r="J1566" t="s">
        <v>4025</v>
      </c>
      <c r="K1566" s="2">
        <v>44247</v>
      </c>
      <c r="L1566" s="2">
        <v>44247</v>
      </c>
      <c r="M1566">
        <v>4</v>
      </c>
      <c r="N1566">
        <v>0</v>
      </c>
      <c r="O1566">
        <f>IF(Tickets[[#This Row],[Ticket Priority]]="Critical",24,
IF(Tickets[[#This Row],[Ticket Priority]]="High",48,
IF(Tickets[[#This Row],[Ticket Priority]]="Medium",120,168)))</f>
        <v>24</v>
      </c>
      <c r="P1566" t="str">
        <f>IF(Tickets[[#This Row],[Resolution Duration Hours]] &lt;= Tickets[[#This Row],[SLA_Target_Hours]], "Yes", "No")</f>
        <v>Yes</v>
      </c>
    </row>
    <row r="1567" spans="1:16" hidden="1">
      <c r="A1567">
        <v>1566</v>
      </c>
      <c r="B1567" t="s">
        <v>1562</v>
      </c>
      <c r="C1567" t="s">
        <v>3546</v>
      </c>
      <c r="D1567" t="s">
        <v>3986</v>
      </c>
      <c r="E1567" s="1">
        <v>44295</v>
      </c>
      <c r="F1567" t="s">
        <v>3999</v>
      </c>
      <c r="G1567" t="s">
        <v>4008</v>
      </c>
      <c r="H1567" t="s">
        <v>4019</v>
      </c>
      <c r="I1567" t="s">
        <v>4024</v>
      </c>
      <c r="J1567" t="s">
        <v>4026</v>
      </c>
      <c r="K1567" s="2">
        <v>44423</v>
      </c>
      <c r="L1567" s="2">
        <v>44427</v>
      </c>
      <c r="M1567">
        <v>5</v>
      </c>
      <c r="N1567">
        <v>96</v>
      </c>
      <c r="O1567">
        <f>IF(Tickets[[#This Row],[Ticket Priority]]="Critical",24,
IF(Tickets[[#This Row],[Ticket Priority]]="High",48,
IF(Tickets[[#This Row],[Ticket Priority]]="Medium",120,168)))</f>
        <v>168</v>
      </c>
      <c r="P1567" t="str">
        <f>IF(Tickets[[#This Row],[Resolution Duration Hours]] &lt;= Tickets[[#This Row],[SLA_Target_Hours]], "Yes", "No")</f>
        <v>Yes</v>
      </c>
    </row>
    <row r="1568" spans="1:16">
      <c r="A1568">
        <v>834</v>
      </c>
      <c r="B1568" t="s">
        <v>842</v>
      </c>
      <c r="C1568" t="s">
        <v>2816</v>
      </c>
      <c r="D1568" t="s">
        <v>3983</v>
      </c>
      <c r="E1568" s="1">
        <v>44040</v>
      </c>
      <c r="F1568" t="s">
        <v>4002</v>
      </c>
      <c r="G1568" t="s">
        <v>4009</v>
      </c>
      <c r="H1568" t="s">
        <v>4018</v>
      </c>
      <c r="I1568" t="s">
        <v>4023</v>
      </c>
      <c r="J1568" t="s">
        <v>4028</v>
      </c>
      <c r="K1568" s="2">
        <v>44215</v>
      </c>
      <c r="L1568" s="2">
        <v>44221</v>
      </c>
      <c r="N1568">
        <v>144</v>
      </c>
      <c r="O1568">
        <f>IF(Tickets[[#This Row],[Ticket Priority]]="Critical",24,
IF(Tickets[[#This Row],[Ticket Priority]]="High",48,
IF(Tickets[[#This Row],[Ticket Priority]]="Medium",120,168)))</f>
        <v>120</v>
      </c>
      <c r="P1568" t="str">
        <f>IF(Tickets[[#This Row],[Resolution Duration Hours]] &lt;= Tickets[[#This Row],[SLA_Target_Hours]], "Yes", "No")</f>
        <v>No</v>
      </c>
    </row>
    <row r="1569" spans="1:16" hidden="1">
      <c r="A1569">
        <v>1568</v>
      </c>
      <c r="B1569" t="s">
        <v>1564</v>
      </c>
      <c r="C1569" t="s">
        <v>3548</v>
      </c>
      <c r="D1569" t="s">
        <v>3987</v>
      </c>
      <c r="E1569" s="1">
        <v>44164</v>
      </c>
      <c r="F1569" t="s">
        <v>3998</v>
      </c>
      <c r="G1569" t="s">
        <v>4004</v>
      </c>
      <c r="H1569" t="s">
        <v>4018</v>
      </c>
      <c r="I1569" t="s">
        <v>4023</v>
      </c>
      <c r="J1569" t="s">
        <v>4028</v>
      </c>
      <c r="K1569" s="2">
        <v>44506</v>
      </c>
      <c r="L1569" s="2">
        <v>44509</v>
      </c>
      <c r="N1569">
        <v>72</v>
      </c>
      <c r="O1569">
        <f>IF(Tickets[[#This Row],[Ticket Priority]]="Critical",24,
IF(Tickets[[#This Row],[Ticket Priority]]="High",48,
IF(Tickets[[#This Row],[Ticket Priority]]="Medium",120,168)))</f>
        <v>120</v>
      </c>
      <c r="P1569" t="str">
        <f>IF(Tickets[[#This Row],[Resolution Duration Hours]] &lt;= Tickets[[#This Row],[SLA_Target_Hours]], "Yes", "No")</f>
        <v>Yes</v>
      </c>
    </row>
    <row r="1570" spans="1:16" hidden="1">
      <c r="A1570">
        <v>1569</v>
      </c>
      <c r="B1570" t="s">
        <v>1565</v>
      </c>
      <c r="C1570" t="s">
        <v>2673</v>
      </c>
      <c r="D1570" t="s">
        <v>3987</v>
      </c>
      <c r="E1570" s="1">
        <v>44992</v>
      </c>
      <c r="F1570" t="s">
        <v>3999</v>
      </c>
      <c r="G1570" t="s">
        <v>4015</v>
      </c>
      <c r="H1570" t="s">
        <v>4018</v>
      </c>
      <c r="I1570" t="s">
        <v>4023</v>
      </c>
      <c r="J1570" t="s">
        <v>4027</v>
      </c>
      <c r="K1570" s="2">
        <v>45107</v>
      </c>
      <c r="L1570" s="2">
        <v>45111</v>
      </c>
      <c r="N1570">
        <v>96</v>
      </c>
      <c r="O1570">
        <f>IF(Tickets[[#This Row],[Ticket Priority]]="Critical",24,
IF(Tickets[[#This Row],[Ticket Priority]]="High",48,
IF(Tickets[[#This Row],[Ticket Priority]]="Medium",120,168)))</f>
        <v>120</v>
      </c>
      <c r="P1570" t="str">
        <f>IF(Tickets[[#This Row],[Resolution Duration Hours]] &lt;= Tickets[[#This Row],[SLA_Target_Hours]], "Yes", "No")</f>
        <v>Yes</v>
      </c>
    </row>
    <row r="1571" spans="1:16" hidden="1">
      <c r="A1571">
        <v>1570</v>
      </c>
      <c r="B1571" t="s">
        <v>1566</v>
      </c>
      <c r="C1571" t="s">
        <v>3549</v>
      </c>
      <c r="D1571" t="s">
        <v>3984</v>
      </c>
      <c r="E1571" s="1">
        <v>44651</v>
      </c>
      <c r="F1571" t="s">
        <v>4001</v>
      </c>
      <c r="G1571" t="s">
        <v>4016</v>
      </c>
      <c r="H1571" t="s">
        <v>4017</v>
      </c>
      <c r="I1571" t="s">
        <v>4022</v>
      </c>
      <c r="J1571" t="s">
        <v>4028</v>
      </c>
      <c r="K1571" s="2">
        <v>44963</v>
      </c>
      <c r="L1571" s="2">
        <v>44964</v>
      </c>
      <c r="N1571">
        <v>24</v>
      </c>
      <c r="O1571">
        <f>IF(Tickets[[#This Row],[Ticket Priority]]="Critical",24,
IF(Tickets[[#This Row],[Ticket Priority]]="High",48,
IF(Tickets[[#This Row],[Ticket Priority]]="Medium",120,168)))</f>
        <v>24</v>
      </c>
      <c r="P1571" t="str">
        <f>IF(Tickets[[#This Row],[Resolution Duration Hours]] &lt;= Tickets[[#This Row],[SLA_Target_Hours]], "Yes", "No")</f>
        <v>Yes</v>
      </c>
    </row>
    <row r="1572" spans="1:16" hidden="1">
      <c r="A1572">
        <v>1571</v>
      </c>
      <c r="B1572" t="s">
        <v>1567</v>
      </c>
      <c r="C1572" t="s">
        <v>3550</v>
      </c>
      <c r="D1572" t="s">
        <v>3986</v>
      </c>
      <c r="E1572" s="1">
        <v>45058</v>
      </c>
      <c r="F1572" t="s">
        <v>3998</v>
      </c>
      <c r="G1572" t="s">
        <v>4007</v>
      </c>
      <c r="H1572" t="s">
        <v>4018</v>
      </c>
      <c r="I1572" t="s">
        <v>4021</v>
      </c>
      <c r="J1572" t="s">
        <v>4028</v>
      </c>
      <c r="K1572" s="2">
        <v>45180</v>
      </c>
      <c r="L1572" s="2">
        <v>45182</v>
      </c>
      <c r="N1572">
        <v>48</v>
      </c>
      <c r="O1572">
        <f>IF(Tickets[[#This Row],[Ticket Priority]]="Critical",24,
IF(Tickets[[#This Row],[Ticket Priority]]="High",48,
IF(Tickets[[#This Row],[Ticket Priority]]="Medium",120,168)))</f>
        <v>48</v>
      </c>
      <c r="P1572" t="str">
        <f>IF(Tickets[[#This Row],[Resolution Duration Hours]] &lt;= Tickets[[#This Row],[SLA_Target_Hours]], "Yes", "No")</f>
        <v>Yes</v>
      </c>
    </row>
    <row r="1573" spans="1:16" hidden="1">
      <c r="A1573">
        <v>1572</v>
      </c>
      <c r="B1573" t="s">
        <v>1568</v>
      </c>
      <c r="C1573" t="s">
        <v>3551</v>
      </c>
      <c r="D1573" t="s">
        <v>3979</v>
      </c>
      <c r="E1573" s="1">
        <v>45043</v>
      </c>
      <c r="F1573" t="s">
        <v>4000</v>
      </c>
      <c r="G1573" t="s">
        <v>4004</v>
      </c>
      <c r="H1573" t="s">
        <v>4017</v>
      </c>
      <c r="I1573" t="s">
        <v>4024</v>
      </c>
      <c r="J1573" t="s">
        <v>4025</v>
      </c>
      <c r="K1573" s="2">
        <v>45245</v>
      </c>
      <c r="L1573" s="2">
        <v>45252</v>
      </c>
      <c r="N1573">
        <v>168</v>
      </c>
      <c r="O1573">
        <f>IF(Tickets[[#This Row],[Ticket Priority]]="Critical",24,
IF(Tickets[[#This Row],[Ticket Priority]]="High",48,
IF(Tickets[[#This Row],[Ticket Priority]]="Medium",120,168)))</f>
        <v>168</v>
      </c>
      <c r="P1573" t="str">
        <f>IF(Tickets[[#This Row],[Resolution Duration Hours]] &lt;= Tickets[[#This Row],[SLA_Target_Hours]], "Yes", "No")</f>
        <v>Yes</v>
      </c>
    </row>
    <row r="1574" spans="1:16" hidden="1">
      <c r="A1574">
        <v>1573</v>
      </c>
      <c r="B1574" t="s">
        <v>1569</v>
      </c>
      <c r="C1574" t="s">
        <v>3552</v>
      </c>
      <c r="D1574" t="s">
        <v>3984</v>
      </c>
      <c r="E1574" s="1">
        <v>44127</v>
      </c>
      <c r="F1574" t="s">
        <v>4002</v>
      </c>
      <c r="G1574" t="s">
        <v>4014</v>
      </c>
      <c r="H1574" t="s">
        <v>4018</v>
      </c>
      <c r="I1574" t="s">
        <v>4023</v>
      </c>
      <c r="J1574" t="s">
        <v>4026</v>
      </c>
      <c r="K1574" s="2">
        <v>44190</v>
      </c>
      <c r="L1574" s="2">
        <v>44195</v>
      </c>
      <c r="M1574">
        <v>4</v>
      </c>
      <c r="N1574">
        <v>120</v>
      </c>
      <c r="O1574">
        <f>IF(Tickets[[#This Row],[Ticket Priority]]="Critical",24,
IF(Tickets[[#This Row],[Ticket Priority]]="High",48,
IF(Tickets[[#This Row],[Ticket Priority]]="Medium",120,168)))</f>
        <v>120</v>
      </c>
      <c r="P1574" t="str">
        <f>IF(Tickets[[#This Row],[Resolution Duration Hours]] &lt;= Tickets[[#This Row],[SLA_Target_Hours]], "Yes", "No")</f>
        <v>Yes</v>
      </c>
    </row>
    <row r="1575" spans="1:16" hidden="1">
      <c r="A1575">
        <v>1574</v>
      </c>
      <c r="B1575" t="s">
        <v>1570</v>
      </c>
      <c r="C1575" t="s">
        <v>3553</v>
      </c>
      <c r="D1575" t="s">
        <v>3983</v>
      </c>
      <c r="E1575" s="1">
        <v>44113</v>
      </c>
      <c r="F1575" t="s">
        <v>3998</v>
      </c>
      <c r="G1575" t="s">
        <v>4008</v>
      </c>
      <c r="H1575" t="s">
        <v>4017</v>
      </c>
      <c r="I1575" t="s">
        <v>4023</v>
      </c>
      <c r="J1575" t="s">
        <v>4026</v>
      </c>
      <c r="K1575" s="2">
        <v>44228</v>
      </c>
      <c r="L1575" s="2">
        <v>44230</v>
      </c>
      <c r="N1575">
        <v>48</v>
      </c>
      <c r="O1575">
        <f>IF(Tickets[[#This Row],[Ticket Priority]]="Critical",24,
IF(Tickets[[#This Row],[Ticket Priority]]="High",48,
IF(Tickets[[#This Row],[Ticket Priority]]="Medium",120,168)))</f>
        <v>120</v>
      </c>
      <c r="P1575" t="str">
        <f>IF(Tickets[[#This Row],[Resolution Duration Hours]] &lt;= Tickets[[#This Row],[SLA_Target_Hours]], "Yes", "No")</f>
        <v>Yes</v>
      </c>
    </row>
    <row r="1576" spans="1:16" hidden="1">
      <c r="A1576">
        <v>1575</v>
      </c>
      <c r="B1576" t="s">
        <v>1571</v>
      </c>
      <c r="C1576" t="s">
        <v>3554</v>
      </c>
      <c r="D1576" t="s">
        <v>3997</v>
      </c>
      <c r="E1576" s="1">
        <v>44287</v>
      </c>
      <c r="F1576" t="s">
        <v>3998</v>
      </c>
      <c r="G1576" t="s">
        <v>4015</v>
      </c>
      <c r="H1576" t="s">
        <v>4018</v>
      </c>
      <c r="I1576" t="s">
        <v>4023</v>
      </c>
      <c r="J1576" t="s">
        <v>4026</v>
      </c>
      <c r="K1576" s="2">
        <v>44541</v>
      </c>
      <c r="L1576" s="2">
        <v>44546</v>
      </c>
      <c r="N1576">
        <v>120</v>
      </c>
      <c r="O1576">
        <f>IF(Tickets[[#This Row],[Ticket Priority]]="Critical",24,
IF(Tickets[[#This Row],[Ticket Priority]]="High",48,
IF(Tickets[[#This Row],[Ticket Priority]]="Medium",120,168)))</f>
        <v>120</v>
      </c>
      <c r="P1576" t="str">
        <f>IF(Tickets[[#This Row],[Resolution Duration Hours]] &lt;= Tickets[[#This Row],[SLA_Target_Hours]], "Yes", "No")</f>
        <v>Yes</v>
      </c>
    </row>
    <row r="1577" spans="1:16" hidden="1">
      <c r="A1577">
        <v>1576</v>
      </c>
      <c r="B1577" t="s">
        <v>1572</v>
      </c>
      <c r="C1577" t="s">
        <v>3555</v>
      </c>
      <c r="D1577" t="s">
        <v>3987</v>
      </c>
      <c r="E1577" s="1">
        <v>44738</v>
      </c>
      <c r="F1577" t="s">
        <v>4000</v>
      </c>
      <c r="G1577" t="s">
        <v>4003</v>
      </c>
      <c r="H1577" t="s">
        <v>4018</v>
      </c>
      <c r="I1577" t="s">
        <v>4021</v>
      </c>
      <c r="J1577" t="s">
        <v>4026</v>
      </c>
      <c r="K1577" s="2">
        <v>44743</v>
      </c>
      <c r="L1577" s="2">
        <v>44745</v>
      </c>
      <c r="M1577">
        <v>3</v>
      </c>
      <c r="N1577">
        <v>48</v>
      </c>
      <c r="O1577">
        <f>IF(Tickets[[#This Row],[Ticket Priority]]="Critical",24,
IF(Tickets[[#This Row],[Ticket Priority]]="High",48,
IF(Tickets[[#This Row],[Ticket Priority]]="Medium",120,168)))</f>
        <v>48</v>
      </c>
      <c r="P1577" t="str">
        <f>IF(Tickets[[#This Row],[Resolution Duration Hours]] &lt;= Tickets[[#This Row],[SLA_Target_Hours]], "Yes", "No")</f>
        <v>Yes</v>
      </c>
    </row>
    <row r="1578" spans="1:16" hidden="1">
      <c r="A1578">
        <v>1577</v>
      </c>
      <c r="B1578" t="s">
        <v>1573</v>
      </c>
      <c r="C1578" t="s">
        <v>3556</v>
      </c>
      <c r="D1578" t="s">
        <v>3997</v>
      </c>
      <c r="E1578" s="1">
        <v>44941</v>
      </c>
      <c r="F1578" t="s">
        <v>3998</v>
      </c>
      <c r="G1578" t="s">
        <v>4003</v>
      </c>
      <c r="H1578" t="s">
        <v>4018</v>
      </c>
      <c r="I1578" t="s">
        <v>4023</v>
      </c>
      <c r="J1578" t="s">
        <v>4026</v>
      </c>
      <c r="K1578" s="2">
        <v>44947</v>
      </c>
      <c r="L1578" s="2">
        <v>44951</v>
      </c>
      <c r="N1578">
        <v>96</v>
      </c>
      <c r="O1578">
        <f>IF(Tickets[[#This Row],[Ticket Priority]]="Critical",24,
IF(Tickets[[#This Row],[Ticket Priority]]="High",48,
IF(Tickets[[#This Row],[Ticket Priority]]="Medium",120,168)))</f>
        <v>120</v>
      </c>
      <c r="P1578" t="str">
        <f>IF(Tickets[[#This Row],[Resolution Duration Hours]] &lt;= Tickets[[#This Row],[SLA_Target_Hours]], "Yes", "No")</f>
        <v>Yes</v>
      </c>
    </row>
    <row r="1579" spans="1:16">
      <c r="A1579">
        <v>871</v>
      </c>
      <c r="B1579" t="s">
        <v>879</v>
      </c>
      <c r="C1579" t="s">
        <v>2853</v>
      </c>
      <c r="D1579" t="s">
        <v>3996</v>
      </c>
      <c r="E1579" s="1">
        <v>44827</v>
      </c>
      <c r="F1579" t="s">
        <v>4002</v>
      </c>
      <c r="G1579" t="s">
        <v>4007</v>
      </c>
      <c r="H1579" t="s">
        <v>4020</v>
      </c>
      <c r="I1579" t="s">
        <v>4023</v>
      </c>
      <c r="J1579" t="s">
        <v>4026</v>
      </c>
      <c r="K1579" s="2">
        <v>44863</v>
      </c>
      <c r="L1579" s="2">
        <v>44869</v>
      </c>
      <c r="N1579">
        <v>144</v>
      </c>
      <c r="O1579">
        <f>IF(Tickets[[#This Row],[Ticket Priority]]="Critical",24,
IF(Tickets[[#This Row],[Ticket Priority]]="High",48,
IF(Tickets[[#This Row],[Ticket Priority]]="Medium",120,168)))</f>
        <v>120</v>
      </c>
      <c r="P1579" t="str">
        <f>IF(Tickets[[#This Row],[Resolution Duration Hours]] &lt;= Tickets[[#This Row],[SLA_Target_Hours]], "Yes", "No")</f>
        <v>No</v>
      </c>
    </row>
    <row r="1580" spans="1:16" hidden="1">
      <c r="A1580">
        <v>1579</v>
      </c>
      <c r="B1580" t="s">
        <v>1575</v>
      </c>
      <c r="C1580" t="s">
        <v>3558</v>
      </c>
      <c r="D1580" t="s">
        <v>3979</v>
      </c>
      <c r="E1580" s="1">
        <v>44853</v>
      </c>
      <c r="F1580" t="s">
        <v>3999</v>
      </c>
      <c r="G1580" t="s">
        <v>4016</v>
      </c>
      <c r="H1580" t="s">
        <v>4018</v>
      </c>
      <c r="I1580" t="s">
        <v>4023</v>
      </c>
      <c r="J1580" t="s">
        <v>4028</v>
      </c>
      <c r="K1580" s="2">
        <v>45122</v>
      </c>
      <c r="L1580" s="2">
        <v>45127</v>
      </c>
      <c r="M1580">
        <v>5</v>
      </c>
      <c r="N1580">
        <v>120</v>
      </c>
      <c r="O1580">
        <f>IF(Tickets[[#This Row],[Ticket Priority]]="Critical",24,
IF(Tickets[[#This Row],[Ticket Priority]]="High",48,
IF(Tickets[[#This Row],[Ticket Priority]]="Medium",120,168)))</f>
        <v>120</v>
      </c>
      <c r="P1580" t="str">
        <f>IF(Tickets[[#This Row],[Resolution Duration Hours]] &lt;= Tickets[[#This Row],[SLA_Target_Hours]], "Yes", "No")</f>
        <v>Yes</v>
      </c>
    </row>
    <row r="1581" spans="1:16" hidden="1">
      <c r="A1581">
        <v>1580</v>
      </c>
      <c r="B1581" t="s">
        <v>1576</v>
      </c>
      <c r="C1581" t="s">
        <v>3559</v>
      </c>
      <c r="D1581" t="s">
        <v>3985</v>
      </c>
      <c r="E1581" s="1">
        <v>44044</v>
      </c>
      <c r="F1581" t="s">
        <v>4002</v>
      </c>
      <c r="G1581" t="s">
        <v>4011</v>
      </c>
      <c r="H1581" t="s">
        <v>4018</v>
      </c>
      <c r="I1581" t="s">
        <v>4024</v>
      </c>
      <c r="J1581" t="s">
        <v>4026</v>
      </c>
      <c r="K1581" s="2">
        <v>44252</v>
      </c>
      <c r="L1581" s="2">
        <v>44256</v>
      </c>
      <c r="M1581">
        <v>3</v>
      </c>
      <c r="N1581">
        <v>96</v>
      </c>
      <c r="O1581">
        <f>IF(Tickets[[#This Row],[Ticket Priority]]="Critical",24,
IF(Tickets[[#This Row],[Ticket Priority]]="High",48,
IF(Tickets[[#This Row],[Ticket Priority]]="Medium",120,168)))</f>
        <v>168</v>
      </c>
      <c r="P1581" t="str">
        <f>IF(Tickets[[#This Row],[Resolution Duration Hours]] &lt;= Tickets[[#This Row],[SLA_Target_Hours]], "Yes", "No")</f>
        <v>Yes</v>
      </c>
    </row>
    <row r="1582" spans="1:16" hidden="1">
      <c r="A1582">
        <v>1581</v>
      </c>
      <c r="B1582" t="s">
        <v>1577</v>
      </c>
      <c r="C1582" t="s">
        <v>3560</v>
      </c>
      <c r="D1582" t="s">
        <v>3983</v>
      </c>
      <c r="E1582" s="1">
        <v>44155</v>
      </c>
      <c r="F1582" t="s">
        <v>3998</v>
      </c>
      <c r="G1582" t="s">
        <v>4000</v>
      </c>
      <c r="H1582" t="s">
        <v>4018</v>
      </c>
      <c r="I1582" t="s">
        <v>4023</v>
      </c>
      <c r="J1582" t="s">
        <v>4026</v>
      </c>
      <c r="K1582" s="2">
        <v>44369</v>
      </c>
      <c r="L1582" s="2">
        <v>44373</v>
      </c>
      <c r="N1582">
        <v>96</v>
      </c>
      <c r="O1582">
        <f>IF(Tickets[[#This Row],[Ticket Priority]]="Critical",24,
IF(Tickets[[#This Row],[Ticket Priority]]="High",48,
IF(Tickets[[#This Row],[Ticket Priority]]="Medium",120,168)))</f>
        <v>120</v>
      </c>
      <c r="P1582" t="str">
        <f>IF(Tickets[[#This Row],[Resolution Duration Hours]] &lt;= Tickets[[#This Row],[SLA_Target_Hours]], "Yes", "No")</f>
        <v>Yes</v>
      </c>
    </row>
    <row r="1583" spans="1:16">
      <c r="A1583">
        <v>920</v>
      </c>
      <c r="B1583" t="s">
        <v>928</v>
      </c>
      <c r="C1583" t="s">
        <v>2902</v>
      </c>
      <c r="D1583" t="s">
        <v>3992</v>
      </c>
      <c r="E1583" s="1">
        <v>44954</v>
      </c>
      <c r="F1583" t="s">
        <v>4000</v>
      </c>
      <c r="G1583" t="s">
        <v>4000</v>
      </c>
      <c r="H1583" t="s">
        <v>4018</v>
      </c>
      <c r="I1583" t="s">
        <v>4023</v>
      </c>
      <c r="J1583" t="s">
        <v>4028</v>
      </c>
      <c r="K1583" s="2">
        <v>45304</v>
      </c>
      <c r="L1583" s="2">
        <v>45310</v>
      </c>
      <c r="M1583">
        <v>4</v>
      </c>
      <c r="N1583">
        <v>144</v>
      </c>
      <c r="O1583">
        <f>IF(Tickets[[#This Row],[Ticket Priority]]="Critical",24,
IF(Tickets[[#This Row],[Ticket Priority]]="High",48,
IF(Tickets[[#This Row],[Ticket Priority]]="Medium",120,168)))</f>
        <v>120</v>
      </c>
      <c r="P1583" t="str">
        <f>IF(Tickets[[#This Row],[Resolution Duration Hours]] &lt;= Tickets[[#This Row],[SLA_Target_Hours]], "Yes", "No")</f>
        <v>No</v>
      </c>
    </row>
    <row r="1584" spans="1:16">
      <c r="A1584">
        <v>949</v>
      </c>
      <c r="B1584" t="s">
        <v>956</v>
      </c>
      <c r="C1584" t="s">
        <v>2931</v>
      </c>
      <c r="D1584" t="s">
        <v>3984</v>
      </c>
      <c r="E1584" s="1">
        <v>44405</v>
      </c>
      <c r="F1584" t="s">
        <v>3999</v>
      </c>
      <c r="G1584" t="s">
        <v>4003</v>
      </c>
      <c r="H1584" t="s">
        <v>4018</v>
      </c>
      <c r="I1584" t="s">
        <v>4023</v>
      </c>
      <c r="J1584" t="s">
        <v>4027</v>
      </c>
      <c r="K1584" s="2">
        <v>44688</v>
      </c>
      <c r="L1584" s="2">
        <v>44694</v>
      </c>
      <c r="M1584">
        <v>5</v>
      </c>
      <c r="N1584">
        <v>144</v>
      </c>
      <c r="O1584">
        <f>IF(Tickets[[#This Row],[Ticket Priority]]="Critical",24,
IF(Tickets[[#This Row],[Ticket Priority]]="High",48,
IF(Tickets[[#This Row],[Ticket Priority]]="Medium",120,168)))</f>
        <v>120</v>
      </c>
      <c r="P1584" t="str">
        <f>IF(Tickets[[#This Row],[Resolution Duration Hours]] &lt;= Tickets[[#This Row],[SLA_Target_Hours]], "Yes", "No")</f>
        <v>No</v>
      </c>
    </row>
    <row r="1585" spans="1:16" hidden="1">
      <c r="A1585">
        <v>1584</v>
      </c>
      <c r="B1585" t="s">
        <v>1580</v>
      </c>
      <c r="C1585" t="s">
        <v>3563</v>
      </c>
      <c r="D1585" t="s">
        <v>3996</v>
      </c>
      <c r="E1585" s="1">
        <v>44390</v>
      </c>
      <c r="F1585" t="s">
        <v>4000</v>
      </c>
      <c r="G1585" t="s">
        <v>4003</v>
      </c>
      <c r="H1585" t="s">
        <v>4017</v>
      </c>
      <c r="I1585" t="s">
        <v>4021</v>
      </c>
      <c r="J1585" t="s">
        <v>4026</v>
      </c>
      <c r="K1585" s="2">
        <v>44593</v>
      </c>
      <c r="L1585" s="2">
        <v>44593</v>
      </c>
      <c r="N1585">
        <v>0</v>
      </c>
      <c r="O1585">
        <f>IF(Tickets[[#This Row],[Ticket Priority]]="Critical",24,
IF(Tickets[[#This Row],[Ticket Priority]]="High",48,
IF(Tickets[[#This Row],[Ticket Priority]]="Medium",120,168)))</f>
        <v>48</v>
      </c>
      <c r="P1585" t="str">
        <f>IF(Tickets[[#This Row],[Resolution Duration Hours]] &lt;= Tickets[[#This Row],[SLA_Target_Hours]], "Yes", "No")</f>
        <v>Yes</v>
      </c>
    </row>
    <row r="1586" spans="1:16" hidden="1">
      <c r="A1586">
        <v>1585</v>
      </c>
      <c r="B1586" t="s">
        <v>1581</v>
      </c>
      <c r="C1586" t="s">
        <v>3564</v>
      </c>
      <c r="D1586" t="s">
        <v>3983</v>
      </c>
      <c r="E1586" s="1">
        <v>43986</v>
      </c>
      <c r="F1586" t="s">
        <v>3998</v>
      </c>
      <c r="G1586" t="s">
        <v>4004</v>
      </c>
      <c r="H1586" t="s">
        <v>4018</v>
      </c>
      <c r="I1586" t="s">
        <v>4021</v>
      </c>
      <c r="J1586" t="s">
        <v>4025</v>
      </c>
      <c r="K1586" s="2">
        <v>44094</v>
      </c>
      <c r="L1586" s="2">
        <v>44096</v>
      </c>
      <c r="M1586">
        <v>4</v>
      </c>
      <c r="N1586">
        <v>48</v>
      </c>
      <c r="O1586">
        <f>IF(Tickets[[#This Row],[Ticket Priority]]="Critical",24,
IF(Tickets[[#This Row],[Ticket Priority]]="High",48,
IF(Tickets[[#This Row],[Ticket Priority]]="Medium",120,168)))</f>
        <v>48</v>
      </c>
      <c r="P1586" t="str">
        <f>IF(Tickets[[#This Row],[Resolution Duration Hours]] &lt;= Tickets[[#This Row],[SLA_Target_Hours]], "Yes", "No")</f>
        <v>Yes</v>
      </c>
    </row>
    <row r="1587" spans="1:16">
      <c r="A1587">
        <v>966</v>
      </c>
      <c r="B1587" t="s">
        <v>973</v>
      </c>
      <c r="C1587" t="s">
        <v>2948</v>
      </c>
      <c r="D1587" t="s">
        <v>3996</v>
      </c>
      <c r="E1587" s="1">
        <v>43988</v>
      </c>
      <c r="F1587" t="s">
        <v>4000</v>
      </c>
      <c r="G1587" t="s">
        <v>4003</v>
      </c>
      <c r="H1587" t="s">
        <v>4018</v>
      </c>
      <c r="I1587" t="s">
        <v>4023</v>
      </c>
      <c r="J1587" t="s">
        <v>4025</v>
      </c>
      <c r="K1587" s="2">
        <v>44209</v>
      </c>
      <c r="L1587" s="2">
        <v>44215</v>
      </c>
      <c r="M1587">
        <v>5</v>
      </c>
      <c r="N1587">
        <v>144</v>
      </c>
      <c r="O1587">
        <f>IF(Tickets[[#This Row],[Ticket Priority]]="Critical",24,
IF(Tickets[[#This Row],[Ticket Priority]]="High",48,
IF(Tickets[[#This Row],[Ticket Priority]]="Medium",120,168)))</f>
        <v>120</v>
      </c>
      <c r="P1587" t="str">
        <f>IF(Tickets[[#This Row],[Resolution Duration Hours]] &lt;= Tickets[[#This Row],[SLA_Target_Hours]], "Yes", "No")</f>
        <v>No</v>
      </c>
    </row>
    <row r="1588" spans="1:16" hidden="1">
      <c r="A1588">
        <v>1587</v>
      </c>
      <c r="B1588" t="s">
        <v>1583</v>
      </c>
      <c r="C1588" t="s">
        <v>3566</v>
      </c>
      <c r="D1588" t="s">
        <v>3990</v>
      </c>
      <c r="E1588" s="1">
        <v>44217</v>
      </c>
      <c r="F1588" t="s">
        <v>4000</v>
      </c>
      <c r="G1588" t="s">
        <v>4008</v>
      </c>
      <c r="H1588" t="s">
        <v>4017</v>
      </c>
      <c r="I1588" t="s">
        <v>4022</v>
      </c>
      <c r="J1588" t="s">
        <v>4028</v>
      </c>
      <c r="K1588" s="2">
        <v>44365</v>
      </c>
      <c r="L1588" s="2">
        <v>44366</v>
      </c>
      <c r="N1588">
        <v>24</v>
      </c>
      <c r="O1588">
        <f>IF(Tickets[[#This Row],[Ticket Priority]]="Critical",24,
IF(Tickets[[#This Row],[Ticket Priority]]="High",48,
IF(Tickets[[#This Row],[Ticket Priority]]="Medium",120,168)))</f>
        <v>24</v>
      </c>
      <c r="P1588" t="str">
        <f>IF(Tickets[[#This Row],[Resolution Duration Hours]] &lt;= Tickets[[#This Row],[SLA_Target_Hours]], "Yes", "No")</f>
        <v>Yes</v>
      </c>
    </row>
    <row r="1589" spans="1:16" hidden="1">
      <c r="A1589">
        <v>1588</v>
      </c>
      <c r="B1589" t="s">
        <v>1584</v>
      </c>
      <c r="C1589" t="s">
        <v>3567</v>
      </c>
      <c r="D1589" t="s">
        <v>3989</v>
      </c>
      <c r="E1589" s="1">
        <v>44757</v>
      </c>
      <c r="F1589" t="s">
        <v>4001</v>
      </c>
      <c r="G1589" t="s">
        <v>4005</v>
      </c>
      <c r="H1589" t="s">
        <v>4020</v>
      </c>
      <c r="I1589" t="s">
        <v>4023</v>
      </c>
      <c r="J1589" t="s">
        <v>4026</v>
      </c>
      <c r="K1589" s="2">
        <v>44932</v>
      </c>
      <c r="L1589" s="2">
        <v>44934</v>
      </c>
      <c r="N1589">
        <v>48</v>
      </c>
      <c r="O1589">
        <f>IF(Tickets[[#This Row],[Ticket Priority]]="Critical",24,
IF(Tickets[[#This Row],[Ticket Priority]]="High",48,
IF(Tickets[[#This Row],[Ticket Priority]]="Medium",120,168)))</f>
        <v>120</v>
      </c>
      <c r="P1589" t="str">
        <f>IF(Tickets[[#This Row],[Resolution Duration Hours]] &lt;= Tickets[[#This Row],[SLA_Target_Hours]], "Yes", "No")</f>
        <v>Yes</v>
      </c>
    </row>
    <row r="1590" spans="1:16" hidden="1">
      <c r="A1590">
        <v>1589</v>
      </c>
      <c r="B1590" t="s">
        <v>1585</v>
      </c>
      <c r="C1590" t="s">
        <v>3568</v>
      </c>
      <c r="D1590" t="s">
        <v>3993</v>
      </c>
      <c r="E1590" s="1">
        <v>44102</v>
      </c>
      <c r="F1590" t="s">
        <v>3998</v>
      </c>
      <c r="G1590" t="s">
        <v>4016</v>
      </c>
      <c r="H1590" t="s">
        <v>4018</v>
      </c>
      <c r="I1590" t="s">
        <v>4024</v>
      </c>
      <c r="J1590" t="s">
        <v>4028</v>
      </c>
      <c r="K1590" s="2">
        <v>44432</v>
      </c>
      <c r="L1590" s="2">
        <v>44437</v>
      </c>
      <c r="M1590">
        <v>5</v>
      </c>
      <c r="N1590">
        <v>120</v>
      </c>
      <c r="O1590">
        <f>IF(Tickets[[#This Row],[Ticket Priority]]="Critical",24,
IF(Tickets[[#This Row],[Ticket Priority]]="High",48,
IF(Tickets[[#This Row],[Ticket Priority]]="Medium",120,168)))</f>
        <v>168</v>
      </c>
      <c r="P1590" t="str">
        <f>IF(Tickets[[#This Row],[Resolution Duration Hours]] &lt;= Tickets[[#This Row],[SLA_Target_Hours]], "Yes", "No")</f>
        <v>Yes</v>
      </c>
    </row>
    <row r="1591" spans="1:16" hidden="1">
      <c r="A1591">
        <v>1590</v>
      </c>
      <c r="B1591" t="s">
        <v>1586</v>
      </c>
      <c r="C1591" t="s">
        <v>3569</v>
      </c>
      <c r="D1591" t="s">
        <v>3981</v>
      </c>
      <c r="E1591" s="1">
        <v>43877</v>
      </c>
      <c r="F1591" t="s">
        <v>4000</v>
      </c>
      <c r="G1591" t="s">
        <v>4012</v>
      </c>
      <c r="H1591" t="s">
        <v>4019</v>
      </c>
      <c r="I1591" t="s">
        <v>4022</v>
      </c>
      <c r="J1591" t="s">
        <v>4025</v>
      </c>
      <c r="K1591" s="2">
        <v>44166</v>
      </c>
      <c r="L1591" s="2">
        <v>44166</v>
      </c>
      <c r="M1591">
        <v>4</v>
      </c>
      <c r="N1591">
        <v>0</v>
      </c>
      <c r="O1591">
        <f>IF(Tickets[[#This Row],[Ticket Priority]]="Critical",24,
IF(Tickets[[#This Row],[Ticket Priority]]="High",48,
IF(Tickets[[#This Row],[Ticket Priority]]="Medium",120,168)))</f>
        <v>24</v>
      </c>
      <c r="P1591" t="str">
        <f>IF(Tickets[[#This Row],[Resolution Duration Hours]] &lt;= Tickets[[#This Row],[SLA_Target_Hours]], "Yes", "No")</f>
        <v>Yes</v>
      </c>
    </row>
    <row r="1592" spans="1:16" hidden="1">
      <c r="A1592">
        <v>1591</v>
      </c>
      <c r="B1592" t="s">
        <v>1587</v>
      </c>
      <c r="C1592" t="s">
        <v>3570</v>
      </c>
      <c r="D1592" t="s">
        <v>3982</v>
      </c>
      <c r="E1592" s="1">
        <v>44561</v>
      </c>
      <c r="F1592" t="s">
        <v>4000</v>
      </c>
      <c r="G1592" t="s">
        <v>4016</v>
      </c>
      <c r="H1592" t="s">
        <v>4020</v>
      </c>
      <c r="I1592" t="s">
        <v>4024</v>
      </c>
      <c r="J1592" t="s">
        <v>4028</v>
      </c>
      <c r="K1592" s="2">
        <v>44767</v>
      </c>
      <c r="L1592" s="2">
        <v>44774</v>
      </c>
      <c r="N1592">
        <v>168</v>
      </c>
      <c r="O1592">
        <f>IF(Tickets[[#This Row],[Ticket Priority]]="Critical",24,
IF(Tickets[[#This Row],[Ticket Priority]]="High",48,
IF(Tickets[[#This Row],[Ticket Priority]]="Medium",120,168)))</f>
        <v>168</v>
      </c>
      <c r="P1592" t="str">
        <f>IF(Tickets[[#This Row],[Resolution Duration Hours]] &lt;= Tickets[[#This Row],[SLA_Target_Hours]], "Yes", "No")</f>
        <v>Yes</v>
      </c>
    </row>
    <row r="1593" spans="1:16" hidden="1">
      <c r="A1593">
        <v>1592</v>
      </c>
      <c r="B1593" t="s">
        <v>1588</v>
      </c>
      <c r="C1593" t="s">
        <v>3571</v>
      </c>
      <c r="D1593" t="s">
        <v>3986</v>
      </c>
      <c r="E1593" s="1">
        <v>44646</v>
      </c>
      <c r="F1593" t="s">
        <v>4001</v>
      </c>
      <c r="G1593" t="s">
        <v>4006</v>
      </c>
      <c r="H1593" t="s">
        <v>4020</v>
      </c>
      <c r="I1593" t="s">
        <v>4024</v>
      </c>
      <c r="J1593" t="s">
        <v>4027</v>
      </c>
      <c r="K1593" s="2">
        <v>44928</v>
      </c>
      <c r="L1593" s="2">
        <v>44929</v>
      </c>
      <c r="N1593">
        <v>24</v>
      </c>
      <c r="O1593">
        <f>IF(Tickets[[#This Row],[Ticket Priority]]="Critical",24,
IF(Tickets[[#This Row],[Ticket Priority]]="High",48,
IF(Tickets[[#This Row],[Ticket Priority]]="Medium",120,168)))</f>
        <v>168</v>
      </c>
      <c r="P1593" t="str">
        <f>IF(Tickets[[#This Row],[Resolution Duration Hours]] &lt;= Tickets[[#This Row],[SLA_Target_Hours]], "Yes", "No")</f>
        <v>Yes</v>
      </c>
    </row>
    <row r="1594" spans="1:16" hidden="1">
      <c r="A1594">
        <v>1593</v>
      </c>
      <c r="B1594" t="s">
        <v>1589</v>
      </c>
      <c r="C1594" t="s">
        <v>3572</v>
      </c>
      <c r="D1594" t="s">
        <v>3997</v>
      </c>
      <c r="E1594" s="1">
        <v>44569</v>
      </c>
      <c r="F1594" t="s">
        <v>3998</v>
      </c>
      <c r="G1594" t="s">
        <v>4003</v>
      </c>
      <c r="H1594" t="s">
        <v>4018</v>
      </c>
      <c r="I1594" t="s">
        <v>4024</v>
      </c>
      <c r="J1594" t="s">
        <v>4026</v>
      </c>
      <c r="K1594" s="2">
        <v>44720</v>
      </c>
      <c r="L1594" s="2">
        <v>44726</v>
      </c>
      <c r="M1594">
        <v>3</v>
      </c>
      <c r="N1594">
        <v>144</v>
      </c>
      <c r="O1594">
        <f>IF(Tickets[[#This Row],[Ticket Priority]]="Critical",24,
IF(Tickets[[#This Row],[Ticket Priority]]="High",48,
IF(Tickets[[#This Row],[Ticket Priority]]="Medium",120,168)))</f>
        <v>168</v>
      </c>
      <c r="P1594" t="str">
        <f>IF(Tickets[[#This Row],[Resolution Duration Hours]] &lt;= Tickets[[#This Row],[SLA_Target_Hours]], "Yes", "No")</f>
        <v>Yes</v>
      </c>
    </row>
    <row r="1595" spans="1:16" hidden="1">
      <c r="A1595">
        <v>1594</v>
      </c>
      <c r="B1595" t="s">
        <v>1590</v>
      </c>
      <c r="C1595" t="s">
        <v>3573</v>
      </c>
      <c r="D1595" t="s">
        <v>3997</v>
      </c>
      <c r="E1595" s="1">
        <v>43832</v>
      </c>
      <c r="F1595" t="s">
        <v>4002</v>
      </c>
      <c r="G1595" t="s">
        <v>4012</v>
      </c>
      <c r="H1595" t="s">
        <v>4020</v>
      </c>
      <c r="I1595" t="s">
        <v>4024</v>
      </c>
      <c r="J1595" t="s">
        <v>4026</v>
      </c>
      <c r="K1595" s="2">
        <v>43990</v>
      </c>
      <c r="L1595" s="2">
        <v>43995</v>
      </c>
      <c r="N1595">
        <v>120</v>
      </c>
      <c r="O1595">
        <f>IF(Tickets[[#This Row],[Ticket Priority]]="Critical",24,
IF(Tickets[[#This Row],[Ticket Priority]]="High",48,
IF(Tickets[[#This Row],[Ticket Priority]]="Medium",120,168)))</f>
        <v>168</v>
      </c>
      <c r="P1595" t="str">
        <f>IF(Tickets[[#This Row],[Resolution Duration Hours]] &lt;= Tickets[[#This Row],[SLA_Target_Hours]], "Yes", "No")</f>
        <v>Yes</v>
      </c>
    </row>
    <row r="1596" spans="1:16">
      <c r="A1596">
        <v>980</v>
      </c>
      <c r="B1596" t="s">
        <v>987</v>
      </c>
      <c r="C1596" t="s">
        <v>2962</v>
      </c>
      <c r="D1596" t="s">
        <v>3994</v>
      </c>
      <c r="E1596" s="1">
        <v>44875</v>
      </c>
      <c r="F1596" t="s">
        <v>4000</v>
      </c>
      <c r="G1596" t="s">
        <v>4003</v>
      </c>
      <c r="H1596" t="s">
        <v>4018</v>
      </c>
      <c r="I1596" t="s">
        <v>4023</v>
      </c>
      <c r="J1596" t="s">
        <v>4026</v>
      </c>
      <c r="K1596" s="2">
        <v>45216</v>
      </c>
      <c r="L1596" s="2">
        <v>45222</v>
      </c>
      <c r="M1596">
        <v>5</v>
      </c>
      <c r="N1596">
        <v>144</v>
      </c>
      <c r="O1596">
        <f>IF(Tickets[[#This Row],[Ticket Priority]]="Critical",24,
IF(Tickets[[#This Row],[Ticket Priority]]="High",48,
IF(Tickets[[#This Row],[Ticket Priority]]="Medium",120,168)))</f>
        <v>120</v>
      </c>
      <c r="P1596" t="str">
        <f>IF(Tickets[[#This Row],[Resolution Duration Hours]] &lt;= Tickets[[#This Row],[SLA_Target_Hours]], "Yes", "No")</f>
        <v>No</v>
      </c>
    </row>
    <row r="1597" spans="1:16">
      <c r="A1597">
        <v>1018</v>
      </c>
      <c r="B1597" t="s">
        <v>1025</v>
      </c>
      <c r="C1597" t="s">
        <v>3000</v>
      </c>
      <c r="D1597" t="s">
        <v>3982</v>
      </c>
      <c r="E1597" s="1">
        <v>44680</v>
      </c>
      <c r="F1597" t="s">
        <v>4002</v>
      </c>
      <c r="G1597" t="s">
        <v>4003</v>
      </c>
      <c r="H1597" t="s">
        <v>4017</v>
      </c>
      <c r="I1597" t="s">
        <v>4023</v>
      </c>
      <c r="J1597" t="s">
        <v>4026</v>
      </c>
      <c r="K1597" s="2">
        <v>44984</v>
      </c>
      <c r="L1597" s="2">
        <v>44990</v>
      </c>
      <c r="N1597">
        <v>144</v>
      </c>
      <c r="O1597">
        <f>IF(Tickets[[#This Row],[Ticket Priority]]="Critical",24,
IF(Tickets[[#This Row],[Ticket Priority]]="High",48,
IF(Tickets[[#This Row],[Ticket Priority]]="Medium",120,168)))</f>
        <v>120</v>
      </c>
      <c r="P1597" t="str">
        <f>IF(Tickets[[#This Row],[Resolution Duration Hours]] &lt;= Tickets[[#This Row],[SLA_Target_Hours]], "Yes", "No")</f>
        <v>No</v>
      </c>
    </row>
    <row r="1598" spans="1:16" hidden="1">
      <c r="A1598">
        <v>1597</v>
      </c>
      <c r="B1598" t="s">
        <v>1593</v>
      </c>
      <c r="C1598" t="s">
        <v>3576</v>
      </c>
      <c r="D1598" t="s">
        <v>3983</v>
      </c>
      <c r="E1598" s="1">
        <v>44220</v>
      </c>
      <c r="F1598" t="s">
        <v>3998</v>
      </c>
      <c r="G1598" t="s">
        <v>4008</v>
      </c>
      <c r="H1598" t="s">
        <v>4018</v>
      </c>
      <c r="I1598" t="s">
        <v>4024</v>
      </c>
      <c r="J1598" t="s">
        <v>4028</v>
      </c>
      <c r="K1598" s="2">
        <v>44563</v>
      </c>
      <c r="L1598" s="2">
        <v>44569</v>
      </c>
      <c r="M1598">
        <v>5</v>
      </c>
      <c r="N1598">
        <v>144</v>
      </c>
      <c r="O1598">
        <f>IF(Tickets[[#This Row],[Ticket Priority]]="Critical",24,
IF(Tickets[[#This Row],[Ticket Priority]]="High",48,
IF(Tickets[[#This Row],[Ticket Priority]]="Medium",120,168)))</f>
        <v>168</v>
      </c>
      <c r="P1598" t="str">
        <f>IF(Tickets[[#This Row],[Resolution Duration Hours]] &lt;= Tickets[[#This Row],[SLA_Target_Hours]], "Yes", "No")</f>
        <v>Yes</v>
      </c>
    </row>
    <row r="1599" spans="1:16" hidden="1">
      <c r="A1599">
        <v>1598</v>
      </c>
      <c r="B1599" t="s">
        <v>1594</v>
      </c>
      <c r="C1599" t="s">
        <v>3577</v>
      </c>
      <c r="D1599" t="s">
        <v>3986</v>
      </c>
      <c r="E1599" s="1">
        <v>44727</v>
      </c>
      <c r="F1599" t="s">
        <v>3998</v>
      </c>
      <c r="G1599" t="s">
        <v>4009</v>
      </c>
      <c r="H1599" t="s">
        <v>4017</v>
      </c>
      <c r="I1599" t="s">
        <v>4024</v>
      </c>
      <c r="J1599" t="s">
        <v>4026</v>
      </c>
      <c r="K1599" s="2">
        <v>44728</v>
      </c>
      <c r="L1599" s="2">
        <v>44735</v>
      </c>
      <c r="N1599">
        <v>168</v>
      </c>
      <c r="O1599">
        <f>IF(Tickets[[#This Row],[Ticket Priority]]="Critical",24,
IF(Tickets[[#This Row],[Ticket Priority]]="High",48,
IF(Tickets[[#This Row],[Ticket Priority]]="Medium",120,168)))</f>
        <v>168</v>
      </c>
      <c r="P1599" t="str">
        <f>IF(Tickets[[#This Row],[Resolution Duration Hours]] &lt;= Tickets[[#This Row],[SLA_Target_Hours]], "Yes", "No")</f>
        <v>Yes</v>
      </c>
    </row>
    <row r="1600" spans="1:16">
      <c r="A1600">
        <v>1033</v>
      </c>
      <c r="B1600" t="s">
        <v>1040</v>
      </c>
      <c r="C1600" t="s">
        <v>3014</v>
      </c>
      <c r="D1600" t="s">
        <v>3986</v>
      </c>
      <c r="E1600" s="1">
        <v>44144</v>
      </c>
      <c r="F1600" t="s">
        <v>3999</v>
      </c>
      <c r="G1600" t="s">
        <v>4006</v>
      </c>
      <c r="H1600" t="s">
        <v>4017</v>
      </c>
      <c r="I1600" t="s">
        <v>4023</v>
      </c>
      <c r="J1600" t="s">
        <v>4026</v>
      </c>
      <c r="K1600" s="2">
        <v>44447</v>
      </c>
      <c r="L1600" s="2">
        <v>44453</v>
      </c>
      <c r="N1600">
        <v>144</v>
      </c>
      <c r="O1600">
        <f>IF(Tickets[[#This Row],[Ticket Priority]]="Critical",24,
IF(Tickets[[#This Row],[Ticket Priority]]="High",48,
IF(Tickets[[#This Row],[Ticket Priority]]="Medium",120,168)))</f>
        <v>120</v>
      </c>
      <c r="P1600" t="str">
        <f>IF(Tickets[[#This Row],[Resolution Duration Hours]] &lt;= Tickets[[#This Row],[SLA_Target_Hours]], "Yes", "No")</f>
        <v>No</v>
      </c>
    </row>
    <row r="1601" spans="1:16" hidden="1">
      <c r="A1601">
        <v>1600</v>
      </c>
      <c r="B1601" t="s">
        <v>1596</v>
      </c>
      <c r="C1601" t="s">
        <v>3579</v>
      </c>
      <c r="D1601" t="s">
        <v>3990</v>
      </c>
      <c r="E1601" s="1">
        <v>44082</v>
      </c>
      <c r="F1601" t="s">
        <v>4001</v>
      </c>
      <c r="G1601" t="s">
        <v>4004</v>
      </c>
      <c r="H1601" t="s">
        <v>4018</v>
      </c>
      <c r="I1601" t="s">
        <v>4023</v>
      </c>
      <c r="J1601" t="s">
        <v>4025</v>
      </c>
      <c r="K1601" s="2">
        <v>44129</v>
      </c>
      <c r="L1601" s="2">
        <v>44134</v>
      </c>
      <c r="M1601">
        <v>4</v>
      </c>
      <c r="N1601">
        <v>120</v>
      </c>
      <c r="O1601">
        <f>IF(Tickets[[#This Row],[Ticket Priority]]="Critical",24,
IF(Tickets[[#This Row],[Ticket Priority]]="High",48,
IF(Tickets[[#This Row],[Ticket Priority]]="Medium",120,168)))</f>
        <v>120</v>
      </c>
      <c r="P1601" t="str">
        <f>IF(Tickets[[#This Row],[Resolution Duration Hours]] &lt;= Tickets[[#This Row],[SLA_Target_Hours]], "Yes", "No")</f>
        <v>Yes</v>
      </c>
    </row>
    <row r="1602" spans="1:16" hidden="1">
      <c r="A1602">
        <v>1601</v>
      </c>
      <c r="B1602" t="s">
        <v>1597</v>
      </c>
      <c r="C1602" t="s">
        <v>3580</v>
      </c>
      <c r="D1602" t="s">
        <v>3995</v>
      </c>
      <c r="E1602" s="1">
        <v>44164</v>
      </c>
      <c r="F1602" t="s">
        <v>4001</v>
      </c>
      <c r="G1602" t="s">
        <v>4012</v>
      </c>
      <c r="H1602" t="s">
        <v>4018</v>
      </c>
      <c r="I1602" t="s">
        <v>4024</v>
      </c>
      <c r="J1602" t="s">
        <v>4028</v>
      </c>
      <c r="K1602" s="2">
        <v>44214</v>
      </c>
      <c r="L1602" s="2">
        <v>44219</v>
      </c>
      <c r="M1602">
        <v>3</v>
      </c>
      <c r="N1602">
        <v>120</v>
      </c>
      <c r="O1602">
        <f>IF(Tickets[[#This Row],[Ticket Priority]]="Critical",24,
IF(Tickets[[#This Row],[Ticket Priority]]="High",48,
IF(Tickets[[#This Row],[Ticket Priority]]="Medium",120,168)))</f>
        <v>168</v>
      </c>
      <c r="P1602" t="str">
        <f>IF(Tickets[[#This Row],[Resolution Duration Hours]] &lt;= Tickets[[#This Row],[SLA_Target_Hours]], "Yes", "No")</f>
        <v>Yes</v>
      </c>
    </row>
    <row r="1603" spans="1:16" hidden="1">
      <c r="A1603">
        <v>1602</v>
      </c>
      <c r="B1603" t="s">
        <v>1598</v>
      </c>
      <c r="C1603" t="s">
        <v>3581</v>
      </c>
      <c r="D1603" t="s">
        <v>3990</v>
      </c>
      <c r="E1603" s="1">
        <v>44120</v>
      </c>
      <c r="F1603" t="s">
        <v>4001</v>
      </c>
      <c r="G1603" t="s">
        <v>4016</v>
      </c>
      <c r="H1603" t="s">
        <v>4018</v>
      </c>
      <c r="I1603" t="s">
        <v>4021</v>
      </c>
      <c r="J1603" t="s">
        <v>4028</v>
      </c>
      <c r="K1603" s="2">
        <v>44324</v>
      </c>
      <c r="L1603" s="2">
        <v>44325</v>
      </c>
      <c r="M1603">
        <v>5</v>
      </c>
      <c r="N1603">
        <v>24</v>
      </c>
      <c r="O1603">
        <f>IF(Tickets[[#This Row],[Ticket Priority]]="Critical",24,
IF(Tickets[[#This Row],[Ticket Priority]]="High",48,
IF(Tickets[[#This Row],[Ticket Priority]]="Medium",120,168)))</f>
        <v>48</v>
      </c>
      <c r="P1603" t="str">
        <f>IF(Tickets[[#This Row],[Resolution Duration Hours]] &lt;= Tickets[[#This Row],[SLA_Target_Hours]], "Yes", "No")</f>
        <v>Yes</v>
      </c>
    </row>
    <row r="1604" spans="1:16" hidden="1">
      <c r="A1604">
        <v>1603</v>
      </c>
      <c r="B1604" t="s">
        <v>1599</v>
      </c>
      <c r="C1604" t="s">
        <v>3582</v>
      </c>
      <c r="D1604" t="s">
        <v>3982</v>
      </c>
      <c r="E1604" s="1">
        <v>45016</v>
      </c>
      <c r="F1604" t="s">
        <v>4000</v>
      </c>
      <c r="G1604" t="s">
        <v>4003</v>
      </c>
      <c r="H1604" t="s">
        <v>4018</v>
      </c>
      <c r="I1604" t="s">
        <v>4022</v>
      </c>
      <c r="J1604" t="s">
        <v>4027</v>
      </c>
      <c r="K1604" s="2">
        <v>45260</v>
      </c>
      <c r="L1604" s="2">
        <v>45261</v>
      </c>
      <c r="N1604">
        <v>24</v>
      </c>
      <c r="O1604">
        <f>IF(Tickets[[#This Row],[Ticket Priority]]="Critical",24,
IF(Tickets[[#This Row],[Ticket Priority]]="High",48,
IF(Tickets[[#This Row],[Ticket Priority]]="Medium",120,168)))</f>
        <v>24</v>
      </c>
      <c r="P1604" t="str">
        <f>IF(Tickets[[#This Row],[Resolution Duration Hours]] &lt;= Tickets[[#This Row],[SLA_Target_Hours]], "Yes", "No")</f>
        <v>Yes</v>
      </c>
    </row>
    <row r="1605" spans="1:16" hidden="1">
      <c r="A1605">
        <v>1604</v>
      </c>
      <c r="B1605" t="s">
        <v>1600</v>
      </c>
      <c r="C1605" t="s">
        <v>3583</v>
      </c>
      <c r="D1605" t="s">
        <v>3979</v>
      </c>
      <c r="E1605" s="1">
        <v>44541</v>
      </c>
      <c r="F1605" t="s">
        <v>4001</v>
      </c>
      <c r="G1605" t="s">
        <v>4010</v>
      </c>
      <c r="H1605" t="s">
        <v>4018</v>
      </c>
      <c r="I1605" t="s">
        <v>4021</v>
      </c>
      <c r="J1605" t="s">
        <v>4027</v>
      </c>
      <c r="K1605" s="2">
        <v>44739</v>
      </c>
      <c r="L1605" s="2">
        <v>44739</v>
      </c>
      <c r="N1605">
        <v>0</v>
      </c>
      <c r="O1605">
        <f>IF(Tickets[[#This Row],[Ticket Priority]]="Critical",24,
IF(Tickets[[#This Row],[Ticket Priority]]="High",48,
IF(Tickets[[#This Row],[Ticket Priority]]="Medium",120,168)))</f>
        <v>48</v>
      </c>
      <c r="P1605" t="str">
        <f>IF(Tickets[[#This Row],[Resolution Duration Hours]] &lt;= Tickets[[#This Row],[SLA_Target_Hours]], "Yes", "No")</f>
        <v>Yes</v>
      </c>
    </row>
    <row r="1606" spans="1:16" hidden="1">
      <c r="A1606">
        <v>1605</v>
      </c>
      <c r="B1606" t="s">
        <v>1601</v>
      </c>
      <c r="C1606" t="s">
        <v>3584</v>
      </c>
      <c r="D1606" t="s">
        <v>3996</v>
      </c>
      <c r="E1606" s="1">
        <v>44690</v>
      </c>
      <c r="F1606" t="s">
        <v>4001</v>
      </c>
      <c r="G1606" t="s">
        <v>4011</v>
      </c>
      <c r="H1606" t="s">
        <v>4018</v>
      </c>
      <c r="I1606" t="s">
        <v>4023</v>
      </c>
      <c r="J1606" t="s">
        <v>4025</v>
      </c>
      <c r="K1606" s="2">
        <v>44960</v>
      </c>
      <c r="L1606" s="2">
        <v>44961</v>
      </c>
      <c r="M1606">
        <v>4</v>
      </c>
      <c r="N1606">
        <v>24</v>
      </c>
      <c r="O1606">
        <f>IF(Tickets[[#This Row],[Ticket Priority]]="Critical",24,
IF(Tickets[[#This Row],[Ticket Priority]]="High",48,
IF(Tickets[[#This Row],[Ticket Priority]]="Medium",120,168)))</f>
        <v>120</v>
      </c>
      <c r="P1606" t="str">
        <f>IF(Tickets[[#This Row],[Resolution Duration Hours]] &lt;= Tickets[[#This Row],[SLA_Target_Hours]], "Yes", "No")</f>
        <v>Yes</v>
      </c>
    </row>
    <row r="1607" spans="1:16">
      <c r="A1607">
        <v>1038</v>
      </c>
      <c r="B1607" t="s">
        <v>1045</v>
      </c>
      <c r="C1607" t="s">
        <v>3019</v>
      </c>
      <c r="D1607" t="s">
        <v>3995</v>
      </c>
      <c r="E1607" s="1">
        <v>44597</v>
      </c>
      <c r="F1607" t="s">
        <v>4000</v>
      </c>
      <c r="G1607" t="s">
        <v>4011</v>
      </c>
      <c r="H1607" t="s">
        <v>4018</v>
      </c>
      <c r="I1607" t="s">
        <v>4023</v>
      </c>
      <c r="J1607" t="s">
        <v>4028</v>
      </c>
      <c r="K1607" s="2">
        <v>44646</v>
      </c>
      <c r="L1607" s="2">
        <v>44652</v>
      </c>
      <c r="M1607">
        <v>4</v>
      </c>
      <c r="N1607">
        <v>144</v>
      </c>
      <c r="O1607">
        <f>IF(Tickets[[#This Row],[Ticket Priority]]="Critical",24,
IF(Tickets[[#This Row],[Ticket Priority]]="High",48,
IF(Tickets[[#This Row],[Ticket Priority]]="Medium",120,168)))</f>
        <v>120</v>
      </c>
      <c r="P1607" t="str">
        <f>IF(Tickets[[#This Row],[Resolution Duration Hours]] &lt;= Tickets[[#This Row],[SLA_Target_Hours]], "Yes", "No")</f>
        <v>No</v>
      </c>
    </row>
    <row r="1608" spans="1:16" hidden="1">
      <c r="A1608">
        <v>1607</v>
      </c>
      <c r="B1608" t="s">
        <v>1603</v>
      </c>
      <c r="C1608" t="s">
        <v>3586</v>
      </c>
      <c r="D1608" t="s">
        <v>3990</v>
      </c>
      <c r="E1608" s="1">
        <v>44646</v>
      </c>
      <c r="F1608" t="s">
        <v>4002</v>
      </c>
      <c r="G1608" t="s">
        <v>4015</v>
      </c>
      <c r="H1608" t="s">
        <v>4018</v>
      </c>
      <c r="I1608" t="s">
        <v>4023</v>
      </c>
      <c r="J1608" t="s">
        <v>4027</v>
      </c>
      <c r="K1608" s="2">
        <v>44654</v>
      </c>
      <c r="L1608" s="2">
        <v>44657</v>
      </c>
      <c r="M1608">
        <v>4</v>
      </c>
      <c r="N1608">
        <v>72</v>
      </c>
      <c r="O1608">
        <f>IF(Tickets[[#This Row],[Ticket Priority]]="Critical",24,
IF(Tickets[[#This Row],[Ticket Priority]]="High",48,
IF(Tickets[[#This Row],[Ticket Priority]]="Medium",120,168)))</f>
        <v>120</v>
      </c>
      <c r="P1608" t="str">
        <f>IF(Tickets[[#This Row],[Resolution Duration Hours]] &lt;= Tickets[[#This Row],[SLA_Target_Hours]], "Yes", "No")</f>
        <v>Yes</v>
      </c>
    </row>
    <row r="1609" spans="1:16">
      <c r="A1609">
        <v>1059</v>
      </c>
      <c r="B1609" t="s">
        <v>759</v>
      </c>
      <c r="C1609" t="s">
        <v>3040</v>
      </c>
      <c r="D1609" t="s">
        <v>3989</v>
      </c>
      <c r="E1609" s="1">
        <v>44186</v>
      </c>
      <c r="F1609" t="s">
        <v>4001</v>
      </c>
      <c r="G1609" t="s">
        <v>4011</v>
      </c>
      <c r="H1609" t="s">
        <v>4018</v>
      </c>
      <c r="I1609" t="s">
        <v>4023</v>
      </c>
      <c r="J1609" t="s">
        <v>4026</v>
      </c>
      <c r="K1609" s="2">
        <v>44292</v>
      </c>
      <c r="L1609" s="2">
        <v>44298</v>
      </c>
      <c r="M1609">
        <v>4</v>
      </c>
      <c r="N1609">
        <v>144</v>
      </c>
      <c r="O1609">
        <f>IF(Tickets[[#This Row],[Ticket Priority]]="Critical",24,
IF(Tickets[[#This Row],[Ticket Priority]]="High",48,
IF(Tickets[[#This Row],[Ticket Priority]]="Medium",120,168)))</f>
        <v>120</v>
      </c>
      <c r="P1609" t="str">
        <f>IF(Tickets[[#This Row],[Resolution Duration Hours]] &lt;= Tickets[[#This Row],[SLA_Target_Hours]], "Yes", "No")</f>
        <v>No</v>
      </c>
    </row>
    <row r="1610" spans="1:16" hidden="1">
      <c r="A1610">
        <v>1609</v>
      </c>
      <c r="B1610" t="s">
        <v>1605</v>
      </c>
      <c r="C1610" t="s">
        <v>3588</v>
      </c>
      <c r="D1610" t="s">
        <v>3994</v>
      </c>
      <c r="E1610" s="1">
        <v>44145</v>
      </c>
      <c r="F1610" t="s">
        <v>3998</v>
      </c>
      <c r="G1610" t="s">
        <v>4012</v>
      </c>
      <c r="H1610" t="s">
        <v>4017</v>
      </c>
      <c r="I1610" t="s">
        <v>4024</v>
      </c>
      <c r="J1610" t="s">
        <v>4027</v>
      </c>
      <c r="K1610" s="2">
        <v>44227</v>
      </c>
      <c r="L1610" s="2">
        <v>44227</v>
      </c>
      <c r="N1610">
        <v>0</v>
      </c>
      <c r="O1610">
        <f>IF(Tickets[[#This Row],[Ticket Priority]]="Critical",24,
IF(Tickets[[#This Row],[Ticket Priority]]="High",48,
IF(Tickets[[#This Row],[Ticket Priority]]="Medium",120,168)))</f>
        <v>168</v>
      </c>
      <c r="P1610" t="str">
        <f>IF(Tickets[[#This Row],[Resolution Duration Hours]] &lt;= Tickets[[#This Row],[SLA_Target_Hours]], "Yes", "No")</f>
        <v>Yes</v>
      </c>
    </row>
    <row r="1611" spans="1:16" hidden="1">
      <c r="A1611">
        <v>1610</v>
      </c>
      <c r="B1611" t="s">
        <v>1606</v>
      </c>
      <c r="C1611" t="s">
        <v>3589</v>
      </c>
      <c r="D1611" t="s">
        <v>3988</v>
      </c>
      <c r="E1611" s="1">
        <v>44558</v>
      </c>
      <c r="F1611" t="s">
        <v>3999</v>
      </c>
      <c r="G1611" t="s">
        <v>4015</v>
      </c>
      <c r="H1611" t="s">
        <v>4017</v>
      </c>
      <c r="I1611" t="s">
        <v>4023</v>
      </c>
      <c r="J1611" t="s">
        <v>4027</v>
      </c>
      <c r="K1611" s="2">
        <v>44657</v>
      </c>
      <c r="L1611" s="2">
        <v>44660</v>
      </c>
      <c r="N1611">
        <v>72</v>
      </c>
      <c r="O1611">
        <f>IF(Tickets[[#This Row],[Ticket Priority]]="Critical",24,
IF(Tickets[[#This Row],[Ticket Priority]]="High",48,
IF(Tickets[[#This Row],[Ticket Priority]]="Medium",120,168)))</f>
        <v>120</v>
      </c>
      <c r="P1611" t="str">
        <f>IF(Tickets[[#This Row],[Resolution Duration Hours]] &lt;= Tickets[[#This Row],[SLA_Target_Hours]], "Yes", "No")</f>
        <v>Yes</v>
      </c>
    </row>
    <row r="1612" spans="1:16" hidden="1">
      <c r="A1612">
        <v>1611</v>
      </c>
      <c r="B1612" t="s">
        <v>1607</v>
      </c>
      <c r="C1612" t="s">
        <v>3590</v>
      </c>
      <c r="D1612" t="s">
        <v>3982</v>
      </c>
      <c r="E1612" s="1">
        <v>44155</v>
      </c>
      <c r="F1612" t="s">
        <v>4002</v>
      </c>
      <c r="G1612" t="s">
        <v>4013</v>
      </c>
      <c r="H1612" t="s">
        <v>4018</v>
      </c>
      <c r="I1612" t="s">
        <v>4024</v>
      </c>
      <c r="J1612" t="s">
        <v>4026</v>
      </c>
      <c r="K1612" s="2">
        <v>44258</v>
      </c>
      <c r="L1612" s="2">
        <v>44262</v>
      </c>
      <c r="M1612">
        <v>4</v>
      </c>
      <c r="N1612">
        <v>96</v>
      </c>
      <c r="O1612">
        <f>IF(Tickets[[#This Row],[Ticket Priority]]="Critical",24,
IF(Tickets[[#This Row],[Ticket Priority]]="High",48,
IF(Tickets[[#This Row],[Ticket Priority]]="Medium",120,168)))</f>
        <v>168</v>
      </c>
      <c r="P1612" t="str">
        <f>IF(Tickets[[#This Row],[Resolution Duration Hours]] &lt;= Tickets[[#This Row],[SLA_Target_Hours]], "Yes", "No")</f>
        <v>Yes</v>
      </c>
    </row>
    <row r="1613" spans="1:16">
      <c r="A1613">
        <v>1123</v>
      </c>
      <c r="B1613" t="s">
        <v>1128</v>
      </c>
      <c r="C1613" t="s">
        <v>3103</v>
      </c>
      <c r="D1613" t="s">
        <v>3990</v>
      </c>
      <c r="E1613" s="1">
        <v>44660</v>
      </c>
      <c r="F1613" t="s">
        <v>4001</v>
      </c>
      <c r="G1613" t="s">
        <v>4003</v>
      </c>
      <c r="H1613" t="s">
        <v>4020</v>
      </c>
      <c r="I1613" t="s">
        <v>4023</v>
      </c>
      <c r="J1613" t="s">
        <v>4027</v>
      </c>
      <c r="K1613" s="2">
        <v>44723</v>
      </c>
      <c r="L1613" s="2">
        <v>44729</v>
      </c>
      <c r="N1613">
        <v>144</v>
      </c>
      <c r="O1613">
        <f>IF(Tickets[[#This Row],[Ticket Priority]]="Critical",24,
IF(Tickets[[#This Row],[Ticket Priority]]="High",48,
IF(Tickets[[#This Row],[Ticket Priority]]="Medium",120,168)))</f>
        <v>120</v>
      </c>
      <c r="P1613" t="str">
        <f>IF(Tickets[[#This Row],[Resolution Duration Hours]] &lt;= Tickets[[#This Row],[SLA_Target_Hours]], "Yes", "No")</f>
        <v>No</v>
      </c>
    </row>
    <row r="1614" spans="1:16" hidden="1">
      <c r="A1614">
        <v>1613</v>
      </c>
      <c r="B1614" t="s">
        <v>1609</v>
      </c>
      <c r="C1614" t="s">
        <v>3592</v>
      </c>
      <c r="D1614" t="s">
        <v>3981</v>
      </c>
      <c r="E1614" s="1">
        <v>44438</v>
      </c>
      <c r="F1614" t="s">
        <v>4001</v>
      </c>
      <c r="G1614" t="s">
        <v>4015</v>
      </c>
      <c r="H1614" t="s">
        <v>4018</v>
      </c>
      <c r="I1614" t="s">
        <v>4021</v>
      </c>
      <c r="J1614" t="s">
        <v>4026</v>
      </c>
      <c r="K1614" s="2">
        <v>44630</v>
      </c>
      <c r="L1614" s="2">
        <v>44631</v>
      </c>
      <c r="N1614">
        <v>24</v>
      </c>
      <c r="O1614">
        <f>IF(Tickets[[#This Row],[Ticket Priority]]="Critical",24,
IF(Tickets[[#This Row],[Ticket Priority]]="High",48,
IF(Tickets[[#This Row],[Ticket Priority]]="Medium",120,168)))</f>
        <v>48</v>
      </c>
      <c r="P1614" t="str">
        <f>IF(Tickets[[#This Row],[Resolution Duration Hours]] &lt;= Tickets[[#This Row],[SLA_Target_Hours]], "Yes", "No")</f>
        <v>Yes</v>
      </c>
    </row>
    <row r="1615" spans="1:16">
      <c r="A1615">
        <v>1126</v>
      </c>
      <c r="B1615" t="s">
        <v>1131</v>
      </c>
      <c r="C1615" t="s">
        <v>3106</v>
      </c>
      <c r="D1615" t="s">
        <v>3995</v>
      </c>
      <c r="E1615" s="1">
        <v>44424</v>
      </c>
      <c r="F1615" t="s">
        <v>4000</v>
      </c>
      <c r="G1615" t="s">
        <v>4010</v>
      </c>
      <c r="H1615" t="s">
        <v>4018</v>
      </c>
      <c r="I1615" t="s">
        <v>4023</v>
      </c>
      <c r="J1615" t="s">
        <v>4028</v>
      </c>
      <c r="K1615" s="2">
        <v>44471</v>
      </c>
      <c r="L1615" s="2">
        <v>44477</v>
      </c>
      <c r="N1615">
        <v>144</v>
      </c>
      <c r="O1615">
        <f>IF(Tickets[[#This Row],[Ticket Priority]]="Critical",24,
IF(Tickets[[#This Row],[Ticket Priority]]="High",48,
IF(Tickets[[#This Row],[Ticket Priority]]="Medium",120,168)))</f>
        <v>120</v>
      </c>
      <c r="P1615" t="str">
        <f>IF(Tickets[[#This Row],[Resolution Duration Hours]] &lt;= Tickets[[#This Row],[SLA_Target_Hours]], "Yes", "No")</f>
        <v>No</v>
      </c>
    </row>
    <row r="1616" spans="1:16" hidden="1">
      <c r="A1616">
        <v>1615</v>
      </c>
      <c r="B1616" t="s">
        <v>1611</v>
      </c>
      <c r="C1616" t="s">
        <v>3594</v>
      </c>
      <c r="D1616" t="s">
        <v>3986</v>
      </c>
      <c r="E1616" s="1">
        <v>43847</v>
      </c>
      <c r="F1616" t="s">
        <v>4001</v>
      </c>
      <c r="G1616" t="s">
        <v>4006</v>
      </c>
      <c r="H1616" t="s">
        <v>4017</v>
      </c>
      <c r="I1616" t="s">
        <v>4021</v>
      </c>
      <c r="J1616" t="s">
        <v>4028</v>
      </c>
      <c r="K1616" s="2">
        <v>43874</v>
      </c>
      <c r="L1616" s="2">
        <v>43876</v>
      </c>
      <c r="N1616">
        <v>48</v>
      </c>
      <c r="O1616">
        <f>IF(Tickets[[#This Row],[Ticket Priority]]="Critical",24,
IF(Tickets[[#This Row],[Ticket Priority]]="High",48,
IF(Tickets[[#This Row],[Ticket Priority]]="Medium",120,168)))</f>
        <v>48</v>
      </c>
      <c r="P1616" t="str">
        <f>IF(Tickets[[#This Row],[Resolution Duration Hours]] &lt;= Tickets[[#This Row],[SLA_Target_Hours]], "Yes", "No")</f>
        <v>Yes</v>
      </c>
    </row>
    <row r="1617" spans="1:16" hidden="1">
      <c r="A1617">
        <v>1616</v>
      </c>
      <c r="B1617" t="s">
        <v>1612</v>
      </c>
      <c r="C1617" t="s">
        <v>3595</v>
      </c>
      <c r="D1617" t="s">
        <v>3985</v>
      </c>
      <c r="E1617" s="1">
        <v>44024</v>
      </c>
      <c r="F1617" t="s">
        <v>4001</v>
      </c>
      <c r="G1617" t="s">
        <v>4006</v>
      </c>
      <c r="H1617" t="s">
        <v>4018</v>
      </c>
      <c r="I1617" t="s">
        <v>4023</v>
      </c>
      <c r="J1617" t="s">
        <v>4025</v>
      </c>
      <c r="K1617" s="2">
        <v>44261</v>
      </c>
      <c r="L1617" s="2">
        <v>44265</v>
      </c>
      <c r="M1617">
        <v>4</v>
      </c>
      <c r="N1617">
        <v>96</v>
      </c>
      <c r="O1617">
        <f>IF(Tickets[[#This Row],[Ticket Priority]]="Critical",24,
IF(Tickets[[#This Row],[Ticket Priority]]="High",48,
IF(Tickets[[#This Row],[Ticket Priority]]="Medium",120,168)))</f>
        <v>120</v>
      </c>
      <c r="P1617" t="str">
        <f>IF(Tickets[[#This Row],[Resolution Duration Hours]] &lt;= Tickets[[#This Row],[SLA_Target_Hours]], "Yes", "No")</f>
        <v>Yes</v>
      </c>
    </row>
    <row r="1618" spans="1:16">
      <c r="A1618">
        <v>1248</v>
      </c>
      <c r="B1618" t="s">
        <v>1250</v>
      </c>
      <c r="C1618" t="s">
        <v>3228</v>
      </c>
      <c r="D1618" t="s">
        <v>3988</v>
      </c>
      <c r="E1618" s="1">
        <v>44619</v>
      </c>
      <c r="F1618" t="s">
        <v>3999</v>
      </c>
      <c r="G1618" t="s">
        <v>4010</v>
      </c>
      <c r="H1618" t="s">
        <v>4018</v>
      </c>
      <c r="I1618" t="s">
        <v>4023</v>
      </c>
      <c r="J1618" t="s">
        <v>4028</v>
      </c>
      <c r="K1618" s="2">
        <v>44952</v>
      </c>
      <c r="L1618" s="2">
        <v>44958</v>
      </c>
      <c r="M1618">
        <v>3</v>
      </c>
      <c r="N1618">
        <v>144</v>
      </c>
      <c r="O1618">
        <f>IF(Tickets[[#This Row],[Ticket Priority]]="Critical",24,
IF(Tickets[[#This Row],[Ticket Priority]]="High",48,
IF(Tickets[[#This Row],[Ticket Priority]]="Medium",120,168)))</f>
        <v>120</v>
      </c>
      <c r="P1618" t="str">
        <f>IF(Tickets[[#This Row],[Resolution Duration Hours]] &lt;= Tickets[[#This Row],[SLA_Target_Hours]], "Yes", "No")</f>
        <v>No</v>
      </c>
    </row>
    <row r="1619" spans="1:16" hidden="1">
      <c r="A1619">
        <v>1618</v>
      </c>
      <c r="B1619" t="s">
        <v>1614</v>
      </c>
      <c r="C1619" t="s">
        <v>3597</v>
      </c>
      <c r="D1619" t="s">
        <v>3992</v>
      </c>
      <c r="E1619" s="1">
        <v>43991</v>
      </c>
      <c r="F1619" t="s">
        <v>4001</v>
      </c>
      <c r="G1619" t="s">
        <v>4016</v>
      </c>
      <c r="H1619" t="s">
        <v>4020</v>
      </c>
      <c r="I1619" t="s">
        <v>4021</v>
      </c>
      <c r="J1619" t="s">
        <v>4028</v>
      </c>
      <c r="K1619" s="2">
        <v>44342</v>
      </c>
      <c r="L1619" s="2">
        <v>44344</v>
      </c>
      <c r="N1619">
        <v>48</v>
      </c>
      <c r="O1619">
        <f>IF(Tickets[[#This Row],[Ticket Priority]]="Critical",24,
IF(Tickets[[#This Row],[Ticket Priority]]="High",48,
IF(Tickets[[#This Row],[Ticket Priority]]="Medium",120,168)))</f>
        <v>48</v>
      </c>
      <c r="P1619" t="str">
        <f>IF(Tickets[[#This Row],[Resolution Duration Hours]] &lt;= Tickets[[#This Row],[SLA_Target_Hours]], "Yes", "No")</f>
        <v>Yes</v>
      </c>
    </row>
    <row r="1620" spans="1:16" hidden="1">
      <c r="A1620">
        <v>1619</v>
      </c>
      <c r="B1620" t="s">
        <v>1615</v>
      </c>
      <c r="C1620" t="s">
        <v>3598</v>
      </c>
      <c r="D1620" t="s">
        <v>3997</v>
      </c>
      <c r="E1620" s="1">
        <v>43919</v>
      </c>
      <c r="F1620" t="s">
        <v>4001</v>
      </c>
      <c r="G1620" t="s">
        <v>4011</v>
      </c>
      <c r="H1620" t="s">
        <v>4018</v>
      </c>
      <c r="I1620" t="s">
        <v>4024</v>
      </c>
      <c r="J1620" t="s">
        <v>4026</v>
      </c>
      <c r="K1620" s="2">
        <v>44009</v>
      </c>
      <c r="L1620" s="2">
        <v>44013</v>
      </c>
      <c r="M1620">
        <v>4</v>
      </c>
      <c r="N1620">
        <v>96</v>
      </c>
      <c r="O1620">
        <f>IF(Tickets[[#This Row],[Ticket Priority]]="Critical",24,
IF(Tickets[[#This Row],[Ticket Priority]]="High",48,
IF(Tickets[[#This Row],[Ticket Priority]]="Medium",120,168)))</f>
        <v>168</v>
      </c>
      <c r="P1620" t="str">
        <f>IF(Tickets[[#This Row],[Resolution Duration Hours]] &lt;= Tickets[[#This Row],[SLA_Target_Hours]], "Yes", "No")</f>
        <v>Yes</v>
      </c>
    </row>
    <row r="1621" spans="1:16" hidden="1">
      <c r="A1621">
        <v>1620</v>
      </c>
      <c r="B1621" t="s">
        <v>1616</v>
      </c>
      <c r="C1621" t="s">
        <v>3599</v>
      </c>
      <c r="D1621" t="s">
        <v>3980</v>
      </c>
      <c r="E1621" s="1">
        <v>44867</v>
      </c>
      <c r="F1621" t="s">
        <v>4000</v>
      </c>
      <c r="G1621" t="s">
        <v>4016</v>
      </c>
      <c r="H1621" t="s">
        <v>4018</v>
      </c>
      <c r="I1621" t="s">
        <v>4023</v>
      </c>
      <c r="J1621" t="s">
        <v>4025</v>
      </c>
      <c r="K1621" s="2">
        <v>45145</v>
      </c>
      <c r="L1621" s="2">
        <v>45147</v>
      </c>
      <c r="N1621">
        <v>48</v>
      </c>
      <c r="O1621">
        <f>IF(Tickets[[#This Row],[Ticket Priority]]="Critical",24,
IF(Tickets[[#This Row],[Ticket Priority]]="High",48,
IF(Tickets[[#This Row],[Ticket Priority]]="Medium",120,168)))</f>
        <v>120</v>
      </c>
      <c r="P1621" t="str">
        <f>IF(Tickets[[#This Row],[Resolution Duration Hours]] &lt;= Tickets[[#This Row],[SLA_Target_Hours]], "Yes", "No")</f>
        <v>Yes</v>
      </c>
    </row>
    <row r="1622" spans="1:16" hidden="1">
      <c r="A1622">
        <v>1621</v>
      </c>
      <c r="B1622" t="s">
        <v>1617</v>
      </c>
      <c r="C1622" t="s">
        <v>3600</v>
      </c>
      <c r="D1622" t="s">
        <v>3993</v>
      </c>
      <c r="E1622" s="1">
        <v>44599</v>
      </c>
      <c r="F1622" t="s">
        <v>4000</v>
      </c>
      <c r="G1622" t="s">
        <v>4004</v>
      </c>
      <c r="H1622" t="s">
        <v>4017</v>
      </c>
      <c r="I1622" t="s">
        <v>4024</v>
      </c>
      <c r="J1622" t="s">
        <v>4025</v>
      </c>
      <c r="K1622" s="2">
        <v>44806</v>
      </c>
      <c r="L1622" s="2">
        <v>44811</v>
      </c>
      <c r="N1622">
        <v>120</v>
      </c>
      <c r="O1622">
        <f>IF(Tickets[[#This Row],[Ticket Priority]]="Critical",24,
IF(Tickets[[#This Row],[Ticket Priority]]="High",48,
IF(Tickets[[#This Row],[Ticket Priority]]="Medium",120,168)))</f>
        <v>168</v>
      </c>
      <c r="P1622" t="str">
        <f>IF(Tickets[[#This Row],[Resolution Duration Hours]] &lt;= Tickets[[#This Row],[SLA_Target_Hours]], "Yes", "No")</f>
        <v>Yes</v>
      </c>
    </row>
    <row r="1623" spans="1:16" hidden="1">
      <c r="A1623">
        <v>1622</v>
      </c>
      <c r="B1623" t="s">
        <v>1618</v>
      </c>
      <c r="C1623" t="s">
        <v>3601</v>
      </c>
      <c r="D1623" t="s">
        <v>3985</v>
      </c>
      <c r="E1623" s="1">
        <v>44773</v>
      </c>
      <c r="F1623" t="s">
        <v>4000</v>
      </c>
      <c r="G1623" t="s">
        <v>4013</v>
      </c>
      <c r="H1623" t="s">
        <v>4018</v>
      </c>
      <c r="I1623" t="s">
        <v>4021</v>
      </c>
      <c r="J1623" t="s">
        <v>4026</v>
      </c>
      <c r="K1623" s="2">
        <v>44816</v>
      </c>
      <c r="L1623" s="2">
        <v>44817</v>
      </c>
      <c r="N1623">
        <v>24</v>
      </c>
      <c r="O1623">
        <f>IF(Tickets[[#This Row],[Ticket Priority]]="Critical",24,
IF(Tickets[[#This Row],[Ticket Priority]]="High",48,
IF(Tickets[[#This Row],[Ticket Priority]]="Medium",120,168)))</f>
        <v>48</v>
      </c>
      <c r="P1623" t="str">
        <f>IF(Tickets[[#This Row],[Resolution Duration Hours]] &lt;= Tickets[[#This Row],[SLA_Target_Hours]], "Yes", "No")</f>
        <v>Yes</v>
      </c>
    </row>
    <row r="1624" spans="1:16" hidden="1">
      <c r="A1624">
        <v>1623</v>
      </c>
      <c r="B1624" t="s">
        <v>1619</v>
      </c>
      <c r="C1624" t="s">
        <v>3602</v>
      </c>
      <c r="D1624" t="s">
        <v>3981</v>
      </c>
      <c r="E1624" s="1">
        <v>44725</v>
      </c>
      <c r="F1624" t="s">
        <v>3998</v>
      </c>
      <c r="G1624" t="s">
        <v>4014</v>
      </c>
      <c r="H1624" t="s">
        <v>4017</v>
      </c>
      <c r="I1624" t="s">
        <v>4023</v>
      </c>
      <c r="J1624" t="s">
        <v>4026</v>
      </c>
      <c r="K1624" s="2">
        <v>44732</v>
      </c>
      <c r="L1624" s="2">
        <v>44737</v>
      </c>
      <c r="N1624">
        <v>120</v>
      </c>
      <c r="O1624">
        <f>IF(Tickets[[#This Row],[Ticket Priority]]="Critical",24,
IF(Tickets[[#This Row],[Ticket Priority]]="High",48,
IF(Tickets[[#This Row],[Ticket Priority]]="Medium",120,168)))</f>
        <v>120</v>
      </c>
      <c r="P1624" t="str">
        <f>IF(Tickets[[#This Row],[Resolution Duration Hours]] &lt;= Tickets[[#This Row],[SLA_Target_Hours]], "Yes", "No")</f>
        <v>Yes</v>
      </c>
    </row>
    <row r="1625" spans="1:16">
      <c r="A1625">
        <v>1346</v>
      </c>
      <c r="B1625" t="s">
        <v>1347</v>
      </c>
      <c r="C1625" t="s">
        <v>3326</v>
      </c>
      <c r="D1625" t="s">
        <v>3993</v>
      </c>
      <c r="E1625" s="1">
        <v>44415</v>
      </c>
      <c r="F1625" t="s">
        <v>4000</v>
      </c>
      <c r="G1625" t="s">
        <v>4013</v>
      </c>
      <c r="H1625" t="s">
        <v>4017</v>
      </c>
      <c r="I1625" t="s">
        <v>4023</v>
      </c>
      <c r="J1625" t="s">
        <v>4025</v>
      </c>
      <c r="K1625" s="2">
        <v>44773</v>
      </c>
      <c r="L1625" s="2">
        <v>44779</v>
      </c>
      <c r="N1625">
        <v>144</v>
      </c>
      <c r="O1625">
        <f>IF(Tickets[[#This Row],[Ticket Priority]]="Critical",24,
IF(Tickets[[#This Row],[Ticket Priority]]="High",48,
IF(Tickets[[#This Row],[Ticket Priority]]="Medium",120,168)))</f>
        <v>120</v>
      </c>
      <c r="P1625" t="str">
        <f>IF(Tickets[[#This Row],[Resolution Duration Hours]] &lt;= Tickets[[#This Row],[SLA_Target_Hours]], "Yes", "No")</f>
        <v>No</v>
      </c>
    </row>
    <row r="1626" spans="1:16" hidden="1">
      <c r="A1626">
        <v>1625</v>
      </c>
      <c r="B1626" t="s">
        <v>1621</v>
      </c>
      <c r="C1626" t="s">
        <v>3604</v>
      </c>
      <c r="D1626" t="s">
        <v>3994</v>
      </c>
      <c r="E1626" s="1">
        <v>44987</v>
      </c>
      <c r="F1626" t="s">
        <v>3998</v>
      </c>
      <c r="G1626" t="s">
        <v>4016</v>
      </c>
      <c r="H1626" t="s">
        <v>4018</v>
      </c>
      <c r="I1626" t="s">
        <v>4024</v>
      </c>
      <c r="J1626" t="s">
        <v>4026</v>
      </c>
      <c r="K1626" s="2">
        <v>45272</v>
      </c>
      <c r="L1626" s="2">
        <v>45279</v>
      </c>
      <c r="M1626">
        <v>3</v>
      </c>
      <c r="N1626">
        <v>168</v>
      </c>
      <c r="O1626">
        <f>IF(Tickets[[#This Row],[Ticket Priority]]="Critical",24,
IF(Tickets[[#This Row],[Ticket Priority]]="High",48,
IF(Tickets[[#This Row],[Ticket Priority]]="Medium",120,168)))</f>
        <v>168</v>
      </c>
      <c r="P1626" t="str">
        <f>IF(Tickets[[#This Row],[Resolution Duration Hours]] &lt;= Tickets[[#This Row],[SLA_Target_Hours]], "Yes", "No")</f>
        <v>Yes</v>
      </c>
    </row>
    <row r="1627" spans="1:16" hidden="1">
      <c r="A1627">
        <v>1626</v>
      </c>
      <c r="B1627" t="s">
        <v>1622</v>
      </c>
      <c r="C1627" t="s">
        <v>3605</v>
      </c>
      <c r="D1627" t="s">
        <v>3982</v>
      </c>
      <c r="E1627" s="1">
        <v>44285</v>
      </c>
      <c r="F1627" t="s">
        <v>4002</v>
      </c>
      <c r="G1627" t="s">
        <v>4013</v>
      </c>
      <c r="H1627" t="s">
        <v>4017</v>
      </c>
      <c r="I1627" t="s">
        <v>4022</v>
      </c>
      <c r="J1627" t="s">
        <v>4028</v>
      </c>
      <c r="K1627" s="2">
        <v>44349</v>
      </c>
      <c r="L1627" s="2">
        <v>44349</v>
      </c>
      <c r="N1627">
        <v>0</v>
      </c>
      <c r="O1627">
        <f>IF(Tickets[[#This Row],[Ticket Priority]]="Critical",24,
IF(Tickets[[#This Row],[Ticket Priority]]="High",48,
IF(Tickets[[#This Row],[Ticket Priority]]="Medium",120,168)))</f>
        <v>24</v>
      </c>
      <c r="P1627" t="str">
        <f>IF(Tickets[[#This Row],[Resolution Duration Hours]] &lt;= Tickets[[#This Row],[SLA_Target_Hours]], "Yes", "No")</f>
        <v>Yes</v>
      </c>
    </row>
    <row r="1628" spans="1:16" hidden="1">
      <c r="A1628">
        <v>1627</v>
      </c>
      <c r="B1628" t="s">
        <v>1623</v>
      </c>
      <c r="C1628" t="s">
        <v>3606</v>
      </c>
      <c r="D1628" t="s">
        <v>3991</v>
      </c>
      <c r="E1628" s="1">
        <v>44260</v>
      </c>
      <c r="F1628" t="s">
        <v>3998</v>
      </c>
      <c r="G1628" t="s">
        <v>4007</v>
      </c>
      <c r="H1628" t="s">
        <v>4018</v>
      </c>
      <c r="I1628" t="s">
        <v>4023</v>
      </c>
      <c r="J1628" t="s">
        <v>4026</v>
      </c>
      <c r="K1628" s="2">
        <v>44482</v>
      </c>
      <c r="L1628" s="2">
        <v>44485</v>
      </c>
      <c r="M1628">
        <v>4</v>
      </c>
      <c r="N1628">
        <v>72</v>
      </c>
      <c r="O1628">
        <f>IF(Tickets[[#This Row],[Ticket Priority]]="Critical",24,
IF(Tickets[[#This Row],[Ticket Priority]]="High",48,
IF(Tickets[[#This Row],[Ticket Priority]]="Medium",120,168)))</f>
        <v>120</v>
      </c>
      <c r="P1628" t="str">
        <f>IF(Tickets[[#This Row],[Resolution Duration Hours]] &lt;= Tickets[[#This Row],[SLA_Target_Hours]], "Yes", "No")</f>
        <v>Yes</v>
      </c>
    </row>
    <row r="1629" spans="1:16">
      <c r="A1629">
        <v>1368</v>
      </c>
      <c r="B1629" t="s">
        <v>1369</v>
      </c>
      <c r="C1629" t="s">
        <v>3348</v>
      </c>
      <c r="D1629" t="s">
        <v>3992</v>
      </c>
      <c r="E1629" s="1">
        <v>44305</v>
      </c>
      <c r="F1629" t="s">
        <v>3999</v>
      </c>
      <c r="G1629" t="s">
        <v>4013</v>
      </c>
      <c r="H1629" t="s">
        <v>4018</v>
      </c>
      <c r="I1629" t="s">
        <v>4023</v>
      </c>
      <c r="J1629" t="s">
        <v>4027</v>
      </c>
      <c r="K1629" s="2">
        <v>44337</v>
      </c>
      <c r="L1629" s="2">
        <v>44343</v>
      </c>
      <c r="N1629">
        <v>144</v>
      </c>
      <c r="O1629">
        <f>IF(Tickets[[#This Row],[Ticket Priority]]="Critical",24,
IF(Tickets[[#This Row],[Ticket Priority]]="High",48,
IF(Tickets[[#This Row],[Ticket Priority]]="Medium",120,168)))</f>
        <v>120</v>
      </c>
      <c r="P1629" t="str">
        <f>IF(Tickets[[#This Row],[Resolution Duration Hours]] &lt;= Tickets[[#This Row],[SLA_Target_Hours]], "Yes", "No")</f>
        <v>No</v>
      </c>
    </row>
    <row r="1630" spans="1:16" hidden="1">
      <c r="A1630">
        <v>1629</v>
      </c>
      <c r="B1630" t="s">
        <v>1625</v>
      </c>
      <c r="C1630" t="s">
        <v>3608</v>
      </c>
      <c r="D1630" t="s">
        <v>3988</v>
      </c>
      <c r="E1630" s="1">
        <v>44349</v>
      </c>
      <c r="F1630" t="s">
        <v>4002</v>
      </c>
      <c r="G1630" t="s">
        <v>4010</v>
      </c>
      <c r="H1630" t="s">
        <v>4018</v>
      </c>
      <c r="I1630" t="s">
        <v>4021</v>
      </c>
      <c r="J1630" t="s">
        <v>4028</v>
      </c>
      <c r="K1630" s="2">
        <v>44531</v>
      </c>
      <c r="L1630" s="2">
        <v>44531</v>
      </c>
      <c r="N1630">
        <v>0</v>
      </c>
      <c r="O1630">
        <f>IF(Tickets[[#This Row],[Ticket Priority]]="Critical",24,
IF(Tickets[[#This Row],[Ticket Priority]]="High",48,
IF(Tickets[[#This Row],[Ticket Priority]]="Medium",120,168)))</f>
        <v>48</v>
      </c>
      <c r="P1630" t="str">
        <f>IF(Tickets[[#This Row],[Resolution Duration Hours]] &lt;= Tickets[[#This Row],[SLA_Target_Hours]], "Yes", "No")</f>
        <v>Yes</v>
      </c>
    </row>
    <row r="1631" spans="1:16" hidden="1">
      <c r="A1631">
        <v>1630</v>
      </c>
      <c r="B1631" t="s">
        <v>1626</v>
      </c>
      <c r="C1631" t="s">
        <v>3609</v>
      </c>
      <c r="D1631" t="s">
        <v>3984</v>
      </c>
      <c r="E1631" s="1">
        <v>43971</v>
      </c>
      <c r="F1631" t="s">
        <v>3998</v>
      </c>
      <c r="G1631" t="s">
        <v>4004</v>
      </c>
      <c r="H1631" t="s">
        <v>4018</v>
      </c>
      <c r="I1631" t="s">
        <v>4021</v>
      </c>
      <c r="J1631" t="s">
        <v>4028</v>
      </c>
      <c r="K1631" s="2">
        <v>44111</v>
      </c>
      <c r="L1631" s="2">
        <v>44112</v>
      </c>
      <c r="M1631">
        <v>5</v>
      </c>
      <c r="N1631">
        <v>24</v>
      </c>
      <c r="O1631">
        <f>IF(Tickets[[#This Row],[Ticket Priority]]="Critical",24,
IF(Tickets[[#This Row],[Ticket Priority]]="High",48,
IF(Tickets[[#This Row],[Ticket Priority]]="Medium",120,168)))</f>
        <v>48</v>
      </c>
      <c r="P1631" t="str">
        <f>IF(Tickets[[#This Row],[Resolution Duration Hours]] &lt;= Tickets[[#This Row],[SLA_Target_Hours]], "Yes", "No")</f>
        <v>Yes</v>
      </c>
    </row>
    <row r="1632" spans="1:16">
      <c r="A1632">
        <v>1385</v>
      </c>
      <c r="B1632" t="s">
        <v>1386</v>
      </c>
      <c r="C1632" t="s">
        <v>3365</v>
      </c>
      <c r="D1632" t="s">
        <v>3993</v>
      </c>
      <c r="E1632" s="1">
        <v>44851</v>
      </c>
      <c r="F1632" t="s">
        <v>4000</v>
      </c>
      <c r="G1632" t="s">
        <v>4005</v>
      </c>
      <c r="H1632" t="s">
        <v>4018</v>
      </c>
      <c r="I1632" t="s">
        <v>4023</v>
      </c>
      <c r="J1632" t="s">
        <v>4025</v>
      </c>
      <c r="K1632" s="2">
        <v>45149</v>
      </c>
      <c r="L1632" s="2">
        <v>45155</v>
      </c>
      <c r="M1632">
        <v>3</v>
      </c>
      <c r="N1632">
        <v>144</v>
      </c>
      <c r="O1632">
        <f>IF(Tickets[[#This Row],[Ticket Priority]]="Critical",24,
IF(Tickets[[#This Row],[Ticket Priority]]="High",48,
IF(Tickets[[#This Row],[Ticket Priority]]="Medium",120,168)))</f>
        <v>120</v>
      </c>
      <c r="P1632" t="str">
        <f>IF(Tickets[[#This Row],[Resolution Duration Hours]] &lt;= Tickets[[#This Row],[SLA_Target_Hours]], "Yes", "No")</f>
        <v>No</v>
      </c>
    </row>
    <row r="1633" spans="1:16" hidden="1">
      <c r="A1633">
        <v>1632</v>
      </c>
      <c r="B1633" t="s">
        <v>1628</v>
      </c>
      <c r="C1633" t="s">
        <v>3611</v>
      </c>
      <c r="D1633" t="s">
        <v>3997</v>
      </c>
      <c r="E1633" s="1">
        <v>44125</v>
      </c>
      <c r="F1633" t="s">
        <v>4000</v>
      </c>
      <c r="G1633" t="s">
        <v>4013</v>
      </c>
      <c r="H1633" t="s">
        <v>4018</v>
      </c>
      <c r="I1633" t="s">
        <v>4024</v>
      </c>
      <c r="J1633" t="s">
        <v>4028</v>
      </c>
      <c r="K1633" s="2">
        <v>44420</v>
      </c>
      <c r="L1633" s="2">
        <v>44422</v>
      </c>
      <c r="M1633">
        <v>2</v>
      </c>
      <c r="N1633">
        <v>48</v>
      </c>
      <c r="O1633">
        <f>IF(Tickets[[#This Row],[Ticket Priority]]="Critical",24,
IF(Tickets[[#This Row],[Ticket Priority]]="High",48,
IF(Tickets[[#This Row],[Ticket Priority]]="Medium",120,168)))</f>
        <v>168</v>
      </c>
      <c r="P1633" t="str">
        <f>IF(Tickets[[#This Row],[Resolution Duration Hours]] &lt;= Tickets[[#This Row],[SLA_Target_Hours]], "Yes", "No")</f>
        <v>Yes</v>
      </c>
    </row>
    <row r="1634" spans="1:16">
      <c r="A1634">
        <v>1422</v>
      </c>
      <c r="B1634" t="s">
        <v>1422</v>
      </c>
      <c r="C1634" t="s">
        <v>3402</v>
      </c>
      <c r="D1634" t="s">
        <v>3982</v>
      </c>
      <c r="E1634" s="1">
        <v>44031</v>
      </c>
      <c r="F1634" t="s">
        <v>4000</v>
      </c>
      <c r="G1634" t="s">
        <v>4010</v>
      </c>
      <c r="H1634" t="s">
        <v>4017</v>
      </c>
      <c r="I1634" t="s">
        <v>4023</v>
      </c>
      <c r="J1634" t="s">
        <v>4026</v>
      </c>
      <c r="K1634" s="2">
        <v>44329</v>
      </c>
      <c r="L1634" s="2">
        <v>44335</v>
      </c>
      <c r="N1634">
        <v>144</v>
      </c>
      <c r="O1634">
        <f>IF(Tickets[[#This Row],[Ticket Priority]]="Critical",24,
IF(Tickets[[#This Row],[Ticket Priority]]="High",48,
IF(Tickets[[#This Row],[Ticket Priority]]="Medium",120,168)))</f>
        <v>120</v>
      </c>
      <c r="P1634" t="str">
        <f>IF(Tickets[[#This Row],[Resolution Duration Hours]] &lt;= Tickets[[#This Row],[SLA_Target_Hours]], "Yes", "No")</f>
        <v>No</v>
      </c>
    </row>
    <row r="1635" spans="1:16" hidden="1">
      <c r="A1635">
        <v>1634</v>
      </c>
      <c r="B1635" t="s">
        <v>1630</v>
      </c>
      <c r="C1635" t="s">
        <v>3613</v>
      </c>
      <c r="D1635" t="s">
        <v>3984</v>
      </c>
      <c r="E1635" s="1">
        <v>44359</v>
      </c>
      <c r="F1635" t="s">
        <v>3999</v>
      </c>
      <c r="G1635" t="s">
        <v>4012</v>
      </c>
      <c r="H1635" t="s">
        <v>4018</v>
      </c>
      <c r="I1635" t="s">
        <v>4024</v>
      </c>
      <c r="J1635" t="s">
        <v>4025</v>
      </c>
      <c r="K1635" s="2">
        <v>44650</v>
      </c>
      <c r="L1635" s="2">
        <v>44654</v>
      </c>
      <c r="M1635">
        <v>4</v>
      </c>
      <c r="N1635">
        <v>96</v>
      </c>
      <c r="O1635">
        <f>IF(Tickets[[#This Row],[Ticket Priority]]="Critical",24,
IF(Tickets[[#This Row],[Ticket Priority]]="High",48,
IF(Tickets[[#This Row],[Ticket Priority]]="Medium",120,168)))</f>
        <v>168</v>
      </c>
      <c r="P1635" t="str">
        <f>IF(Tickets[[#This Row],[Resolution Duration Hours]] &lt;= Tickets[[#This Row],[SLA_Target_Hours]], "Yes", "No")</f>
        <v>Yes</v>
      </c>
    </row>
    <row r="1636" spans="1:16" hidden="1">
      <c r="A1636">
        <v>1635</v>
      </c>
      <c r="B1636" t="s">
        <v>1631</v>
      </c>
      <c r="C1636" t="s">
        <v>3614</v>
      </c>
      <c r="D1636" t="s">
        <v>3997</v>
      </c>
      <c r="E1636" s="1">
        <v>44783</v>
      </c>
      <c r="F1636" t="s">
        <v>4002</v>
      </c>
      <c r="G1636" t="s">
        <v>4013</v>
      </c>
      <c r="H1636" t="s">
        <v>4018</v>
      </c>
      <c r="I1636" t="s">
        <v>4023</v>
      </c>
      <c r="J1636" t="s">
        <v>4026</v>
      </c>
      <c r="K1636" s="2">
        <v>44984</v>
      </c>
      <c r="L1636" s="2">
        <v>44984</v>
      </c>
      <c r="N1636">
        <v>0</v>
      </c>
      <c r="O1636">
        <f>IF(Tickets[[#This Row],[Ticket Priority]]="Critical",24,
IF(Tickets[[#This Row],[Ticket Priority]]="High",48,
IF(Tickets[[#This Row],[Ticket Priority]]="Medium",120,168)))</f>
        <v>120</v>
      </c>
      <c r="P1636" t="str">
        <f>IF(Tickets[[#This Row],[Resolution Duration Hours]] &lt;= Tickets[[#This Row],[SLA_Target_Hours]], "Yes", "No")</f>
        <v>Yes</v>
      </c>
    </row>
    <row r="1637" spans="1:16" hidden="1">
      <c r="A1637">
        <v>1636</v>
      </c>
      <c r="B1637" t="s">
        <v>1632</v>
      </c>
      <c r="C1637" t="s">
        <v>3615</v>
      </c>
      <c r="D1637" t="s">
        <v>3991</v>
      </c>
      <c r="E1637" s="1">
        <v>44071</v>
      </c>
      <c r="F1637" t="s">
        <v>3998</v>
      </c>
      <c r="G1637" t="s">
        <v>4006</v>
      </c>
      <c r="H1637" t="s">
        <v>4019</v>
      </c>
      <c r="I1637" t="s">
        <v>4024</v>
      </c>
      <c r="J1637" t="s">
        <v>4028</v>
      </c>
      <c r="K1637" s="2">
        <v>44365</v>
      </c>
      <c r="L1637" s="2">
        <v>44372</v>
      </c>
      <c r="M1637">
        <v>4</v>
      </c>
      <c r="N1637">
        <v>168</v>
      </c>
      <c r="O1637">
        <f>IF(Tickets[[#This Row],[Ticket Priority]]="Critical",24,
IF(Tickets[[#This Row],[Ticket Priority]]="High",48,
IF(Tickets[[#This Row],[Ticket Priority]]="Medium",120,168)))</f>
        <v>168</v>
      </c>
      <c r="P1637" t="str">
        <f>IF(Tickets[[#This Row],[Resolution Duration Hours]] &lt;= Tickets[[#This Row],[SLA_Target_Hours]], "Yes", "No")</f>
        <v>Yes</v>
      </c>
    </row>
    <row r="1638" spans="1:16">
      <c r="A1638">
        <v>1435</v>
      </c>
      <c r="B1638" t="s">
        <v>1435</v>
      </c>
      <c r="C1638" t="s">
        <v>3415</v>
      </c>
      <c r="D1638" t="s">
        <v>3986</v>
      </c>
      <c r="E1638" s="1">
        <v>44752</v>
      </c>
      <c r="F1638" t="s">
        <v>3999</v>
      </c>
      <c r="G1638" t="s">
        <v>4005</v>
      </c>
      <c r="H1638" t="s">
        <v>4020</v>
      </c>
      <c r="I1638" t="s">
        <v>4023</v>
      </c>
      <c r="J1638" t="s">
        <v>4025</v>
      </c>
      <c r="K1638" s="2">
        <v>45078</v>
      </c>
      <c r="L1638" s="2">
        <v>45084</v>
      </c>
      <c r="N1638">
        <v>144</v>
      </c>
      <c r="O1638">
        <f>IF(Tickets[[#This Row],[Ticket Priority]]="Critical",24,
IF(Tickets[[#This Row],[Ticket Priority]]="High",48,
IF(Tickets[[#This Row],[Ticket Priority]]="Medium",120,168)))</f>
        <v>120</v>
      </c>
      <c r="P1638" t="str">
        <f>IF(Tickets[[#This Row],[Resolution Duration Hours]] &lt;= Tickets[[#This Row],[SLA_Target_Hours]], "Yes", "No")</f>
        <v>No</v>
      </c>
    </row>
    <row r="1639" spans="1:16" hidden="1">
      <c r="A1639">
        <v>1638</v>
      </c>
      <c r="B1639" t="s">
        <v>1634</v>
      </c>
      <c r="C1639" t="s">
        <v>3617</v>
      </c>
      <c r="D1639" t="s">
        <v>3983</v>
      </c>
      <c r="E1639" s="1">
        <v>44687</v>
      </c>
      <c r="F1639" t="s">
        <v>3998</v>
      </c>
      <c r="G1639" t="s">
        <v>4009</v>
      </c>
      <c r="H1639" t="s">
        <v>4020</v>
      </c>
      <c r="I1639" t="s">
        <v>4023</v>
      </c>
      <c r="J1639" t="s">
        <v>4026</v>
      </c>
      <c r="K1639" s="2">
        <v>44886</v>
      </c>
      <c r="L1639" s="2">
        <v>44888</v>
      </c>
      <c r="N1639">
        <v>48</v>
      </c>
      <c r="O1639">
        <f>IF(Tickets[[#This Row],[Ticket Priority]]="Critical",24,
IF(Tickets[[#This Row],[Ticket Priority]]="High",48,
IF(Tickets[[#This Row],[Ticket Priority]]="Medium",120,168)))</f>
        <v>120</v>
      </c>
      <c r="P1639" t="str">
        <f>IF(Tickets[[#This Row],[Resolution Duration Hours]] &lt;= Tickets[[#This Row],[SLA_Target_Hours]], "Yes", "No")</f>
        <v>Yes</v>
      </c>
    </row>
    <row r="1640" spans="1:16" hidden="1">
      <c r="A1640">
        <v>1639</v>
      </c>
      <c r="B1640" t="s">
        <v>1635</v>
      </c>
      <c r="C1640" t="s">
        <v>3618</v>
      </c>
      <c r="D1640" t="s">
        <v>3981</v>
      </c>
      <c r="E1640" s="1">
        <v>45076</v>
      </c>
      <c r="F1640" t="s">
        <v>4000</v>
      </c>
      <c r="G1640" t="s">
        <v>4004</v>
      </c>
      <c r="H1640" t="s">
        <v>4018</v>
      </c>
      <c r="I1640" t="s">
        <v>4024</v>
      </c>
      <c r="J1640" t="s">
        <v>4026</v>
      </c>
      <c r="K1640" s="2">
        <v>45128</v>
      </c>
      <c r="L1640" s="2">
        <v>45135</v>
      </c>
      <c r="M1640">
        <v>3</v>
      </c>
      <c r="N1640">
        <v>168</v>
      </c>
      <c r="O1640">
        <f>IF(Tickets[[#This Row],[Ticket Priority]]="Critical",24,
IF(Tickets[[#This Row],[Ticket Priority]]="High",48,
IF(Tickets[[#This Row],[Ticket Priority]]="Medium",120,168)))</f>
        <v>168</v>
      </c>
      <c r="P1640" t="str">
        <f>IF(Tickets[[#This Row],[Resolution Duration Hours]] &lt;= Tickets[[#This Row],[SLA_Target_Hours]], "Yes", "No")</f>
        <v>Yes</v>
      </c>
    </row>
    <row r="1641" spans="1:16" hidden="1">
      <c r="A1641">
        <v>1640</v>
      </c>
      <c r="B1641" t="s">
        <v>1636</v>
      </c>
      <c r="C1641" t="s">
        <v>3619</v>
      </c>
      <c r="D1641" t="s">
        <v>3996</v>
      </c>
      <c r="E1641" s="1">
        <v>44039</v>
      </c>
      <c r="F1641" t="s">
        <v>4001</v>
      </c>
      <c r="G1641" t="s">
        <v>4005</v>
      </c>
      <c r="H1641" t="s">
        <v>4018</v>
      </c>
      <c r="I1641" t="s">
        <v>4023</v>
      </c>
      <c r="J1641" t="s">
        <v>4026</v>
      </c>
      <c r="K1641" s="2">
        <v>44325</v>
      </c>
      <c r="L1641" s="2">
        <v>44329</v>
      </c>
      <c r="M1641">
        <v>3</v>
      </c>
      <c r="N1641">
        <v>96</v>
      </c>
      <c r="O1641">
        <f>IF(Tickets[[#This Row],[Ticket Priority]]="Critical",24,
IF(Tickets[[#This Row],[Ticket Priority]]="High",48,
IF(Tickets[[#This Row],[Ticket Priority]]="Medium",120,168)))</f>
        <v>120</v>
      </c>
      <c r="P1641" t="str">
        <f>IF(Tickets[[#This Row],[Resolution Duration Hours]] &lt;= Tickets[[#This Row],[SLA_Target_Hours]], "Yes", "No")</f>
        <v>Yes</v>
      </c>
    </row>
    <row r="1642" spans="1:16" hidden="1">
      <c r="A1642">
        <v>1641</v>
      </c>
      <c r="B1642" t="s">
        <v>1637</v>
      </c>
      <c r="C1642" t="s">
        <v>3620</v>
      </c>
      <c r="D1642" t="s">
        <v>3979</v>
      </c>
      <c r="E1642" s="1">
        <v>44931</v>
      </c>
      <c r="F1642" t="s">
        <v>4002</v>
      </c>
      <c r="G1642" t="s">
        <v>4010</v>
      </c>
      <c r="H1642" t="s">
        <v>4020</v>
      </c>
      <c r="I1642" t="s">
        <v>4024</v>
      </c>
      <c r="J1642" t="s">
        <v>4028</v>
      </c>
      <c r="K1642" s="2">
        <v>45276</v>
      </c>
      <c r="L1642" s="2">
        <v>45281</v>
      </c>
      <c r="N1642">
        <v>120</v>
      </c>
      <c r="O1642">
        <f>IF(Tickets[[#This Row],[Ticket Priority]]="Critical",24,
IF(Tickets[[#This Row],[Ticket Priority]]="High",48,
IF(Tickets[[#This Row],[Ticket Priority]]="Medium",120,168)))</f>
        <v>168</v>
      </c>
      <c r="P1642" t="str">
        <f>IF(Tickets[[#This Row],[Resolution Duration Hours]] &lt;= Tickets[[#This Row],[SLA_Target_Hours]], "Yes", "No")</f>
        <v>Yes</v>
      </c>
    </row>
    <row r="1643" spans="1:16" hidden="1">
      <c r="A1643">
        <v>1642</v>
      </c>
      <c r="B1643" t="s">
        <v>1638</v>
      </c>
      <c r="C1643" t="s">
        <v>3621</v>
      </c>
      <c r="D1643" t="s">
        <v>3989</v>
      </c>
      <c r="E1643" s="1">
        <v>44691</v>
      </c>
      <c r="F1643" t="s">
        <v>4000</v>
      </c>
      <c r="G1643" t="s">
        <v>4012</v>
      </c>
      <c r="H1643" t="s">
        <v>4018</v>
      </c>
      <c r="I1643" t="s">
        <v>4023</v>
      </c>
      <c r="J1643" t="s">
        <v>4026</v>
      </c>
      <c r="K1643" s="2">
        <v>44958</v>
      </c>
      <c r="L1643" s="2">
        <v>44960</v>
      </c>
      <c r="M1643">
        <v>5</v>
      </c>
      <c r="N1643">
        <v>48</v>
      </c>
      <c r="O1643">
        <f>IF(Tickets[[#This Row],[Ticket Priority]]="Critical",24,
IF(Tickets[[#This Row],[Ticket Priority]]="High",48,
IF(Tickets[[#This Row],[Ticket Priority]]="Medium",120,168)))</f>
        <v>120</v>
      </c>
      <c r="P1643" t="str">
        <f>IF(Tickets[[#This Row],[Resolution Duration Hours]] &lt;= Tickets[[#This Row],[SLA_Target_Hours]], "Yes", "No")</f>
        <v>Yes</v>
      </c>
    </row>
    <row r="1644" spans="1:16">
      <c r="A1644">
        <v>1466</v>
      </c>
      <c r="B1644" t="s">
        <v>1465</v>
      </c>
      <c r="C1644" t="s">
        <v>3446</v>
      </c>
      <c r="D1644" t="s">
        <v>3986</v>
      </c>
      <c r="E1644" s="1">
        <v>44817</v>
      </c>
      <c r="F1644" t="s">
        <v>4001</v>
      </c>
      <c r="G1644" t="s">
        <v>4013</v>
      </c>
      <c r="H1644" t="s">
        <v>4018</v>
      </c>
      <c r="I1644" t="s">
        <v>4023</v>
      </c>
      <c r="J1644" t="s">
        <v>4025</v>
      </c>
      <c r="K1644" s="2">
        <v>45005</v>
      </c>
      <c r="L1644" s="2">
        <v>45011</v>
      </c>
      <c r="M1644">
        <v>5</v>
      </c>
      <c r="N1644">
        <v>144</v>
      </c>
      <c r="O1644">
        <f>IF(Tickets[[#This Row],[Ticket Priority]]="Critical",24,
IF(Tickets[[#This Row],[Ticket Priority]]="High",48,
IF(Tickets[[#This Row],[Ticket Priority]]="Medium",120,168)))</f>
        <v>120</v>
      </c>
      <c r="P1644" t="str">
        <f>IF(Tickets[[#This Row],[Resolution Duration Hours]] &lt;= Tickets[[#This Row],[SLA_Target_Hours]], "Yes", "No")</f>
        <v>No</v>
      </c>
    </row>
    <row r="1645" spans="1:16" hidden="1">
      <c r="A1645">
        <v>1644</v>
      </c>
      <c r="B1645" t="s">
        <v>1513</v>
      </c>
      <c r="C1645" t="s">
        <v>3623</v>
      </c>
      <c r="D1645" t="s">
        <v>3997</v>
      </c>
      <c r="E1645" s="1">
        <v>44571</v>
      </c>
      <c r="F1645" t="s">
        <v>3999</v>
      </c>
      <c r="G1645" t="s">
        <v>4016</v>
      </c>
      <c r="H1645" t="s">
        <v>4017</v>
      </c>
      <c r="I1645" t="s">
        <v>4023</v>
      </c>
      <c r="J1645" t="s">
        <v>4027</v>
      </c>
      <c r="K1645" s="2">
        <v>44620</v>
      </c>
      <c r="L1645" s="2">
        <v>44624</v>
      </c>
      <c r="N1645">
        <v>96</v>
      </c>
      <c r="O1645">
        <f>IF(Tickets[[#This Row],[Ticket Priority]]="Critical",24,
IF(Tickets[[#This Row],[Ticket Priority]]="High",48,
IF(Tickets[[#This Row],[Ticket Priority]]="Medium",120,168)))</f>
        <v>120</v>
      </c>
      <c r="P1645" t="str">
        <f>IF(Tickets[[#This Row],[Resolution Duration Hours]] &lt;= Tickets[[#This Row],[SLA_Target_Hours]], "Yes", "No")</f>
        <v>Yes</v>
      </c>
    </row>
    <row r="1646" spans="1:16" hidden="1">
      <c r="A1646">
        <v>1645</v>
      </c>
      <c r="B1646" t="s">
        <v>1640</v>
      </c>
      <c r="C1646" t="s">
        <v>3624</v>
      </c>
      <c r="D1646" t="s">
        <v>3985</v>
      </c>
      <c r="E1646" s="1">
        <v>44961</v>
      </c>
      <c r="F1646" t="s">
        <v>4002</v>
      </c>
      <c r="G1646" t="s">
        <v>4011</v>
      </c>
      <c r="H1646" t="s">
        <v>4018</v>
      </c>
      <c r="I1646" t="s">
        <v>4024</v>
      </c>
      <c r="J1646" t="s">
        <v>4025</v>
      </c>
      <c r="K1646" s="2">
        <v>45317</v>
      </c>
      <c r="L1646" s="2">
        <v>45319</v>
      </c>
      <c r="M1646">
        <v>4</v>
      </c>
      <c r="N1646">
        <v>48</v>
      </c>
      <c r="O1646">
        <f>IF(Tickets[[#This Row],[Ticket Priority]]="Critical",24,
IF(Tickets[[#This Row],[Ticket Priority]]="High",48,
IF(Tickets[[#This Row],[Ticket Priority]]="Medium",120,168)))</f>
        <v>168</v>
      </c>
      <c r="P1646" t="str">
        <f>IF(Tickets[[#This Row],[Resolution Duration Hours]] &lt;= Tickets[[#This Row],[SLA_Target_Hours]], "Yes", "No")</f>
        <v>Yes</v>
      </c>
    </row>
    <row r="1647" spans="1:16" hidden="1">
      <c r="A1647">
        <v>1646</v>
      </c>
      <c r="B1647" t="s">
        <v>1641</v>
      </c>
      <c r="C1647" t="s">
        <v>3625</v>
      </c>
      <c r="D1647" t="s">
        <v>3997</v>
      </c>
      <c r="E1647" s="1">
        <v>44312</v>
      </c>
      <c r="F1647" t="s">
        <v>4001</v>
      </c>
      <c r="G1647" t="s">
        <v>4012</v>
      </c>
      <c r="H1647" t="s">
        <v>4020</v>
      </c>
      <c r="I1647" t="s">
        <v>4023</v>
      </c>
      <c r="J1647" t="s">
        <v>4025</v>
      </c>
      <c r="K1647" s="2">
        <v>44374</v>
      </c>
      <c r="L1647" s="2">
        <v>44377</v>
      </c>
      <c r="N1647">
        <v>72</v>
      </c>
      <c r="O1647">
        <f>IF(Tickets[[#This Row],[Ticket Priority]]="Critical",24,
IF(Tickets[[#This Row],[Ticket Priority]]="High",48,
IF(Tickets[[#This Row],[Ticket Priority]]="Medium",120,168)))</f>
        <v>120</v>
      </c>
      <c r="P1647" t="str">
        <f>IF(Tickets[[#This Row],[Resolution Duration Hours]] &lt;= Tickets[[#This Row],[SLA_Target_Hours]], "Yes", "No")</f>
        <v>Yes</v>
      </c>
    </row>
    <row r="1648" spans="1:16">
      <c r="A1648">
        <v>1537</v>
      </c>
      <c r="B1648" t="s">
        <v>1533</v>
      </c>
      <c r="C1648" t="s">
        <v>3517</v>
      </c>
      <c r="D1648" t="s">
        <v>3989</v>
      </c>
      <c r="E1648" s="1">
        <v>44738</v>
      </c>
      <c r="F1648" t="s">
        <v>4000</v>
      </c>
      <c r="G1648" t="s">
        <v>4006</v>
      </c>
      <c r="H1648" t="s">
        <v>4019</v>
      </c>
      <c r="I1648" t="s">
        <v>4023</v>
      </c>
      <c r="J1648" t="s">
        <v>4028</v>
      </c>
      <c r="K1648" s="2">
        <v>44927</v>
      </c>
      <c r="L1648" s="2">
        <v>44933</v>
      </c>
      <c r="M1648">
        <v>3</v>
      </c>
      <c r="N1648">
        <v>144</v>
      </c>
      <c r="O1648">
        <f>IF(Tickets[[#This Row],[Ticket Priority]]="Critical",24,
IF(Tickets[[#This Row],[Ticket Priority]]="High",48,
IF(Tickets[[#This Row],[Ticket Priority]]="Medium",120,168)))</f>
        <v>120</v>
      </c>
      <c r="P1648" t="str">
        <f>IF(Tickets[[#This Row],[Resolution Duration Hours]] &lt;= Tickets[[#This Row],[SLA_Target_Hours]], "Yes", "No")</f>
        <v>No</v>
      </c>
    </row>
    <row r="1649" spans="1:16">
      <c r="A1649">
        <v>1559</v>
      </c>
      <c r="B1649" t="s">
        <v>1555</v>
      </c>
      <c r="C1649" t="s">
        <v>3539</v>
      </c>
      <c r="D1649" t="s">
        <v>3990</v>
      </c>
      <c r="E1649" s="1">
        <v>44466</v>
      </c>
      <c r="F1649" t="s">
        <v>3999</v>
      </c>
      <c r="G1649" t="s">
        <v>4007</v>
      </c>
      <c r="H1649" t="s">
        <v>4020</v>
      </c>
      <c r="I1649" t="s">
        <v>4023</v>
      </c>
      <c r="J1649" t="s">
        <v>4028</v>
      </c>
      <c r="K1649" s="2">
        <v>44737</v>
      </c>
      <c r="L1649" s="2">
        <v>44743</v>
      </c>
      <c r="N1649">
        <v>144</v>
      </c>
      <c r="O1649">
        <f>IF(Tickets[[#This Row],[Ticket Priority]]="Critical",24,
IF(Tickets[[#This Row],[Ticket Priority]]="High",48,
IF(Tickets[[#This Row],[Ticket Priority]]="Medium",120,168)))</f>
        <v>120</v>
      </c>
      <c r="P1649" t="str">
        <f>IF(Tickets[[#This Row],[Resolution Duration Hours]] &lt;= Tickets[[#This Row],[SLA_Target_Hours]], "Yes", "No")</f>
        <v>No</v>
      </c>
    </row>
    <row r="1650" spans="1:16">
      <c r="A1650">
        <v>1595</v>
      </c>
      <c r="B1650" t="s">
        <v>1591</v>
      </c>
      <c r="C1650" t="s">
        <v>3574</v>
      </c>
      <c r="D1650" t="s">
        <v>3985</v>
      </c>
      <c r="E1650" s="1">
        <v>44869</v>
      </c>
      <c r="F1650" t="s">
        <v>4000</v>
      </c>
      <c r="G1650" t="s">
        <v>4014</v>
      </c>
      <c r="H1650" t="s">
        <v>4018</v>
      </c>
      <c r="I1650" t="s">
        <v>4023</v>
      </c>
      <c r="J1650" t="s">
        <v>4027</v>
      </c>
      <c r="K1650" s="2">
        <v>45089</v>
      </c>
      <c r="L1650" s="2">
        <v>45095</v>
      </c>
      <c r="M1650">
        <v>3</v>
      </c>
      <c r="N1650">
        <v>144</v>
      </c>
      <c r="O1650">
        <f>IF(Tickets[[#This Row],[Ticket Priority]]="Critical",24,
IF(Tickets[[#This Row],[Ticket Priority]]="High",48,
IF(Tickets[[#This Row],[Ticket Priority]]="Medium",120,168)))</f>
        <v>120</v>
      </c>
      <c r="P1650" t="str">
        <f>IF(Tickets[[#This Row],[Resolution Duration Hours]] &lt;= Tickets[[#This Row],[SLA_Target_Hours]], "Yes", "No")</f>
        <v>No</v>
      </c>
    </row>
    <row r="1651" spans="1:16" hidden="1">
      <c r="A1651">
        <v>1650</v>
      </c>
      <c r="B1651" t="s">
        <v>1645</v>
      </c>
      <c r="C1651" t="s">
        <v>3629</v>
      </c>
      <c r="D1651" t="s">
        <v>3980</v>
      </c>
      <c r="E1651" s="1">
        <v>44567</v>
      </c>
      <c r="F1651" t="s">
        <v>4002</v>
      </c>
      <c r="G1651" t="s">
        <v>4012</v>
      </c>
      <c r="H1651" t="s">
        <v>4018</v>
      </c>
      <c r="I1651" t="s">
        <v>4024</v>
      </c>
      <c r="J1651" t="s">
        <v>4026</v>
      </c>
      <c r="K1651" s="2">
        <v>44784</v>
      </c>
      <c r="L1651" s="2">
        <v>44791</v>
      </c>
      <c r="N1651">
        <v>168</v>
      </c>
      <c r="O1651">
        <f>IF(Tickets[[#This Row],[Ticket Priority]]="Critical",24,
IF(Tickets[[#This Row],[Ticket Priority]]="High",48,
IF(Tickets[[#This Row],[Ticket Priority]]="Medium",120,168)))</f>
        <v>168</v>
      </c>
      <c r="P1651" t="str">
        <f>IF(Tickets[[#This Row],[Resolution Duration Hours]] &lt;= Tickets[[#This Row],[SLA_Target_Hours]], "Yes", "No")</f>
        <v>Yes</v>
      </c>
    </row>
    <row r="1652" spans="1:16">
      <c r="A1652">
        <v>1633</v>
      </c>
      <c r="B1652" t="s">
        <v>1629</v>
      </c>
      <c r="C1652" t="s">
        <v>3612</v>
      </c>
      <c r="D1652" t="s">
        <v>3993</v>
      </c>
      <c r="E1652" s="1">
        <v>44791</v>
      </c>
      <c r="F1652" t="s">
        <v>4000</v>
      </c>
      <c r="G1652" t="s">
        <v>4015</v>
      </c>
      <c r="H1652" t="s">
        <v>4018</v>
      </c>
      <c r="I1652" t="s">
        <v>4023</v>
      </c>
      <c r="J1652" t="s">
        <v>4027</v>
      </c>
      <c r="K1652" s="2">
        <v>44979</v>
      </c>
      <c r="L1652" s="2">
        <v>44985</v>
      </c>
      <c r="M1652">
        <v>4</v>
      </c>
      <c r="N1652">
        <v>144</v>
      </c>
      <c r="O1652">
        <f>IF(Tickets[[#This Row],[Ticket Priority]]="Critical",24,
IF(Tickets[[#This Row],[Ticket Priority]]="High",48,
IF(Tickets[[#This Row],[Ticket Priority]]="Medium",120,168)))</f>
        <v>120</v>
      </c>
      <c r="P1652" t="str">
        <f>IF(Tickets[[#This Row],[Resolution Duration Hours]] &lt;= Tickets[[#This Row],[SLA_Target_Hours]], "Yes", "No")</f>
        <v>No</v>
      </c>
    </row>
    <row r="1653" spans="1:16" hidden="1">
      <c r="A1653">
        <v>1652</v>
      </c>
      <c r="B1653" t="s">
        <v>1647</v>
      </c>
      <c r="C1653" t="s">
        <v>3631</v>
      </c>
      <c r="D1653" t="s">
        <v>3985</v>
      </c>
      <c r="E1653" s="1">
        <v>44231</v>
      </c>
      <c r="F1653" t="s">
        <v>4001</v>
      </c>
      <c r="G1653" t="s">
        <v>4008</v>
      </c>
      <c r="H1653" t="s">
        <v>4019</v>
      </c>
      <c r="I1653" t="s">
        <v>4021</v>
      </c>
      <c r="J1653" t="s">
        <v>4026</v>
      </c>
      <c r="K1653" s="2">
        <v>44388</v>
      </c>
      <c r="L1653" s="2">
        <v>44390</v>
      </c>
      <c r="M1653">
        <v>4</v>
      </c>
      <c r="N1653">
        <v>48</v>
      </c>
      <c r="O1653">
        <f>IF(Tickets[[#This Row],[Ticket Priority]]="Critical",24,
IF(Tickets[[#This Row],[Ticket Priority]]="High",48,
IF(Tickets[[#This Row],[Ticket Priority]]="Medium",120,168)))</f>
        <v>48</v>
      </c>
      <c r="P1653" t="str">
        <f>IF(Tickets[[#This Row],[Resolution Duration Hours]] &lt;= Tickets[[#This Row],[SLA_Target_Hours]], "Yes", "No")</f>
        <v>Yes</v>
      </c>
    </row>
    <row r="1654" spans="1:16" hidden="1">
      <c r="A1654">
        <v>1653</v>
      </c>
      <c r="B1654" t="s">
        <v>1648</v>
      </c>
      <c r="C1654" t="s">
        <v>3632</v>
      </c>
      <c r="D1654" t="s">
        <v>3983</v>
      </c>
      <c r="E1654" s="1">
        <v>44652</v>
      </c>
      <c r="F1654" t="s">
        <v>4002</v>
      </c>
      <c r="G1654" t="s">
        <v>4013</v>
      </c>
      <c r="H1654" t="s">
        <v>4018</v>
      </c>
      <c r="I1654" t="s">
        <v>4023</v>
      </c>
      <c r="J1654" t="s">
        <v>4026</v>
      </c>
      <c r="K1654" s="2">
        <v>44687</v>
      </c>
      <c r="L1654" s="2">
        <v>44690</v>
      </c>
      <c r="M1654">
        <v>5</v>
      </c>
      <c r="N1654">
        <v>72</v>
      </c>
      <c r="O1654">
        <f>IF(Tickets[[#This Row],[Ticket Priority]]="Critical",24,
IF(Tickets[[#This Row],[Ticket Priority]]="High",48,
IF(Tickets[[#This Row],[Ticket Priority]]="Medium",120,168)))</f>
        <v>120</v>
      </c>
      <c r="P1654" t="str">
        <f>IF(Tickets[[#This Row],[Resolution Duration Hours]] &lt;= Tickets[[#This Row],[SLA_Target_Hours]], "Yes", "No")</f>
        <v>Yes</v>
      </c>
    </row>
    <row r="1655" spans="1:16" hidden="1">
      <c r="A1655">
        <v>1654</v>
      </c>
      <c r="B1655" t="s">
        <v>1649</v>
      </c>
      <c r="C1655" t="s">
        <v>3633</v>
      </c>
      <c r="D1655" t="s">
        <v>3986</v>
      </c>
      <c r="E1655" s="1">
        <v>44795</v>
      </c>
      <c r="F1655" t="s">
        <v>4000</v>
      </c>
      <c r="G1655" t="s">
        <v>4016</v>
      </c>
      <c r="H1655" t="s">
        <v>4019</v>
      </c>
      <c r="I1655" t="s">
        <v>4023</v>
      </c>
      <c r="J1655" t="s">
        <v>4028</v>
      </c>
      <c r="K1655" s="2">
        <v>44940</v>
      </c>
      <c r="L1655" s="2">
        <v>44945</v>
      </c>
      <c r="M1655">
        <v>3</v>
      </c>
      <c r="N1655">
        <v>120</v>
      </c>
      <c r="O1655">
        <f>IF(Tickets[[#This Row],[Ticket Priority]]="Critical",24,
IF(Tickets[[#This Row],[Ticket Priority]]="High",48,
IF(Tickets[[#This Row],[Ticket Priority]]="Medium",120,168)))</f>
        <v>120</v>
      </c>
      <c r="P1655" t="str">
        <f>IF(Tickets[[#This Row],[Resolution Duration Hours]] &lt;= Tickets[[#This Row],[SLA_Target_Hours]], "Yes", "No")</f>
        <v>Yes</v>
      </c>
    </row>
    <row r="1656" spans="1:16" hidden="1">
      <c r="A1656">
        <v>1655</v>
      </c>
      <c r="B1656" t="s">
        <v>1650</v>
      </c>
      <c r="C1656" t="s">
        <v>3634</v>
      </c>
      <c r="D1656" t="s">
        <v>3993</v>
      </c>
      <c r="E1656" s="1">
        <v>44928</v>
      </c>
      <c r="F1656" t="s">
        <v>4001</v>
      </c>
      <c r="G1656" t="s">
        <v>4014</v>
      </c>
      <c r="H1656" t="s">
        <v>4018</v>
      </c>
      <c r="I1656" t="s">
        <v>4023</v>
      </c>
      <c r="J1656" t="s">
        <v>4026</v>
      </c>
      <c r="K1656" s="2">
        <v>45144</v>
      </c>
      <c r="L1656" s="2">
        <v>45145</v>
      </c>
      <c r="M1656">
        <v>4</v>
      </c>
      <c r="N1656">
        <v>24</v>
      </c>
      <c r="O1656">
        <f>IF(Tickets[[#This Row],[Ticket Priority]]="Critical",24,
IF(Tickets[[#This Row],[Ticket Priority]]="High",48,
IF(Tickets[[#This Row],[Ticket Priority]]="Medium",120,168)))</f>
        <v>120</v>
      </c>
      <c r="P1656" t="str">
        <f>IF(Tickets[[#This Row],[Resolution Duration Hours]] &lt;= Tickets[[#This Row],[SLA_Target_Hours]], "Yes", "No")</f>
        <v>Yes</v>
      </c>
    </row>
    <row r="1657" spans="1:16" hidden="1">
      <c r="A1657">
        <v>1656</v>
      </c>
      <c r="B1657" t="s">
        <v>1651</v>
      </c>
      <c r="C1657" t="s">
        <v>3635</v>
      </c>
      <c r="D1657" t="s">
        <v>3997</v>
      </c>
      <c r="E1657" s="1">
        <v>45063</v>
      </c>
      <c r="F1657" t="s">
        <v>4002</v>
      </c>
      <c r="G1657" t="s">
        <v>4015</v>
      </c>
      <c r="H1657" t="s">
        <v>4018</v>
      </c>
      <c r="I1657" t="s">
        <v>4023</v>
      </c>
      <c r="J1657" t="s">
        <v>4025</v>
      </c>
      <c r="K1657" s="2">
        <v>45423</v>
      </c>
      <c r="L1657" s="2">
        <v>45425</v>
      </c>
      <c r="M1657">
        <v>4</v>
      </c>
      <c r="N1657">
        <v>48</v>
      </c>
      <c r="O1657">
        <f>IF(Tickets[[#This Row],[Ticket Priority]]="Critical",24,
IF(Tickets[[#This Row],[Ticket Priority]]="High",48,
IF(Tickets[[#This Row],[Ticket Priority]]="Medium",120,168)))</f>
        <v>120</v>
      </c>
      <c r="P1657" t="str">
        <f>IF(Tickets[[#This Row],[Resolution Duration Hours]] &lt;= Tickets[[#This Row],[SLA_Target_Hours]], "Yes", "No")</f>
        <v>Yes</v>
      </c>
    </row>
    <row r="1658" spans="1:16" hidden="1">
      <c r="A1658">
        <v>1657</v>
      </c>
      <c r="B1658" t="s">
        <v>1652</v>
      </c>
      <c r="C1658" t="s">
        <v>3636</v>
      </c>
      <c r="D1658" t="s">
        <v>3979</v>
      </c>
      <c r="E1658" s="1">
        <v>44091</v>
      </c>
      <c r="F1658" t="s">
        <v>4001</v>
      </c>
      <c r="G1658" t="s">
        <v>4013</v>
      </c>
      <c r="H1658" t="s">
        <v>4017</v>
      </c>
      <c r="I1658" t="s">
        <v>4022</v>
      </c>
      <c r="J1658" t="s">
        <v>4025</v>
      </c>
      <c r="K1658" s="2">
        <v>44159</v>
      </c>
      <c r="L1658" s="2">
        <v>44160</v>
      </c>
      <c r="N1658">
        <v>24</v>
      </c>
      <c r="O1658">
        <f>IF(Tickets[[#This Row],[Ticket Priority]]="Critical",24,
IF(Tickets[[#This Row],[Ticket Priority]]="High",48,
IF(Tickets[[#This Row],[Ticket Priority]]="Medium",120,168)))</f>
        <v>24</v>
      </c>
      <c r="P1658" t="str">
        <f>IF(Tickets[[#This Row],[Resolution Duration Hours]] &lt;= Tickets[[#This Row],[SLA_Target_Hours]], "Yes", "No")</f>
        <v>Yes</v>
      </c>
    </row>
    <row r="1659" spans="1:16">
      <c r="A1659">
        <v>1648</v>
      </c>
      <c r="B1659" t="s">
        <v>1643</v>
      </c>
      <c r="C1659" t="s">
        <v>3627</v>
      </c>
      <c r="D1659" t="s">
        <v>3995</v>
      </c>
      <c r="E1659" s="1">
        <v>44653</v>
      </c>
      <c r="F1659" t="s">
        <v>4000</v>
      </c>
      <c r="G1659" t="s">
        <v>4012</v>
      </c>
      <c r="H1659" t="s">
        <v>4020</v>
      </c>
      <c r="I1659" t="s">
        <v>4023</v>
      </c>
      <c r="J1659" t="s">
        <v>4026</v>
      </c>
      <c r="K1659" s="2">
        <v>44866</v>
      </c>
      <c r="L1659" s="2">
        <v>44872</v>
      </c>
      <c r="N1659">
        <v>144</v>
      </c>
      <c r="O1659">
        <f>IF(Tickets[[#This Row],[Ticket Priority]]="Critical",24,
IF(Tickets[[#This Row],[Ticket Priority]]="High",48,
IF(Tickets[[#This Row],[Ticket Priority]]="Medium",120,168)))</f>
        <v>120</v>
      </c>
      <c r="P1659" t="str">
        <f>IF(Tickets[[#This Row],[Resolution Duration Hours]] &lt;= Tickets[[#This Row],[SLA_Target_Hours]], "Yes", "No")</f>
        <v>No</v>
      </c>
    </row>
    <row r="1660" spans="1:16" hidden="1">
      <c r="A1660">
        <v>1659</v>
      </c>
      <c r="B1660" t="s">
        <v>1654</v>
      </c>
      <c r="C1660" t="s">
        <v>3638</v>
      </c>
      <c r="D1660" t="s">
        <v>3981</v>
      </c>
      <c r="E1660" s="1">
        <v>45064</v>
      </c>
      <c r="F1660" t="s">
        <v>4002</v>
      </c>
      <c r="G1660" t="s">
        <v>4006</v>
      </c>
      <c r="H1660" t="s">
        <v>4018</v>
      </c>
      <c r="I1660" t="s">
        <v>4024</v>
      </c>
      <c r="J1660" t="s">
        <v>4026</v>
      </c>
      <c r="K1660" s="2">
        <v>45076</v>
      </c>
      <c r="L1660" s="2">
        <v>45083</v>
      </c>
      <c r="M1660">
        <v>5</v>
      </c>
      <c r="N1660">
        <v>168</v>
      </c>
      <c r="O1660">
        <f>IF(Tickets[[#This Row],[Ticket Priority]]="Critical",24,
IF(Tickets[[#This Row],[Ticket Priority]]="High",48,
IF(Tickets[[#This Row],[Ticket Priority]]="Medium",120,168)))</f>
        <v>168</v>
      </c>
      <c r="P1660" t="str">
        <f>IF(Tickets[[#This Row],[Resolution Duration Hours]] &lt;= Tickets[[#This Row],[SLA_Target_Hours]], "Yes", "No")</f>
        <v>Yes</v>
      </c>
    </row>
    <row r="1661" spans="1:16" hidden="1">
      <c r="A1661">
        <v>1660</v>
      </c>
      <c r="B1661" t="s">
        <v>1655</v>
      </c>
      <c r="C1661" t="s">
        <v>3639</v>
      </c>
      <c r="D1661" t="s">
        <v>3984</v>
      </c>
      <c r="E1661" s="1">
        <v>45003</v>
      </c>
      <c r="F1661" t="s">
        <v>3998</v>
      </c>
      <c r="G1661" t="s">
        <v>4010</v>
      </c>
      <c r="H1661" t="s">
        <v>4018</v>
      </c>
      <c r="I1661" t="s">
        <v>4024</v>
      </c>
      <c r="J1661" t="s">
        <v>4026</v>
      </c>
      <c r="K1661" s="2">
        <v>45167</v>
      </c>
      <c r="L1661" s="2">
        <v>45167</v>
      </c>
      <c r="M1661">
        <v>4</v>
      </c>
      <c r="N1661">
        <v>0</v>
      </c>
      <c r="O1661">
        <f>IF(Tickets[[#This Row],[Ticket Priority]]="Critical",24,
IF(Tickets[[#This Row],[Ticket Priority]]="High",48,
IF(Tickets[[#This Row],[Ticket Priority]]="Medium",120,168)))</f>
        <v>168</v>
      </c>
      <c r="P1661" t="str">
        <f>IF(Tickets[[#This Row],[Resolution Duration Hours]] &lt;= Tickets[[#This Row],[SLA_Target_Hours]], "Yes", "No")</f>
        <v>Yes</v>
      </c>
    </row>
    <row r="1662" spans="1:16" hidden="1">
      <c r="A1662">
        <v>1661</v>
      </c>
      <c r="B1662" t="s">
        <v>1656</v>
      </c>
      <c r="C1662" t="s">
        <v>3640</v>
      </c>
      <c r="D1662" t="s">
        <v>3988</v>
      </c>
      <c r="E1662" s="1">
        <v>44657</v>
      </c>
      <c r="F1662" t="s">
        <v>4001</v>
      </c>
      <c r="G1662" t="s">
        <v>4000</v>
      </c>
      <c r="H1662" t="s">
        <v>4018</v>
      </c>
      <c r="I1662" t="s">
        <v>4024</v>
      </c>
      <c r="J1662" t="s">
        <v>4026</v>
      </c>
      <c r="K1662" s="2">
        <v>44918</v>
      </c>
      <c r="L1662" s="2">
        <v>44925</v>
      </c>
      <c r="M1662">
        <v>5</v>
      </c>
      <c r="N1662">
        <v>168</v>
      </c>
      <c r="O1662">
        <f>IF(Tickets[[#This Row],[Ticket Priority]]="Critical",24,
IF(Tickets[[#This Row],[Ticket Priority]]="High",48,
IF(Tickets[[#This Row],[Ticket Priority]]="Medium",120,168)))</f>
        <v>168</v>
      </c>
      <c r="P1662" t="str">
        <f>IF(Tickets[[#This Row],[Resolution Duration Hours]] &lt;= Tickets[[#This Row],[SLA_Target_Hours]], "Yes", "No")</f>
        <v>Yes</v>
      </c>
    </row>
    <row r="1663" spans="1:16" hidden="1">
      <c r="A1663">
        <v>1662</v>
      </c>
      <c r="B1663" t="s">
        <v>1657</v>
      </c>
      <c r="C1663" t="s">
        <v>3641</v>
      </c>
      <c r="D1663" t="s">
        <v>3982</v>
      </c>
      <c r="E1663" s="1">
        <v>44803</v>
      </c>
      <c r="F1663" t="s">
        <v>4002</v>
      </c>
      <c r="G1663" t="s">
        <v>4006</v>
      </c>
      <c r="H1663" t="s">
        <v>4018</v>
      </c>
      <c r="I1663" t="s">
        <v>4023</v>
      </c>
      <c r="J1663" t="s">
        <v>4026</v>
      </c>
      <c r="K1663" s="2">
        <v>45029</v>
      </c>
      <c r="L1663" s="2">
        <v>45032</v>
      </c>
      <c r="M1663">
        <v>2</v>
      </c>
      <c r="N1663">
        <v>72</v>
      </c>
      <c r="O1663">
        <f>IF(Tickets[[#This Row],[Ticket Priority]]="Critical",24,
IF(Tickets[[#This Row],[Ticket Priority]]="High",48,
IF(Tickets[[#This Row],[Ticket Priority]]="Medium",120,168)))</f>
        <v>120</v>
      </c>
      <c r="P1663" t="str">
        <f>IF(Tickets[[#This Row],[Resolution Duration Hours]] &lt;= Tickets[[#This Row],[SLA_Target_Hours]], "Yes", "No")</f>
        <v>Yes</v>
      </c>
    </row>
    <row r="1664" spans="1:16">
      <c r="A1664">
        <v>1651</v>
      </c>
      <c r="B1664" t="s">
        <v>1646</v>
      </c>
      <c r="C1664" t="s">
        <v>3630</v>
      </c>
      <c r="D1664" t="s">
        <v>3979</v>
      </c>
      <c r="E1664" s="1">
        <v>43971</v>
      </c>
      <c r="F1664" t="s">
        <v>4001</v>
      </c>
      <c r="G1664" t="s">
        <v>4010</v>
      </c>
      <c r="H1664" t="s">
        <v>4017</v>
      </c>
      <c r="I1664" t="s">
        <v>4023</v>
      </c>
      <c r="J1664" t="s">
        <v>4027</v>
      </c>
      <c r="K1664" s="2">
        <v>44013</v>
      </c>
      <c r="L1664" s="2">
        <v>44019</v>
      </c>
      <c r="N1664">
        <v>144</v>
      </c>
      <c r="O1664">
        <f>IF(Tickets[[#This Row],[Ticket Priority]]="Critical",24,
IF(Tickets[[#This Row],[Ticket Priority]]="High",48,
IF(Tickets[[#This Row],[Ticket Priority]]="Medium",120,168)))</f>
        <v>120</v>
      </c>
      <c r="P1664" t="str">
        <f>IF(Tickets[[#This Row],[Resolution Duration Hours]] &lt;= Tickets[[#This Row],[SLA_Target_Hours]], "Yes", "No")</f>
        <v>No</v>
      </c>
    </row>
    <row r="1665" spans="1:16" hidden="1">
      <c r="A1665">
        <v>1664</v>
      </c>
      <c r="B1665" t="s">
        <v>1659</v>
      </c>
      <c r="C1665" t="s">
        <v>3643</v>
      </c>
      <c r="D1665" t="s">
        <v>3982</v>
      </c>
      <c r="E1665" s="1">
        <v>44123</v>
      </c>
      <c r="F1665" t="s">
        <v>3998</v>
      </c>
      <c r="G1665" t="s">
        <v>4014</v>
      </c>
      <c r="H1665" t="s">
        <v>4018</v>
      </c>
      <c r="I1665" t="s">
        <v>4024</v>
      </c>
      <c r="J1665" t="s">
        <v>4026</v>
      </c>
      <c r="K1665" s="2">
        <v>44174</v>
      </c>
      <c r="L1665" s="2">
        <v>44177</v>
      </c>
      <c r="M1665">
        <v>4</v>
      </c>
      <c r="N1665">
        <v>72</v>
      </c>
      <c r="O1665">
        <f>IF(Tickets[[#This Row],[Ticket Priority]]="Critical",24,
IF(Tickets[[#This Row],[Ticket Priority]]="High",48,
IF(Tickets[[#This Row],[Ticket Priority]]="Medium",120,168)))</f>
        <v>168</v>
      </c>
      <c r="P1665" t="str">
        <f>IF(Tickets[[#This Row],[Resolution Duration Hours]] &lt;= Tickets[[#This Row],[SLA_Target_Hours]], "Yes", "No")</f>
        <v>Yes</v>
      </c>
    </row>
    <row r="1666" spans="1:16" hidden="1">
      <c r="A1666">
        <v>1665</v>
      </c>
      <c r="B1666" t="s">
        <v>1660</v>
      </c>
      <c r="C1666" t="s">
        <v>3644</v>
      </c>
      <c r="D1666" t="s">
        <v>3982</v>
      </c>
      <c r="E1666" s="1">
        <v>43874</v>
      </c>
      <c r="F1666" t="s">
        <v>3998</v>
      </c>
      <c r="G1666" t="s">
        <v>4012</v>
      </c>
      <c r="H1666" t="s">
        <v>4020</v>
      </c>
      <c r="I1666" t="s">
        <v>4024</v>
      </c>
      <c r="J1666" t="s">
        <v>4026</v>
      </c>
      <c r="K1666" s="2">
        <v>44040</v>
      </c>
      <c r="L1666" s="2">
        <v>44046</v>
      </c>
      <c r="N1666">
        <v>144</v>
      </c>
      <c r="O1666">
        <f>IF(Tickets[[#This Row],[Ticket Priority]]="Critical",24,
IF(Tickets[[#This Row],[Ticket Priority]]="High",48,
IF(Tickets[[#This Row],[Ticket Priority]]="Medium",120,168)))</f>
        <v>168</v>
      </c>
      <c r="P1666" t="str">
        <f>IF(Tickets[[#This Row],[Resolution Duration Hours]] &lt;= Tickets[[#This Row],[SLA_Target_Hours]], "Yes", "No")</f>
        <v>Yes</v>
      </c>
    </row>
    <row r="1667" spans="1:16" hidden="1">
      <c r="A1667">
        <v>1666</v>
      </c>
      <c r="B1667" t="s">
        <v>1661</v>
      </c>
      <c r="C1667" t="s">
        <v>3645</v>
      </c>
      <c r="D1667" t="s">
        <v>3990</v>
      </c>
      <c r="E1667" s="1">
        <v>44978</v>
      </c>
      <c r="F1667" t="s">
        <v>4000</v>
      </c>
      <c r="G1667" t="s">
        <v>4012</v>
      </c>
      <c r="H1667" t="s">
        <v>4018</v>
      </c>
      <c r="I1667" t="s">
        <v>4024</v>
      </c>
      <c r="J1667" t="s">
        <v>4026</v>
      </c>
      <c r="K1667" s="2">
        <v>45191</v>
      </c>
      <c r="L1667" s="2">
        <v>45196</v>
      </c>
      <c r="M1667">
        <v>2</v>
      </c>
      <c r="N1667">
        <v>120</v>
      </c>
      <c r="O1667">
        <f>IF(Tickets[[#This Row],[Ticket Priority]]="Critical",24,
IF(Tickets[[#This Row],[Ticket Priority]]="High",48,
IF(Tickets[[#This Row],[Ticket Priority]]="Medium",120,168)))</f>
        <v>168</v>
      </c>
      <c r="P1667" t="str">
        <f>IF(Tickets[[#This Row],[Resolution Duration Hours]] &lt;= Tickets[[#This Row],[SLA_Target_Hours]], "Yes", "No")</f>
        <v>Yes</v>
      </c>
    </row>
    <row r="1668" spans="1:16">
      <c r="A1668">
        <v>1658</v>
      </c>
      <c r="B1668" t="s">
        <v>1653</v>
      </c>
      <c r="C1668" t="s">
        <v>3637</v>
      </c>
      <c r="D1668" t="s">
        <v>3986</v>
      </c>
      <c r="E1668" s="1">
        <v>44011</v>
      </c>
      <c r="F1668" t="s">
        <v>4002</v>
      </c>
      <c r="G1668" t="s">
        <v>4015</v>
      </c>
      <c r="H1668" t="s">
        <v>4018</v>
      </c>
      <c r="I1668" t="s">
        <v>4023</v>
      </c>
      <c r="J1668" t="s">
        <v>4028</v>
      </c>
      <c r="K1668" s="2">
        <v>44330</v>
      </c>
      <c r="L1668" s="2">
        <v>44336</v>
      </c>
      <c r="M1668">
        <v>4</v>
      </c>
      <c r="N1668">
        <v>144</v>
      </c>
      <c r="O1668">
        <f>IF(Tickets[[#This Row],[Ticket Priority]]="Critical",24,
IF(Tickets[[#This Row],[Ticket Priority]]="High",48,
IF(Tickets[[#This Row],[Ticket Priority]]="Medium",120,168)))</f>
        <v>120</v>
      </c>
      <c r="P1668" t="str">
        <f>IF(Tickets[[#This Row],[Resolution Duration Hours]] &lt;= Tickets[[#This Row],[SLA_Target_Hours]], "Yes", "No")</f>
        <v>No</v>
      </c>
    </row>
    <row r="1669" spans="1:16">
      <c r="A1669">
        <v>1668</v>
      </c>
      <c r="B1669" t="s">
        <v>1663</v>
      </c>
      <c r="C1669" t="s">
        <v>3647</v>
      </c>
      <c r="D1669" t="s">
        <v>3980</v>
      </c>
      <c r="E1669" s="1">
        <v>44423</v>
      </c>
      <c r="F1669" t="s">
        <v>3998</v>
      </c>
      <c r="G1669" t="s">
        <v>4011</v>
      </c>
      <c r="H1669" t="s">
        <v>4018</v>
      </c>
      <c r="I1669" t="s">
        <v>4023</v>
      </c>
      <c r="J1669" t="s">
        <v>4028</v>
      </c>
      <c r="K1669" s="2">
        <v>44647</v>
      </c>
      <c r="L1669" s="2">
        <v>44653</v>
      </c>
      <c r="M1669">
        <v>5</v>
      </c>
      <c r="N1669">
        <v>144</v>
      </c>
      <c r="O1669">
        <f>IF(Tickets[[#This Row],[Ticket Priority]]="Critical",24,
IF(Tickets[[#This Row],[Ticket Priority]]="High",48,
IF(Tickets[[#This Row],[Ticket Priority]]="Medium",120,168)))</f>
        <v>120</v>
      </c>
      <c r="P1669" t="str">
        <f>IF(Tickets[[#This Row],[Resolution Duration Hours]] &lt;= Tickets[[#This Row],[SLA_Target_Hours]], "Yes", "No")</f>
        <v>No</v>
      </c>
    </row>
    <row r="1670" spans="1:16" hidden="1">
      <c r="A1670">
        <v>1669</v>
      </c>
      <c r="B1670" t="s">
        <v>1664</v>
      </c>
      <c r="C1670" t="s">
        <v>3648</v>
      </c>
      <c r="D1670" t="s">
        <v>3992</v>
      </c>
      <c r="E1670" s="1">
        <v>44106</v>
      </c>
      <c r="F1670" t="s">
        <v>3998</v>
      </c>
      <c r="G1670" t="s">
        <v>4005</v>
      </c>
      <c r="H1670" t="s">
        <v>4017</v>
      </c>
      <c r="I1670" t="s">
        <v>4024</v>
      </c>
      <c r="J1670" t="s">
        <v>4027</v>
      </c>
      <c r="K1670" s="2">
        <v>44163</v>
      </c>
      <c r="L1670" s="2">
        <v>44166</v>
      </c>
      <c r="N1670">
        <v>72</v>
      </c>
      <c r="O1670">
        <f>IF(Tickets[[#This Row],[Ticket Priority]]="Critical",24,
IF(Tickets[[#This Row],[Ticket Priority]]="High",48,
IF(Tickets[[#This Row],[Ticket Priority]]="Medium",120,168)))</f>
        <v>168</v>
      </c>
      <c r="P1670" t="str">
        <f>IF(Tickets[[#This Row],[Resolution Duration Hours]] &lt;= Tickets[[#This Row],[SLA_Target_Hours]], "Yes", "No")</f>
        <v>Yes</v>
      </c>
    </row>
    <row r="1671" spans="1:16" hidden="1">
      <c r="A1671">
        <v>1670</v>
      </c>
      <c r="B1671" t="s">
        <v>1665</v>
      </c>
      <c r="C1671" t="s">
        <v>3649</v>
      </c>
      <c r="D1671" t="s">
        <v>3985</v>
      </c>
      <c r="E1671" s="1">
        <v>44869</v>
      </c>
      <c r="F1671" t="s">
        <v>4001</v>
      </c>
      <c r="G1671" t="s">
        <v>4004</v>
      </c>
      <c r="H1671" t="s">
        <v>4017</v>
      </c>
      <c r="I1671" t="s">
        <v>4024</v>
      </c>
      <c r="J1671" t="s">
        <v>4026</v>
      </c>
      <c r="K1671" s="2">
        <v>44945</v>
      </c>
      <c r="L1671" s="2">
        <v>44951</v>
      </c>
      <c r="N1671">
        <v>144</v>
      </c>
      <c r="O1671">
        <f>IF(Tickets[[#This Row],[Ticket Priority]]="Critical",24,
IF(Tickets[[#This Row],[Ticket Priority]]="High",48,
IF(Tickets[[#This Row],[Ticket Priority]]="Medium",120,168)))</f>
        <v>168</v>
      </c>
      <c r="P1671" t="str">
        <f>IF(Tickets[[#This Row],[Resolution Duration Hours]] &lt;= Tickets[[#This Row],[SLA_Target_Hours]], "Yes", "No")</f>
        <v>Yes</v>
      </c>
    </row>
    <row r="1672" spans="1:16" hidden="1">
      <c r="A1672">
        <v>1671</v>
      </c>
      <c r="B1672" t="s">
        <v>1666</v>
      </c>
      <c r="C1672" t="s">
        <v>3650</v>
      </c>
      <c r="D1672" t="s">
        <v>3989</v>
      </c>
      <c r="E1672" s="1">
        <v>43846</v>
      </c>
      <c r="F1672" t="s">
        <v>4000</v>
      </c>
      <c r="G1672" t="s">
        <v>4004</v>
      </c>
      <c r="H1672" t="s">
        <v>4020</v>
      </c>
      <c r="I1672" t="s">
        <v>4022</v>
      </c>
      <c r="J1672" t="s">
        <v>4028</v>
      </c>
      <c r="K1672" s="2">
        <v>43934</v>
      </c>
      <c r="L1672" s="2">
        <v>43934</v>
      </c>
      <c r="N1672">
        <v>0</v>
      </c>
      <c r="O1672">
        <f>IF(Tickets[[#This Row],[Ticket Priority]]="Critical",24,
IF(Tickets[[#This Row],[Ticket Priority]]="High",48,
IF(Tickets[[#This Row],[Ticket Priority]]="Medium",120,168)))</f>
        <v>24</v>
      </c>
      <c r="P1672" t="str">
        <f>IF(Tickets[[#This Row],[Resolution Duration Hours]] &lt;= Tickets[[#This Row],[SLA_Target_Hours]], "Yes", "No")</f>
        <v>Yes</v>
      </c>
    </row>
    <row r="1673" spans="1:16" hidden="1">
      <c r="A1673">
        <v>1672</v>
      </c>
      <c r="B1673" t="s">
        <v>1667</v>
      </c>
      <c r="C1673" t="s">
        <v>3651</v>
      </c>
      <c r="D1673" t="s">
        <v>3997</v>
      </c>
      <c r="E1673" s="1">
        <v>43847</v>
      </c>
      <c r="F1673" t="s">
        <v>3998</v>
      </c>
      <c r="G1673" t="s">
        <v>4007</v>
      </c>
      <c r="H1673" t="s">
        <v>4018</v>
      </c>
      <c r="I1673" t="s">
        <v>4023</v>
      </c>
      <c r="J1673" t="s">
        <v>4027</v>
      </c>
      <c r="K1673" s="2">
        <v>44106</v>
      </c>
      <c r="L1673" s="2">
        <v>44110</v>
      </c>
      <c r="M1673">
        <v>5</v>
      </c>
      <c r="N1673">
        <v>96</v>
      </c>
      <c r="O1673">
        <f>IF(Tickets[[#This Row],[Ticket Priority]]="Critical",24,
IF(Tickets[[#This Row],[Ticket Priority]]="High",48,
IF(Tickets[[#This Row],[Ticket Priority]]="Medium",120,168)))</f>
        <v>120</v>
      </c>
      <c r="P1673" t="str">
        <f>IF(Tickets[[#This Row],[Resolution Duration Hours]] &lt;= Tickets[[#This Row],[SLA_Target_Hours]], "Yes", "No")</f>
        <v>Yes</v>
      </c>
    </row>
    <row r="1674" spans="1:16" hidden="1">
      <c r="A1674">
        <v>1673</v>
      </c>
      <c r="B1674" t="s">
        <v>1668</v>
      </c>
      <c r="C1674" t="s">
        <v>3652</v>
      </c>
      <c r="D1674" t="s">
        <v>3991</v>
      </c>
      <c r="E1674" s="1">
        <v>43940</v>
      </c>
      <c r="F1674" t="s">
        <v>4001</v>
      </c>
      <c r="G1674" t="s">
        <v>4012</v>
      </c>
      <c r="H1674" t="s">
        <v>4020</v>
      </c>
      <c r="I1674" t="s">
        <v>4024</v>
      </c>
      <c r="J1674" t="s">
        <v>4026</v>
      </c>
      <c r="K1674" s="2">
        <v>44141</v>
      </c>
      <c r="L1674" s="2">
        <v>44145</v>
      </c>
      <c r="N1674">
        <v>96</v>
      </c>
      <c r="O1674">
        <f>IF(Tickets[[#This Row],[Ticket Priority]]="Critical",24,
IF(Tickets[[#This Row],[Ticket Priority]]="High",48,
IF(Tickets[[#This Row],[Ticket Priority]]="Medium",120,168)))</f>
        <v>168</v>
      </c>
      <c r="P1674" t="str">
        <f>IF(Tickets[[#This Row],[Resolution Duration Hours]] &lt;= Tickets[[#This Row],[SLA_Target_Hours]], "Yes", "No")</f>
        <v>Yes</v>
      </c>
    </row>
    <row r="1675" spans="1:16" hidden="1">
      <c r="A1675">
        <v>1674</v>
      </c>
      <c r="B1675" t="s">
        <v>1669</v>
      </c>
      <c r="C1675" t="s">
        <v>3653</v>
      </c>
      <c r="D1675" t="s">
        <v>3986</v>
      </c>
      <c r="E1675" s="1">
        <v>44090</v>
      </c>
      <c r="F1675" t="s">
        <v>4001</v>
      </c>
      <c r="G1675" t="s">
        <v>4007</v>
      </c>
      <c r="H1675" t="s">
        <v>4018</v>
      </c>
      <c r="I1675" t="s">
        <v>4023</v>
      </c>
      <c r="J1675" t="s">
        <v>4026</v>
      </c>
      <c r="K1675" s="2">
        <v>44210</v>
      </c>
      <c r="L1675" s="2">
        <v>44214</v>
      </c>
      <c r="M1675">
        <v>4</v>
      </c>
      <c r="N1675">
        <v>96</v>
      </c>
      <c r="O1675">
        <f>IF(Tickets[[#This Row],[Ticket Priority]]="Critical",24,
IF(Tickets[[#This Row],[Ticket Priority]]="High",48,
IF(Tickets[[#This Row],[Ticket Priority]]="Medium",120,168)))</f>
        <v>120</v>
      </c>
      <c r="P1675" t="str">
        <f>IF(Tickets[[#This Row],[Resolution Duration Hours]] &lt;= Tickets[[#This Row],[SLA_Target_Hours]], "Yes", "No")</f>
        <v>Yes</v>
      </c>
    </row>
    <row r="1676" spans="1:16">
      <c r="A1676">
        <v>1675</v>
      </c>
      <c r="B1676" t="s">
        <v>1670</v>
      </c>
      <c r="C1676" t="s">
        <v>3654</v>
      </c>
      <c r="D1676" t="s">
        <v>3982</v>
      </c>
      <c r="E1676" s="1">
        <v>44716</v>
      </c>
      <c r="F1676" t="s">
        <v>3998</v>
      </c>
      <c r="G1676" t="s">
        <v>4014</v>
      </c>
      <c r="H1676" t="s">
        <v>4017</v>
      </c>
      <c r="I1676" t="s">
        <v>4023</v>
      </c>
      <c r="J1676" t="s">
        <v>4025</v>
      </c>
      <c r="K1676" s="2">
        <v>44823</v>
      </c>
      <c r="L1676" s="2">
        <v>44829</v>
      </c>
      <c r="N1676">
        <v>144</v>
      </c>
      <c r="O1676">
        <f>IF(Tickets[[#This Row],[Ticket Priority]]="Critical",24,
IF(Tickets[[#This Row],[Ticket Priority]]="High",48,
IF(Tickets[[#This Row],[Ticket Priority]]="Medium",120,168)))</f>
        <v>120</v>
      </c>
      <c r="P1676" t="str">
        <f>IF(Tickets[[#This Row],[Resolution Duration Hours]] &lt;= Tickets[[#This Row],[SLA_Target_Hours]], "Yes", "No")</f>
        <v>No</v>
      </c>
    </row>
    <row r="1677" spans="1:16" hidden="1">
      <c r="A1677">
        <v>1676</v>
      </c>
      <c r="B1677" t="s">
        <v>1671</v>
      </c>
      <c r="C1677" t="s">
        <v>3655</v>
      </c>
      <c r="D1677" t="s">
        <v>3980</v>
      </c>
      <c r="E1677" s="1">
        <v>44142</v>
      </c>
      <c r="F1677" t="s">
        <v>4001</v>
      </c>
      <c r="G1677" t="s">
        <v>4009</v>
      </c>
      <c r="H1677" t="s">
        <v>4020</v>
      </c>
      <c r="I1677" t="s">
        <v>4021</v>
      </c>
      <c r="J1677" t="s">
        <v>4028</v>
      </c>
      <c r="K1677" s="2">
        <v>44320</v>
      </c>
      <c r="L1677" s="2">
        <v>44322</v>
      </c>
      <c r="N1677">
        <v>48</v>
      </c>
      <c r="O1677">
        <f>IF(Tickets[[#This Row],[Ticket Priority]]="Critical",24,
IF(Tickets[[#This Row],[Ticket Priority]]="High",48,
IF(Tickets[[#This Row],[Ticket Priority]]="Medium",120,168)))</f>
        <v>48</v>
      </c>
      <c r="P1677" t="str">
        <f>IF(Tickets[[#This Row],[Resolution Duration Hours]] &lt;= Tickets[[#This Row],[SLA_Target_Hours]], "Yes", "No")</f>
        <v>Yes</v>
      </c>
    </row>
    <row r="1678" spans="1:16">
      <c r="A1678">
        <v>1734</v>
      </c>
      <c r="B1678" t="s">
        <v>1727</v>
      </c>
      <c r="C1678" t="s">
        <v>3713</v>
      </c>
      <c r="D1678" t="s">
        <v>3980</v>
      </c>
      <c r="E1678" s="1">
        <v>44927</v>
      </c>
      <c r="F1678" t="s">
        <v>4001</v>
      </c>
      <c r="G1678" t="s">
        <v>4007</v>
      </c>
      <c r="H1678" t="s">
        <v>4018</v>
      </c>
      <c r="I1678" t="s">
        <v>4023</v>
      </c>
      <c r="J1678" t="s">
        <v>4028</v>
      </c>
      <c r="K1678" s="2">
        <v>45129</v>
      </c>
      <c r="L1678" s="2">
        <v>45135</v>
      </c>
      <c r="M1678">
        <v>4</v>
      </c>
      <c r="N1678">
        <v>144</v>
      </c>
      <c r="O1678">
        <f>IF(Tickets[[#This Row],[Ticket Priority]]="Critical",24,
IF(Tickets[[#This Row],[Ticket Priority]]="High",48,
IF(Tickets[[#This Row],[Ticket Priority]]="Medium",120,168)))</f>
        <v>120</v>
      </c>
      <c r="P1678" t="str">
        <f>IF(Tickets[[#This Row],[Resolution Duration Hours]] &lt;= Tickets[[#This Row],[SLA_Target_Hours]], "Yes", "No")</f>
        <v>No</v>
      </c>
    </row>
    <row r="1679" spans="1:16">
      <c r="A1679">
        <v>1882</v>
      </c>
      <c r="B1679" t="s">
        <v>1871</v>
      </c>
      <c r="C1679" t="s">
        <v>3861</v>
      </c>
      <c r="D1679" t="s">
        <v>3991</v>
      </c>
      <c r="E1679" s="1">
        <v>45057</v>
      </c>
      <c r="F1679" t="s">
        <v>4002</v>
      </c>
      <c r="G1679" t="s">
        <v>4015</v>
      </c>
      <c r="H1679" t="s">
        <v>4018</v>
      </c>
      <c r="I1679" t="s">
        <v>4023</v>
      </c>
      <c r="J1679" t="s">
        <v>4027</v>
      </c>
      <c r="K1679" s="2">
        <v>45400</v>
      </c>
      <c r="L1679" s="2">
        <v>45406</v>
      </c>
      <c r="N1679">
        <v>144</v>
      </c>
      <c r="O1679">
        <f>IF(Tickets[[#This Row],[Ticket Priority]]="Critical",24,
IF(Tickets[[#This Row],[Ticket Priority]]="High",48,
IF(Tickets[[#This Row],[Ticket Priority]]="Medium",120,168)))</f>
        <v>120</v>
      </c>
      <c r="P1679" t="str">
        <f>IF(Tickets[[#This Row],[Resolution Duration Hours]] &lt;= Tickets[[#This Row],[SLA_Target_Hours]], "Yes", "No")</f>
        <v>No</v>
      </c>
    </row>
    <row r="1680" spans="1:16" hidden="1">
      <c r="A1680">
        <v>1679</v>
      </c>
      <c r="B1680" t="s">
        <v>1674</v>
      </c>
      <c r="C1680" t="s">
        <v>3658</v>
      </c>
      <c r="D1680" t="s">
        <v>3988</v>
      </c>
      <c r="E1680" s="1">
        <v>44714</v>
      </c>
      <c r="F1680" t="s">
        <v>4000</v>
      </c>
      <c r="G1680" t="s">
        <v>4014</v>
      </c>
      <c r="H1680" t="s">
        <v>4018</v>
      </c>
      <c r="I1680" t="s">
        <v>4023</v>
      </c>
      <c r="J1680" t="s">
        <v>4025</v>
      </c>
      <c r="K1680" s="2">
        <v>44773</v>
      </c>
      <c r="L1680" s="2">
        <v>44775</v>
      </c>
      <c r="M1680">
        <v>5</v>
      </c>
      <c r="N1680">
        <v>48</v>
      </c>
      <c r="O1680">
        <f>IF(Tickets[[#This Row],[Ticket Priority]]="Critical",24,
IF(Tickets[[#This Row],[Ticket Priority]]="High",48,
IF(Tickets[[#This Row],[Ticket Priority]]="Medium",120,168)))</f>
        <v>120</v>
      </c>
      <c r="P1680" t="str">
        <f>IF(Tickets[[#This Row],[Resolution Duration Hours]] &lt;= Tickets[[#This Row],[SLA_Target_Hours]], "Yes", "No")</f>
        <v>Yes</v>
      </c>
    </row>
    <row r="1681" spans="1:16" hidden="1">
      <c r="A1681">
        <v>1680</v>
      </c>
      <c r="B1681" t="s">
        <v>1675</v>
      </c>
      <c r="C1681" t="s">
        <v>3659</v>
      </c>
      <c r="D1681" t="s">
        <v>3997</v>
      </c>
      <c r="E1681" s="1">
        <v>44831</v>
      </c>
      <c r="F1681" t="s">
        <v>4000</v>
      </c>
      <c r="G1681" t="s">
        <v>4000</v>
      </c>
      <c r="H1681" t="s">
        <v>4017</v>
      </c>
      <c r="I1681" t="s">
        <v>4021</v>
      </c>
      <c r="J1681" t="s">
        <v>4028</v>
      </c>
      <c r="K1681" s="2">
        <v>45055</v>
      </c>
      <c r="L1681" s="2">
        <v>45057</v>
      </c>
      <c r="N1681">
        <v>48</v>
      </c>
      <c r="O1681">
        <f>IF(Tickets[[#This Row],[Ticket Priority]]="Critical",24,
IF(Tickets[[#This Row],[Ticket Priority]]="High",48,
IF(Tickets[[#This Row],[Ticket Priority]]="Medium",120,168)))</f>
        <v>48</v>
      </c>
      <c r="P1681" t="str">
        <f>IF(Tickets[[#This Row],[Resolution Duration Hours]] &lt;= Tickets[[#This Row],[SLA_Target_Hours]], "Yes", "No")</f>
        <v>Yes</v>
      </c>
    </row>
    <row r="1682" spans="1:16" hidden="1">
      <c r="A1682">
        <v>1681</v>
      </c>
      <c r="B1682" t="s">
        <v>1676</v>
      </c>
      <c r="C1682" t="s">
        <v>3660</v>
      </c>
      <c r="D1682" t="s">
        <v>3983</v>
      </c>
      <c r="E1682" s="1">
        <v>44853</v>
      </c>
      <c r="F1682" t="s">
        <v>4001</v>
      </c>
      <c r="G1682" t="s">
        <v>4014</v>
      </c>
      <c r="H1682" t="s">
        <v>4020</v>
      </c>
      <c r="I1682" t="s">
        <v>4024</v>
      </c>
      <c r="J1682" t="s">
        <v>4025</v>
      </c>
      <c r="K1682" s="2">
        <v>44959</v>
      </c>
      <c r="L1682" s="2">
        <v>44964</v>
      </c>
      <c r="N1682">
        <v>120</v>
      </c>
      <c r="O1682">
        <f>IF(Tickets[[#This Row],[Ticket Priority]]="Critical",24,
IF(Tickets[[#This Row],[Ticket Priority]]="High",48,
IF(Tickets[[#This Row],[Ticket Priority]]="Medium",120,168)))</f>
        <v>168</v>
      </c>
      <c r="P1682" t="str">
        <f>IF(Tickets[[#This Row],[Resolution Duration Hours]] &lt;= Tickets[[#This Row],[SLA_Target_Hours]], "Yes", "No")</f>
        <v>Yes</v>
      </c>
    </row>
    <row r="1683" spans="1:16" hidden="1">
      <c r="A1683">
        <v>1682</v>
      </c>
      <c r="B1683" t="s">
        <v>1677</v>
      </c>
      <c r="C1683" t="s">
        <v>3661</v>
      </c>
      <c r="D1683" t="s">
        <v>3986</v>
      </c>
      <c r="E1683" s="1">
        <v>44053</v>
      </c>
      <c r="F1683" t="s">
        <v>3999</v>
      </c>
      <c r="G1683" t="s">
        <v>4016</v>
      </c>
      <c r="H1683" t="s">
        <v>4018</v>
      </c>
      <c r="I1683" t="s">
        <v>4023</v>
      </c>
      <c r="J1683" t="s">
        <v>4026</v>
      </c>
      <c r="K1683" s="2">
        <v>44143</v>
      </c>
      <c r="L1683" s="2">
        <v>44146</v>
      </c>
      <c r="M1683">
        <v>4</v>
      </c>
      <c r="N1683">
        <v>72</v>
      </c>
      <c r="O1683">
        <f>IF(Tickets[[#This Row],[Ticket Priority]]="Critical",24,
IF(Tickets[[#This Row],[Ticket Priority]]="High",48,
IF(Tickets[[#This Row],[Ticket Priority]]="Medium",120,168)))</f>
        <v>120</v>
      </c>
      <c r="P1683" t="str">
        <f>IF(Tickets[[#This Row],[Resolution Duration Hours]] &lt;= Tickets[[#This Row],[SLA_Target_Hours]], "Yes", "No")</f>
        <v>Yes</v>
      </c>
    </row>
    <row r="1684" spans="1:16" hidden="1">
      <c r="A1684">
        <v>1683</v>
      </c>
      <c r="B1684" t="s">
        <v>1678</v>
      </c>
      <c r="C1684" t="s">
        <v>3662</v>
      </c>
      <c r="D1684" t="s">
        <v>3983</v>
      </c>
      <c r="E1684" s="1">
        <v>44950</v>
      </c>
      <c r="F1684" t="s">
        <v>3999</v>
      </c>
      <c r="G1684" t="s">
        <v>4007</v>
      </c>
      <c r="H1684" t="s">
        <v>4018</v>
      </c>
      <c r="I1684" t="s">
        <v>4023</v>
      </c>
      <c r="J1684" t="s">
        <v>4025</v>
      </c>
      <c r="K1684" s="2">
        <v>45018</v>
      </c>
      <c r="L1684" s="2">
        <v>45022</v>
      </c>
      <c r="M1684">
        <v>4</v>
      </c>
      <c r="N1684">
        <v>96</v>
      </c>
      <c r="O1684">
        <f>IF(Tickets[[#This Row],[Ticket Priority]]="Critical",24,
IF(Tickets[[#This Row],[Ticket Priority]]="High",48,
IF(Tickets[[#This Row],[Ticket Priority]]="Medium",120,168)))</f>
        <v>120</v>
      </c>
      <c r="P1684" t="str">
        <f>IF(Tickets[[#This Row],[Resolution Duration Hours]] &lt;= Tickets[[#This Row],[SLA_Target_Hours]], "Yes", "No")</f>
        <v>Yes</v>
      </c>
    </row>
    <row r="1685" spans="1:16" hidden="1">
      <c r="A1685">
        <v>1684</v>
      </c>
      <c r="B1685" t="s">
        <v>1679</v>
      </c>
      <c r="C1685" t="s">
        <v>3663</v>
      </c>
      <c r="D1685" t="s">
        <v>3988</v>
      </c>
      <c r="E1685" s="1">
        <v>44423</v>
      </c>
      <c r="F1685" t="s">
        <v>3998</v>
      </c>
      <c r="G1685" t="s">
        <v>4011</v>
      </c>
      <c r="H1685" t="s">
        <v>4018</v>
      </c>
      <c r="I1685" t="s">
        <v>4024</v>
      </c>
      <c r="J1685" t="s">
        <v>4025</v>
      </c>
      <c r="K1685" s="2">
        <v>44758</v>
      </c>
      <c r="L1685" s="2">
        <v>44765</v>
      </c>
      <c r="M1685">
        <v>5</v>
      </c>
      <c r="N1685">
        <v>168</v>
      </c>
      <c r="O1685">
        <f>IF(Tickets[[#This Row],[Ticket Priority]]="Critical",24,
IF(Tickets[[#This Row],[Ticket Priority]]="High",48,
IF(Tickets[[#This Row],[Ticket Priority]]="Medium",120,168)))</f>
        <v>168</v>
      </c>
      <c r="P1685" t="str">
        <f>IF(Tickets[[#This Row],[Resolution Duration Hours]] &lt;= Tickets[[#This Row],[SLA_Target_Hours]], "Yes", "No")</f>
        <v>Yes</v>
      </c>
    </row>
    <row r="1686" spans="1:16" hidden="1">
      <c r="A1686">
        <v>1685</v>
      </c>
      <c r="B1686" t="s">
        <v>1680</v>
      </c>
      <c r="C1686" t="s">
        <v>3664</v>
      </c>
      <c r="D1686" t="s">
        <v>3979</v>
      </c>
      <c r="E1686" s="1">
        <v>44706</v>
      </c>
      <c r="F1686" t="s">
        <v>3999</v>
      </c>
      <c r="G1686" t="s">
        <v>4000</v>
      </c>
      <c r="H1686" t="s">
        <v>4018</v>
      </c>
      <c r="I1686" t="s">
        <v>4021</v>
      </c>
      <c r="J1686" t="s">
        <v>4026</v>
      </c>
      <c r="K1686" s="2">
        <v>44824</v>
      </c>
      <c r="L1686" s="2">
        <v>44826</v>
      </c>
      <c r="M1686">
        <v>4</v>
      </c>
      <c r="N1686">
        <v>48</v>
      </c>
      <c r="O1686">
        <f>IF(Tickets[[#This Row],[Ticket Priority]]="Critical",24,
IF(Tickets[[#This Row],[Ticket Priority]]="High",48,
IF(Tickets[[#This Row],[Ticket Priority]]="Medium",120,168)))</f>
        <v>48</v>
      </c>
      <c r="P1686" t="str">
        <f>IF(Tickets[[#This Row],[Resolution Duration Hours]] &lt;= Tickets[[#This Row],[SLA_Target_Hours]], "Yes", "No")</f>
        <v>Yes</v>
      </c>
    </row>
    <row r="1687" spans="1:16" hidden="1">
      <c r="A1687">
        <v>1686</v>
      </c>
      <c r="B1687" t="s">
        <v>1681</v>
      </c>
      <c r="C1687" t="s">
        <v>3665</v>
      </c>
      <c r="D1687" t="s">
        <v>3985</v>
      </c>
      <c r="E1687" s="1">
        <v>44269</v>
      </c>
      <c r="F1687" t="s">
        <v>4000</v>
      </c>
      <c r="G1687" t="s">
        <v>4006</v>
      </c>
      <c r="H1687" t="s">
        <v>4018</v>
      </c>
      <c r="I1687" t="s">
        <v>4023</v>
      </c>
      <c r="J1687" t="s">
        <v>4026</v>
      </c>
      <c r="K1687" s="2">
        <v>44377</v>
      </c>
      <c r="L1687" s="2">
        <v>44382</v>
      </c>
      <c r="M1687">
        <v>3</v>
      </c>
      <c r="N1687">
        <v>120</v>
      </c>
      <c r="O1687">
        <f>IF(Tickets[[#This Row],[Ticket Priority]]="Critical",24,
IF(Tickets[[#This Row],[Ticket Priority]]="High",48,
IF(Tickets[[#This Row],[Ticket Priority]]="Medium",120,168)))</f>
        <v>120</v>
      </c>
      <c r="P1687" t="str">
        <f>IF(Tickets[[#This Row],[Resolution Duration Hours]] &lt;= Tickets[[#This Row],[SLA_Target_Hours]], "Yes", "No")</f>
        <v>Yes</v>
      </c>
    </row>
    <row r="1688" spans="1:16" hidden="1">
      <c r="A1688">
        <v>1687</v>
      </c>
      <c r="B1688" t="s">
        <v>1682</v>
      </c>
      <c r="C1688" t="s">
        <v>3666</v>
      </c>
      <c r="D1688" t="s">
        <v>3979</v>
      </c>
      <c r="E1688" s="1">
        <v>44820</v>
      </c>
      <c r="F1688" t="s">
        <v>4000</v>
      </c>
      <c r="G1688" t="s">
        <v>4015</v>
      </c>
      <c r="H1688" t="s">
        <v>4018</v>
      </c>
      <c r="I1688" t="s">
        <v>4023</v>
      </c>
      <c r="J1688" t="s">
        <v>4028</v>
      </c>
      <c r="K1688" s="2">
        <v>45005</v>
      </c>
      <c r="L1688" s="2">
        <v>45009</v>
      </c>
      <c r="M1688">
        <v>5</v>
      </c>
      <c r="N1688">
        <v>96</v>
      </c>
      <c r="O1688">
        <f>IF(Tickets[[#This Row],[Ticket Priority]]="Critical",24,
IF(Tickets[[#This Row],[Ticket Priority]]="High",48,
IF(Tickets[[#This Row],[Ticket Priority]]="Medium",120,168)))</f>
        <v>120</v>
      </c>
      <c r="P1688" t="str">
        <f>IF(Tickets[[#This Row],[Resolution Duration Hours]] &lt;= Tickets[[#This Row],[SLA_Target_Hours]], "Yes", "No")</f>
        <v>Yes</v>
      </c>
    </row>
    <row r="1689" spans="1:16" hidden="1">
      <c r="A1689">
        <v>1688</v>
      </c>
      <c r="B1689" t="s">
        <v>1683</v>
      </c>
      <c r="C1689" t="s">
        <v>3667</v>
      </c>
      <c r="D1689" t="s">
        <v>3988</v>
      </c>
      <c r="E1689" s="1">
        <v>44230</v>
      </c>
      <c r="F1689" t="s">
        <v>3998</v>
      </c>
      <c r="G1689" t="s">
        <v>4013</v>
      </c>
      <c r="H1689" t="s">
        <v>4017</v>
      </c>
      <c r="I1689" t="s">
        <v>4023</v>
      </c>
      <c r="J1689" t="s">
        <v>4027</v>
      </c>
      <c r="K1689" s="2">
        <v>44450</v>
      </c>
      <c r="L1689" s="2">
        <v>44453</v>
      </c>
      <c r="N1689">
        <v>72</v>
      </c>
      <c r="O1689">
        <f>IF(Tickets[[#This Row],[Ticket Priority]]="Critical",24,
IF(Tickets[[#This Row],[Ticket Priority]]="High",48,
IF(Tickets[[#This Row],[Ticket Priority]]="Medium",120,168)))</f>
        <v>120</v>
      </c>
      <c r="P1689" t="str">
        <f>IF(Tickets[[#This Row],[Resolution Duration Hours]] &lt;= Tickets[[#This Row],[SLA_Target_Hours]], "Yes", "No")</f>
        <v>Yes</v>
      </c>
    </row>
    <row r="1690" spans="1:16" hidden="1">
      <c r="A1690">
        <v>1689</v>
      </c>
      <c r="B1690" t="s">
        <v>1684</v>
      </c>
      <c r="C1690" t="s">
        <v>3668</v>
      </c>
      <c r="D1690" t="s">
        <v>3979</v>
      </c>
      <c r="E1690" s="1">
        <v>44672</v>
      </c>
      <c r="F1690" t="s">
        <v>3999</v>
      </c>
      <c r="G1690" t="s">
        <v>4010</v>
      </c>
      <c r="H1690" t="s">
        <v>4018</v>
      </c>
      <c r="I1690" t="s">
        <v>4024</v>
      </c>
      <c r="J1690" t="s">
        <v>4026</v>
      </c>
      <c r="K1690" s="2">
        <v>44847</v>
      </c>
      <c r="L1690" s="2">
        <v>44851</v>
      </c>
      <c r="M1690">
        <v>3</v>
      </c>
      <c r="N1690">
        <v>96</v>
      </c>
      <c r="O1690">
        <f>IF(Tickets[[#This Row],[Ticket Priority]]="Critical",24,
IF(Tickets[[#This Row],[Ticket Priority]]="High",48,
IF(Tickets[[#This Row],[Ticket Priority]]="Medium",120,168)))</f>
        <v>168</v>
      </c>
      <c r="P1690" t="str">
        <f>IF(Tickets[[#This Row],[Resolution Duration Hours]] &lt;= Tickets[[#This Row],[SLA_Target_Hours]], "Yes", "No")</f>
        <v>Yes</v>
      </c>
    </row>
    <row r="1691" spans="1:16" hidden="1">
      <c r="A1691">
        <v>1690</v>
      </c>
      <c r="B1691" t="s">
        <v>1685</v>
      </c>
      <c r="C1691" t="s">
        <v>3669</v>
      </c>
      <c r="D1691" t="s">
        <v>3979</v>
      </c>
      <c r="E1691" s="1">
        <v>44546</v>
      </c>
      <c r="F1691" t="s">
        <v>3999</v>
      </c>
      <c r="G1691" t="s">
        <v>4000</v>
      </c>
      <c r="H1691" t="s">
        <v>4020</v>
      </c>
      <c r="I1691" t="s">
        <v>4024</v>
      </c>
      <c r="J1691" t="s">
        <v>4028</v>
      </c>
      <c r="K1691" s="2">
        <v>44554</v>
      </c>
      <c r="L1691" s="2">
        <v>44557</v>
      </c>
      <c r="N1691">
        <v>72</v>
      </c>
      <c r="O1691">
        <f>IF(Tickets[[#This Row],[Ticket Priority]]="Critical",24,
IF(Tickets[[#This Row],[Ticket Priority]]="High",48,
IF(Tickets[[#This Row],[Ticket Priority]]="Medium",120,168)))</f>
        <v>168</v>
      </c>
      <c r="P1691" t="str">
        <f>IF(Tickets[[#This Row],[Resolution Duration Hours]] &lt;= Tickets[[#This Row],[SLA_Target_Hours]], "Yes", "No")</f>
        <v>Yes</v>
      </c>
    </row>
    <row r="1692" spans="1:16" hidden="1">
      <c r="A1692">
        <v>1691</v>
      </c>
      <c r="B1692" t="s">
        <v>1686</v>
      </c>
      <c r="C1692" t="s">
        <v>3670</v>
      </c>
      <c r="D1692" t="s">
        <v>3986</v>
      </c>
      <c r="E1692" s="1">
        <v>44654</v>
      </c>
      <c r="F1692" t="s">
        <v>4002</v>
      </c>
      <c r="G1692" t="s">
        <v>4005</v>
      </c>
      <c r="H1692" t="s">
        <v>4018</v>
      </c>
      <c r="I1692" t="s">
        <v>4023</v>
      </c>
      <c r="J1692" t="s">
        <v>4026</v>
      </c>
      <c r="K1692" s="2">
        <v>44972</v>
      </c>
      <c r="L1692" s="2">
        <v>44974</v>
      </c>
      <c r="M1692">
        <v>4</v>
      </c>
      <c r="N1692">
        <v>48</v>
      </c>
      <c r="O1692">
        <f>IF(Tickets[[#This Row],[Ticket Priority]]="Critical",24,
IF(Tickets[[#This Row],[Ticket Priority]]="High",48,
IF(Tickets[[#This Row],[Ticket Priority]]="Medium",120,168)))</f>
        <v>120</v>
      </c>
      <c r="P1692" t="str">
        <f>IF(Tickets[[#This Row],[Resolution Duration Hours]] &lt;= Tickets[[#This Row],[SLA_Target_Hours]], "Yes", "No")</f>
        <v>Yes</v>
      </c>
    </row>
    <row r="1693" spans="1:16" hidden="1">
      <c r="A1693">
        <v>1692</v>
      </c>
      <c r="B1693" t="s">
        <v>1687</v>
      </c>
      <c r="C1693" t="s">
        <v>3671</v>
      </c>
      <c r="D1693" t="s">
        <v>3979</v>
      </c>
      <c r="E1693" s="1">
        <v>44395</v>
      </c>
      <c r="F1693" t="s">
        <v>4001</v>
      </c>
      <c r="G1693" t="s">
        <v>4008</v>
      </c>
      <c r="H1693" t="s">
        <v>4017</v>
      </c>
      <c r="I1693" t="s">
        <v>4023</v>
      </c>
      <c r="J1693" t="s">
        <v>4028</v>
      </c>
      <c r="K1693" s="2">
        <v>44465</v>
      </c>
      <c r="L1693" s="2">
        <v>44466</v>
      </c>
      <c r="N1693">
        <v>24</v>
      </c>
      <c r="O1693">
        <f>IF(Tickets[[#This Row],[Ticket Priority]]="Critical",24,
IF(Tickets[[#This Row],[Ticket Priority]]="High",48,
IF(Tickets[[#This Row],[Ticket Priority]]="Medium",120,168)))</f>
        <v>120</v>
      </c>
      <c r="P1693" t="str">
        <f>IF(Tickets[[#This Row],[Resolution Duration Hours]] &lt;= Tickets[[#This Row],[SLA_Target_Hours]], "Yes", "No")</f>
        <v>Yes</v>
      </c>
    </row>
    <row r="1694" spans="1:16" hidden="1">
      <c r="A1694">
        <v>1693</v>
      </c>
      <c r="B1694" t="s">
        <v>1688</v>
      </c>
      <c r="C1694" t="s">
        <v>3672</v>
      </c>
      <c r="D1694" t="s">
        <v>3997</v>
      </c>
      <c r="E1694" s="1">
        <v>44441</v>
      </c>
      <c r="F1694" t="s">
        <v>4000</v>
      </c>
      <c r="G1694" t="s">
        <v>4012</v>
      </c>
      <c r="H1694" t="s">
        <v>4018</v>
      </c>
      <c r="I1694" t="s">
        <v>4022</v>
      </c>
      <c r="J1694" t="s">
        <v>4026</v>
      </c>
      <c r="K1694" s="2">
        <v>44503</v>
      </c>
      <c r="L1694" s="2">
        <v>44504</v>
      </c>
      <c r="M1694">
        <v>5</v>
      </c>
      <c r="N1694">
        <v>24</v>
      </c>
      <c r="O1694">
        <f>IF(Tickets[[#This Row],[Ticket Priority]]="Critical",24,
IF(Tickets[[#This Row],[Ticket Priority]]="High",48,
IF(Tickets[[#This Row],[Ticket Priority]]="Medium",120,168)))</f>
        <v>24</v>
      </c>
      <c r="P1694" t="str">
        <f>IF(Tickets[[#This Row],[Resolution Duration Hours]] &lt;= Tickets[[#This Row],[SLA_Target_Hours]], "Yes", "No")</f>
        <v>Yes</v>
      </c>
    </row>
    <row r="1695" spans="1:16" hidden="1">
      <c r="A1695">
        <v>1694</v>
      </c>
      <c r="B1695" t="s">
        <v>1689</v>
      </c>
      <c r="C1695" t="s">
        <v>3673</v>
      </c>
      <c r="D1695" t="s">
        <v>3988</v>
      </c>
      <c r="E1695" s="1">
        <v>44140</v>
      </c>
      <c r="F1695" t="s">
        <v>4000</v>
      </c>
      <c r="G1695" t="s">
        <v>4003</v>
      </c>
      <c r="H1695" t="s">
        <v>4020</v>
      </c>
      <c r="I1695" t="s">
        <v>4023</v>
      </c>
      <c r="J1695" t="s">
        <v>4028</v>
      </c>
      <c r="K1695" s="2">
        <v>44390</v>
      </c>
      <c r="L1695" s="2">
        <v>44392</v>
      </c>
      <c r="N1695">
        <v>48</v>
      </c>
      <c r="O1695">
        <f>IF(Tickets[[#This Row],[Ticket Priority]]="Critical",24,
IF(Tickets[[#This Row],[Ticket Priority]]="High",48,
IF(Tickets[[#This Row],[Ticket Priority]]="Medium",120,168)))</f>
        <v>120</v>
      </c>
      <c r="P1695" t="str">
        <f>IF(Tickets[[#This Row],[Resolution Duration Hours]] &lt;= Tickets[[#This Row],[SLA_Target_Hours]], "Yes", "No")</f>
        <v>Yes</v>
      </c>
    </row>
    <row r="1696" spans="1:16">
      <c r="A1696">
        <v>1907</v>
      </c>
      <c r="B1696" t="s">
        <v>1895</v>
      </c>
      <c r="C1696" t="s">
        <v>3886</v>
      </c>
      <c r="D1696" t="s">
        <v>3991</v>
      </c>
      <c r="E1696" s="1">
        <v>43836</v>
      </c>
      <c r="F1696" t="s">
        <v>4001</v>
      </c>
      <c r="G1696" t="s">
        <v>4006</v>
      </c>
      <c r="H1696" t="s">
        <v>4018</v>
      </c>
      <c r="I1696" t="s">
        <v>4023</v>
      </c>
      <c r="J1696" t="s">
        <v>4026</v>
      </c>
      <c r="K1696" s="2">
        <v>44164</v>
      </c>
      <c r="L1696" s="2">
        <v>44170</v>
      </c>
      <c r="M1696">
        <v>5</v>
      </c>
      <c r="N1696">
        <v>144</v>
      </c>
      <c r="O1696">
        <f>IF(Tickets[[#This Row],[Ticket Priority]]="Critical",24,
IF(Tickets[[#This Row],[Ticket Priority]]="High",48,
IF(Tickets[[#This Row],[Ticket Priority]]="Medium",120,168)))</f>
        <v>120</v>
      </c>
      <c r="P1696" t="str">
        <f>IF(Tickets[[#This Row],[Resolution Duration Hours]] &lt;= Tickets[[#This Row],[SLA_Target_Hours]], "Yes", "No")</f>
        <v>No</v>
      </c>
    </row>
    <row r="1697" spans="1:16" hidden="1">
      <c r="A1697">
        <v>1696</v>
      </c>
      <c r="B1697" t="s">
        <v>1691</v>
      </c>
      <c r="C1697" t="s">
        <v>3675</v>
      </c>
      <c r="D1697" t="s">
        <v>3993</v>
      </c>
      <c r="E1697" s="1">
        <v>45025</v>
      </c>
      <c r="F1697" t="s">
        <v>3999</v>
      </c>
      <c r="G1697" t="s">
        <v>4004</v>
      </c>
      <c r="H1697" t="s">
        <v>4017</v>
      </c>
      <c r="I1697" t="s">
        <v>4021</v>
      </c>
      <c r="J1697" t="s">
        <v>4027</v>
      </c>
      <c r="K1697" s="2">
        <v>45052</v>
      </c>
      <c r="L1697" s="2">
        <v>45054</v>
      </c>
      <c r="N1697">
        <v>48</v>
      </c>
      <c r="O1697">
        <f>IF(Tickets[[#This Row],[Ticket Priority]]="Critical",24,
IF(Tickets[[#This Row],[Ticket Priority]]="High",48,
IF(Tickets[[#This Row],[Ticket Priority]]="Medium",120,168)))</f>
        <v>48</v>
      </c>
      <c r="P1697" t="str">
        <f>IF(Tickets[[#This Row],[Resolution Duration Hours]] &lt;= Tickets[[#This Row],[SLA_Target_Hours]], "Yes", "No")</f>
        <v>Yes</v>
      </c>
    </row>
    <row r="1698" spans="1:16" hidden="1">
      <c r="A1698">
        <v>1697</v>
      </c>
      <c r="B1698" t="s">
        <v>1692</v>
      </c>
      <c r="C1698" t="s">
        <v>3676</v>
      </c>
      <c r="D1698" t="s">
        <v>3990</v>
      </c>
      <c r="E1698" s="1">
        <v>44978</v>
      </c>
      <c r="F1698" t="s">
        <v>4002</v>
      </c>
      <c r="G1698" t="s">
        <v>4007</v>
      </c>
      <c r="H1698" t="s">
        <v>4017</v>
      </c>
      <c r="I1698" t="s">
        <v>4024</v>
      </c>
      <c r="J1698" t="s">
        <v>4028</v>
      </c>
      <c r="K1698" s="2">
        <v>45229</v>
      </c>
      <c r="L1698" s="2">
        <v>45234</v>
      </c>
      <c r="N1698">
        <v>120</v>
      </c>
      <c r="O1698">
        <f>IF(Tickets[[#This Row],[Ticket Priority]]="Critical",24,
IF(Tickets[[#This Row],[Ticket Priority]]="High",48,
IF(Tickets[[#This Row],[Ticket Priority]]="Medium",120,168)))</f>
        <v>168</v>
      </c>
      <c r="P1698" t="str">
        <f>IF(Tickets[[#This Row],[Resolution Duration Hours]] &lt;= Tickets[[#This Row],[SLA_Target_Hours]], "Yes", "No")</f>
        <v>Yes</v>
      </c>
    </row>
    <row r="1699" spans="1:16" hidden="1">
      <c r="A1699">
        <v>1698</v>
      </c>
      <c r="B1699" t="s">
        <v>1693</v>
      </c>
      <c r="C1699" t="s">
        <v>3677</v>
      </c>
      <c r="D1699" t="s">
        <v>3991</v>
      </c>
      <c r="E1699" s="1">
        <v>43864</v>
      </c>
      <c r="F1699" t="s">
        <v>3998</v>
      </c>
      <c r="G1699" t="s">
        <v>4010</v>
      </c>
      <c r="H1699" t="s">
        <v>4018</v>
      </c>
      <c r="I1699" t="s">
        <v>4023</v>
      </c>
      <c r="J1699" t="s">
        <v>4026</v>
      </c>
      <c r="K1699" s="2">
        <v>44134</v>
      </c>
      <c r="L1699" s="2">
        <v>44139</v>
      </c>
      <c r="M1699">
        <v>3</v>
      </c>
      <c r="N1699">
        <v>120</v>
      </c>
      <c r="O1699">
        <f>IF(Tickets[[#This Row],[Ticket Priority]]="Critical",24,
IF(Tickets[[#This Row],[Ticket Priority]]="High",48,
IF(Tickets[[#This Row],[Ticket Priority]]="Medium",120,168)))</f>
        <v>120</v>
      </c>
      <c r="P1699" t="str">
        <f>IF(Tickets[[#This Row],[Resolution Duration Hours]] &lt;= Tickets[[#This Row],[SLA_Target_Hours]], "Yes", "No")</f>
        <v>Yes</v>
      </c>
    </row>
    <row r="1700" spans="1:16">
      <c r="A1700">
        <v>1957</v>
      </c>
      <c r="B1700" t="s">
        <v>1941</v>
      </c>
      <c r="C1700" t="s">
        <v>3935</v>
      </c>
      <c r="D1700" t="s">
        <v>3982</v>
      </c>
      <c r="E1700" s="1">
        <v>44695</v>
      </c>
      <c r="F1700" t="s">
        <v>4001</v>
      </c>
      <c r="G1700" t="s">
        <v>4007</v>
      </c>
      <c r="H1700" t="s">
        <v>4017</v>
      </c>
      <c r="I1700" t="s">
        <v>4023</v>
      </c>
      <c r="J1700" t="s">
        <v>4026</v>
      </c>
      <c r="K1700" s="2">
        <v>44971</v>
      </c>
      <c r="L1700" s="2">
        <v>44977</v>
      </c>
      <c r="N1700">
        <v>144</v>
      </c>
      <c r="O1700">
        <f>IF(Tickets[[#This Row],[Ticket Priority]]="Critical",24,
IF(Tickets[[#This Row],[Ticket Priority]]="High",48,
IF(Tickets[[#This Row],[Ticket Priority]]="Medium",120,168)))</f>
        <v>120</v>
      </c>
      <c r="P1700" t="str">
        <f>IF(Tickets[[#This Row],[Resolution Duration Hours]] &lt;= Tickets[[#This Row],[SLA_Target_Hours]], "Yes", "No")</f>
        <v>No</v>
      </c>
    </row>
    <row r="1701" spans="1:16" hidden="1">
      <c r="A1701">
        <v>1700</v>
      </c>
      <c r="B1701" t="s">
        <v>1695</v>
      </c>
      <c r="C1701" t="s">
        <v>3679</v>
      </c>
      <c r="D1701" t="s">
        <v>3988</v>
      </c>
      <c r="E1701" s="1">
        <v>44569</v>
      </c>
      <c r="F1701" t="s">
        <v>3999</v>
      </c>
      <c r="G1701" t="s">
        <v>4000</v>
      </c>
      <c r="H1701" t="s">
        <v>4018</v>
      </c>
      <c r="I1701" t="s">
        <v>4023</v>
      </c>
      <c r="J1701" t="s">
        <v>4026</v>
      </c>
      <c r="K1701" s="2">
        <v>44749</v>
      </c>
      <c r="L1701" s="2">
        <v>44753</v>
      </c>
      <c r="M1701">
        <v>3</v>
      </c>
      <c r="N1701">
        <v>96</v>
      </c>
      <c r="O1701">
        <f>IF(Tickets[[#This Row],[Ticket Priority]]="Critical",24,
IF(Tickets[[#This Row],[Ticket Priority]]="High",48,
IF(Tickets[[#This Row],[Ticket Priority]]="Medium",120,168)))</f>
        <v>120</v>
      </c>
      <c r="P1701" t="str">
        <f>IF(Tickets[[#This Row],[Resolution Duration Hours]] &lt;= Tickets[[#This Row],[SLA_Target_Hours]], "Yes", "No")</f>
        <v>Yes</v>
      </c>
    </row>
    <row r="1702" spans="1:16" hidden="1">
      <c r="A1702">
        <v>1701</v>
      </c>
      <c r="B1702" t="s">
        <v>1696</v>
      </c>
      <c r="C1702" t="s">
        <v>3680</v>
      </c>
      <c r="D1702" t="s">
        <v>3979</v>
      </c>
      <c r="E1702" s="1">
        <v>44014</v>
      </c>
      <c r="F1702" t="s">
        <v>4000</v>
      </c>
      <c r="G1702" t="s">
        <v>4009</v>
      </c>
      <c r="H1702" t="s">
        <v>4017</v>
      </c>
      <c r="I1702" t="s">
        <v>4023</v>
      </c>
      <c r="J1702" t="s">
        <v>4026</v>
      </c>
      <c r="K1702" s="2">
        <v>44174</v>
      </c>
      <c r="L1702" s="2">
        <v>44176</v>
      </c>
      <c r="N1702">
        <v>48</v>
      </c>
      <c r="O1702">
        <f>IF(Tickets[[#This Row],[Ticket Priority]]="Critical",24,
IF(Tickets[[#This Row],[Ticket Priority]]="High",48,
IF(Tickets[[#This Row],[Ticket Priority]]="Medium",120,168)))</f>
        <v>120</v>
      </c>
      <c r="P1702" t="str">
        <f>IF(Tickets[[#This Row],[Resolution Duration Hours]] &lt;= Tickets[[#This Row],[SLA_Target_Hours]], "Yes", "No")</f>
        <v>Yes</v>
      </c>
    </row>
    <row r="1703" spans="1:16">
      <c r="A1703">
        <v>1970</v>
      </c>
      <c r="B1703" t="s">
        <v>1954</v>
      </c>
      <c r="C1703" t="s">
        <v>3948</v>
      </c>
      <c r="D1703" t="s">
        <v>3982</v>
      </c>
      <c r="E1703" s="1">
        <v>44149</v>
      </c>
      <c r="F1703" t="s">
        <v>3999</v>
      </c>
      <c r="G1703" t="s">
        <v>4006</v>
      </c>
      <c r="H1703" t="s">
        <v>4017</v>
      </c>
      <c r="I1703" t="s">
        <v>4023</v>
      </c>
      <c r="J1703" t="s">
        <v>4026</v>
      </c>
      <c r="K1703" s="2">
        <v>44324</v>
      </c>
      <c r="L1703" s="2">
        <v>44330</v>
      </c>
      <c r="N1703">
        <v>144</v>
      </c>
      <c r="O1703">
        <f>IF(Tickets[[#This Row],[Ticket Priority]]="Critical",24,
IF(Tickets[[#This Row],[Ticket Priority]]="High",48,
IF(Tickets[[#This Row],[Ticket Priority]]="Medium",120,168)))</f>
        <v>120</v>
      </c>
      <c r="P1703" t="str">
        <f>IF(Tickets[[#This Row],[Resolution Duration Hours]] &lt;= Tickets[[#This Row],[SLA_Target_Hours]], "Yes", "No")</f>
        <v>No</v>
      </c>
    </row>
    <row r="1704" spans="1:16" hidden="1">
      <c r="A1704">
        <v>1703</v>
      </c>
      <c r="B1704" t="s">
        <v>1698</v>
      </c>
      <c r="C1704" t="s">
        <v>3682</v>
      </c>
      <c r="D1704" t="s">
        <v>3980</v>
      </c>
      <c r="E1704" s="1">
        <v>44422</v>
      </c>
      <c r="F1704" t="s">
        <v>4001</v>
      </c>
      <c r="G1704" t="s">
        <v>4007</v>
      </c>
      <c r="H1704" t="s">
        <v>4017</v>
      </c>
      <c r="I1704" t="s">
        <v>4023</v>
      </c>
      <c r="J1704" t="s">
        <v>4026</v>
      </c>
      <c r="K1704" s="2">
        <v>44780</v>
      </c>
      <c r="L1704" s="2">
        <v>44784</v>
      </c>
      <c r="N1704">
        <v>96</v>
      </c>
      <c r="O1704">
        <f>IF(Tickets[[#This Row],[Ticket Priority]]="Critical",24,
IF(Tickets[[#This Row],[Ticket Priority]]="High",48,
IF(Tickets[[#This Row],[Ticket Priority]]="Medium",120,168)))</f>
        <v>120</v>
      </c>
      <c r="P1704" t="str">
        <f>IF(Tickets[[#This Row],[Resolution Duration Hours]] &lt;= Tickets[[#This Row],[SLA_Target_Hours]], "Yes", "No")</f>
        <v>Yes</v>
      </c>
    </row>
    <row r="1705" spans="1:16" hidden="1">
      <c r="A1705">
        <v>1704</v>
      </c>
      <c r="B1705" t="s">
        <v>1699</v>
      </c>
      <c r="C1705" t="s">
        <v>3683</v>
      </c>
      <c r="D1705" t="s">
        <v>3982</v>
      </c>
      <c r="E1705" s="1">
        <v>44525</v>
      </c>
      <c r="F1705" t="s">
        <v>4000</v>
      </c>
      <c r="G1705" t="s">
        <v>4006</v>
      </c>
      <c r="H1705" t="s">
        <v>4018</v>
      </c>
      <c r="I1705" t="s">
        <v>4023</v>
      </c>
      <c r="J1705" t="s">
        <v>4028</v>
      </c>
      <c r="K1705" s="2">
        <v>44546</v>
      </c>
      <c r="L1705" s="2">
        <v>44547</v>
      </c>
      <c r="N1705">
        <v>24</v>
      </c>
      <c r="O1705">
        <f>IF(Tickets[[#This Row],[Ticket Priority]]="Critical",24,
IF(Tickets[[#This Row],[Ticket Priority]]="High",48,
IF(Tickets[[#This Row],[Ticket Priority]]="Medium",120,168)))</f>
        <v>120</v>
      </c>
      <c r="P1705" t="str">
        <f>IF(Tickets[[#This Row],[Resolution Duration Hours]] &lt;= Tickets[[#This Row],[SLA_Target_Hours]], "Yes", "No")</f>
        <v>Yes</v>
      </c>
    </row>
    <row r="1706" spans="1:16" hidden="1">
      <c r="A1706">
        <v>1705</v>
      </c>
      <c r="B1706" t="s">
        <v>1700</v>
      </c>
      <c r="C1706" t="s">
        <v>3684</v>
      </c>
      <c r="D1706" t="s">
        <v>3997</v>
      </c>
      <c r="E1706" s="1">
        <v>44106</v>
      </c>
      <c r="F1706" t="s">
        <v>4000</v>
      </c>
      <c r="G1706" t="s">
        <v>4009</v>
      </c>
      <c r="H1706" t="s">
        <v>4018</v>
      </c>
      <c r="I1706" t="s">
        <v>4023</v>
      </c>
      <c r="J1706" t="s">
        <v>4025</v>
      </c>
      <c r="K1706" s="2">
        <v>44358</v>
      </c>
      <c r="L1706" s="2">
        <v>44363</v>
      </c>
      <c r="M1706">
        <v>3</v>
      </c>
      <c r="N1706">
        <v>120</v>
      </c>
      <c r="O1706">
        <f>IF(Tickets[[#This Row],[Ticket Priority]]="Critical",24,
IF(Tickets[[#This Row],[Ticket Priority]]="High",48,
IF(Tickets[[#This Row],[Ticket Priority]]="Medium",120,168)))</f>
        <v>120</v>
      </c>
      <c r="P1706" t="str">
        <f>IF(Tickets[[#This Row],[Resolution Duration Hours]] &lt;= Tickets[[#This Row],[SLA_Target_Hours]], "Yes", "No")</f>
        <v>Yes</v>
      </c>
    </row>
    <row r="1707" spans="1:16" hidden="1">
      <c r="A1707">
        <v>1706</v>
      </c>
      <c r="B1707" t="s">
        <v>1701</v>
      </c>
      <c r="C1707" t="s">
        <v>3685</v>
      </c>
      <c r="D1707" t="s">
        <v>3986</v>
      </c>
      <c r="E1707" s="1">
        <v>44137</v>
      </c>
      <c r="F1707" t="s">
        <v>4000</v>
      </c>
      <c r="G1707" t="s">
        <v>4009</v>
      </c>
      <c r="H1707" t="s">
        <v>4018</v>
      </c>
      <c r="I1707" t="s">
        <v>4023</v>
      </c>
      <c r="J1707" t="s">
        <v>4026</v>
      </c>
      <c r="K1707" s="2">
        <v>44189</v>
      </c>
      <c r="L1707" s="2">
        <v>44193</v>
      </c>
      <c r="M1707">
        <v>5</v>
      </c>
      <c r="N1707">
        <v>96</v>
      </c>
      <c r="O1707">
        <f>IF(Tickets[[#This Row],[Ticket Priority]]="Critical",24,
IF(Tickets[[#This Row],[Ticket Priority]]="High",48,
IF(Tickets[[#This Row],[Ticket Priority]]="Medium",120,168)))</f>
        <v>120</v>
      </c>
      <c r="P1707" t="str">
        <f>IF(Tickets[[#This Row],[Resolution Duration Hours]] &lt;= Tickets[[#This Row],[SLA_Target_Hours]], "Yes", "No")</f>
        <v>Yes</v>
      </c>
    </row>
    <row r="1708" spans="1:16" hidden="1">
      <c r="A1708">
        <v>1707</v>
      </c>
      <c r="B1708" t="s">
        <v>1702</v>
      </c>
      <c r="C1708" t="s">
        <v>3686</v>
      </c>
      <c r="D1708" t="s">
        <v>3993</v>
      </c>
      <c r="E1708" s="1">
        <v>43855</v>
      </c>
      <c r="F1708" t="s">
        <v>3999</v>
      </c>
      <c r="G1708" t="s">
        <v>4009</v>
      </c>
      <c r="H1708" t="s">
        <v>4018</v>
      </c>
      <c r="I1708" t="s">
        <v>4023</v>
      </c>
      <c r="J1708" t="s">
        <v>4028</v>
      </c>
      <c r="K1708" s="2">
        <v>43944</v>
      </c>
      <c r="L1708" s="2">
        <v>43946</v>
      </c>
      <c r="M1708">
        <v>4</v>
      </c>
      <c r="N1708">
        <v>48</v>
      </c>
      <c r="O1708">
        <f>IF(Tickets[[#This Row],[Ticket Priority]]="Critical",24,
IF(Tickets[[#This Row],[Ticket Priority]]="High",48,
IF(Tickets[[#This Row],[Ticket Priority]]="Medium",120,168)))</f>
        <v>120</v>
      </c>
      <c r="P1708" t="str">
        <f>IF(Tickets[[#This Row],[Resolution Duration Hours]] &lt;= Tickets[[#This Row],[SLA_Target_Hours]], "Yes", "No")</f>
        <v>Yes</v>
      </c>
    </row>
    <row r="1709" spans="1:16" hidden="1">
      <c r="A1709">
        <v>1708</v>
      </c>
      <c r="B1709" t="s">
        <v>1703</v>
      </c>
      <c r="C1709" t="s">
        <v>3687</v>
      </c>
      <c r="D1709" t="s">
        <v>3979</v>
      </c>
      <c r="E1709" s="1">
        <v>44639</v>
      </c>
      <c r="F1709" t="s">
        <v>4002</v>
      </c>
      <c r="G1709" t="s">
        <v>4010</v>
      </c>
      <c r="H1709" t="s">
        <v>4018</v>
      </c>
      <c r="I1709" t="s">
        <v>4022</v>
      </c>
      <c r="J1709" t="s">
        <v>4026</v>
      </c>
      <c r="K1709" s="2">
        <v>44951</v>
      </c>
      <c r="L1709" s="2">
        <v>44952</v>
      </c>
      <c r="M1709">
        <v>4</v>
      </c>
      <c r="N1709">
        <v>24</v>
      </c>
      <c r="O1709">
        <f>IF(Tickets[[#This Row],[Ticket Priority]]="Critical",24,
IF(Tickets[[#This Row],[Ticket Priority]]="High",48,
IF(Tickets[[#This Row],[Ticket Priority]]="Medium",120,168)))</f>
        <v>24</v>
      </c>
      <c r="P1709" t="str">
        <f>IF(Tickets[[#This Row],[Resolution Duration Hours]] &lt;= Tickets[[#This Row],[SLA_Target_Hours]], "Yes", "No")</f>
        <v>Yes</v>
      </c>
    </row>
    <row r="1710" spans="1:16" hidden="1">
      <c r="A1710">
        <v>1709</v>
      </c>
      <c r="B1710" t="s">
        <v>1704</v>
      </c>
      <c r="C1710" t="s">
        <v>3688</v>
      </c>
      <c r="D1710" t="s">
        <v>3994</v>
      </c>
      <c r="E1710" s="1">
        <v>44239</v>
      </c>
      <c r="F1710" t="s">
        <v>4002</v>
      </c>
      <c r="G1710" t="s">
        <v>4013</v>
      </c>
      <c r="H1710" t="s">
        <v>4017</v>
      </c>
      <c r="I1710" t="s">
        <v>4024</v>
      </c>
      <c r="J1710" t="s">
        <v>4026</v>
      </c>
      <c r="K1710" s="2">
        <v>44502</v>
      </c>
      <c r="L1710" s="2">
        <v>44506</v>
      </c>
      <c r="N1710">
        <v>96</v>
      </c>
      <c r="O1710">
        <f>IF(Tickets[[#This Row],[Ticket Priority]]="Critical",24,
IF(Tickets[[#This Row],[Ticket Priority]]="High",48,
IF(Tickets[[#This Row],[Ticket Priority]]="Medium",120,168)))</f>
        <v>168</v>
      </c>
      <c r="P1710" t="str">
        <f>IF(Tickets[[#This Row],[Resolution Duration Hours]] &lt;= Tickets[[#This Row],[SLA_Target_Hours]], "Yes", "No")</f>
        <v>Yes</v>
      </c>
    </row>
    <row r="1711" spans="1:16" hidden="1">
      <c r="A1711">
        <v>1710</v>
      </c>
      <c r="B1711" t="s">
        <v>1705</v>
      </c>
      <c r="C1711" t="s">
        <v>3689</v>
      </c>
      <c r="D1711" t="s">
        <v>3987</v>
      </c>
      <c r="E1711" s="1">
        <v>43879</v>
      </c>
      <c r="F1711" t="s">
        <v>4001</v>
      </c>
      <c r="G1711" t="s">
        <v>4005</v>
      </c>
      <c r="H1711" t="s">
        <v>4019</v>
      </c>
      <c r="I1711" t="s">
        <v>4023</v>
      </c>
      <c r="J1711" t="s">
        <v>4027</v>
      </c>
      <c r="K1711" s="2">
        <v>44201</v>
      </c>
      <c r="L1711" s="2">
        <v>44201</v>
      </c>
      <c r="M1711">
        <v>4</v>
      </c>
      <c r="N1711">
        <v>0</v>
      </c>
      <c r="O1711">
        <f>IF(Tickets[[#This Row],[Ticket Priority]]="Critical",24,
IF(Tickets[[#This Row],[Ticket Priority]]="High",48,
IF(Tickets[[#This Row],[Ticket Priority]]="Medium",120,168)))</f>
        <v>120</v>
      </c>
      <c r="P1711" t="str">
        <f>IF(Tickets[[#This Row],[Resolution Duration Hours]] &lt;= Tickets[[#This Row],[SLA_Target_Hours]], "Yes", "No")</f>
        <v>Yes</v>
      </c>
    </row>
    <row r="1712" spans="1:16" hidden="1">
      <c r="A1712">
        <v>1711</v>
      </c>
      <c r="B1712" t="s">
        <v>1706</v>
      </c>
      <c r="C1712" t="s">
        <v>3690</v>
      </c>
      <c r="D1712" t="s">
        <v>3980</v>
      </c>
      <c r="E1712" s="1">
        <v>44421</v>
      </c>
      <c r="F1712" t="s">
        <v>4000</v>
      </c>
      <c r="G1712" t="s">
        <v>4010</v>
      </c>
      <c r="H1712" t="s">
        <v>4018</v>
      </c>
      <c r="I1712" t="s">
        <v>4024</v>
      </c>
      <c r="J1712" t="s">
        <v>4026</v>
      </c>
      <c r="K1712" s="2">
        <v>44683</v>
      </c>
      <c r="L1712" s="2">
        <v>44685</v>
      </c>
      <c r="M1712">
        <v>4</v>
      </c>
      <c r="N1712">
        <v>48</v>
      </c>
      <c r="O1712">
        <f>IF(Tickets[[#This Row],[Ticket Priority]]="Critical",24,
IF(Tickets[[#This Row],[Ticket Priority]]="High",48,
IF(Tickets[[#This Row],[Ticket Priority]]="Medium",120,168)))</f>
        <v>168</v>
      </c>
      <c r="P1712" t="str">
        <f>IF(Tickets[[#This Row],[Resolution Duration Hours]] &lt;= Tickets[[#This Row],[SLA_Target_Hours]], "Yes", "No")</f>
        <v>Yes</v>
      </c>
    </row>
    <row r="1713" spans="1:16" hidden="1">
      <c r="A1713">
        <v>1712</v>
      </c>
      <c r="B1713" t="s">
        <v>1707</v>
      </c>
      <c r="C1713" t="s">
        <v>3691</v>
      </c>
      <c r="D1713" t="s">
        <v>3991</v>
      </c>
      <c r="E1713" s="1">
        <v>45049</v>
      </c>
      <c r="F1713" t="s">
        <v>3998</v>
      </c>
      <c r="G1713" t="s">
        <v>4006</v>
      </c>
      <c r="H1713" t="s">
        <v>4020</v>
      </c>
      <c r="I1713" t="s">
        <v>4024</v>
      </c>
      <c r="J1713" t="s">
        <v>4027</v>
      </c>
      <c r="K1713" s="2">
        <v>45306</v>
      </c>
      <c r="L1713" s="2">
        <v>45312</v>
      </c>
      <c r="N1713">
        <v>144</v>
      </c>
      <c r="O1713">
        <f>IF(Tickets[[#This Row],[Ticket Priority]]="Critical",24,
IF(Tickets[[#This Row],[Ticket Priority]]="High",48,
IF(Tickets[[#This Row],[Ticket Priority]]="Medium",120,168)))</f>
        <v>168</v>
      </c>
      <c r="P1713" t="str">
        <f>IF(Tickets[[#This Row],[Resolution Duration Hours]] &lt;= Tickets[[#This Row],[SLA_Target_Hours]], "Yes", "No")</f>
        <v>Yes</v>
      </c>
    </row>
    <row r="1714" spans="1:16" hidden="1">
      <c r="A1714">
        <v>1713</v>
      </c>
      <c r="B1714" t="s">
        <v>1708</v>
      </c>
      <c r="C1714" t="s">
        <v>3692</v>
      </c>
      <c r="D1714" t="s">
        <v>3996</v>
      </c>
      <c r="E1714" s="1">
        <v>44268</v>
      </c>
      <c r="F1714" t="s">
        <v>3998</v>
      </c>
      <c r="G1714" t="s">
        <v>4015</v>
      </c>
      <c r="H1714" t="s">
        <v>4020</v>
      </c>
      <c r="I1714" t="s">
        <v>4021</v>
      </c>
      <c r="J1714" t="s">
        <v>4026</v>
      </c>
      <c r="K1714" s="2">
        <v>44401</v>
      </c>
      <c r="L1714" s="2">
        <v>44403</v>
      </c>
      <c r="N1714">
        <v>48</v>
      </c>
      <c r="O1714">
        <f>IF(Tickets[[#This Row],[Ticket Priority]]="Critical",24,
IF(Tickets[[#This Row],[Ticket Priority]]="High",48,
IF(Tickets[[#This Row],[Ticket Priority]]="Medium",120,168)))</f>
        <v>48</v>
      </c>
      <c r="P1714" t="str">
        <f>IF(Tickets[[#This Row],[Resolution Duration Hours]] &lt;= Tickets[[#This Row],[SLA_Target_Hours]], "Yes", "No")</f>
        <v>Yes</v>
      </c>
    </row>
    <row r="1715" spans="1:16" hidden="1">
      <c r="A1715">
        <v>1714</v>
      </c>
      <c r="B1715" t="s">
        <v>1709</v>
      </c>
      <c r="C1715" t="s">
        <v>3693</v>
      </c>
      <c r="D1715" t="s">
        <v>3993</v>
      </c>
      <c r="E1715" s="1">
        <v>44007</v>
      </c>
      <c r="F1715" t="s">
        <v>4001</v>
      </c>
      <c r="G1715" t="s">
        <v>4012</v>
      </c>
      <c r="H1715" t="s">
        <v>4018</v>
      </c>
      <c r="I1715" t="s">
        <v>4024</v>
      </c>
      <c r="J1715" t="s">
        <v>4026</v>
      </c>
      <c r="K1715" s="2">
        <v>44300</v>
      </c>
      <c r="L1715" s="2">
        <v>44306</v>
      </c>
      <c r="M1715">
        <v>4</v>
      </c>
      <c r="N1715">
        <v>144</v>
      </c>
      <c r="O1715">
        <f>IF(Tickets[[#This Row],[Ticket Priority]]="Critical",24,
IF(Tickets[[#This Row],[Ticket Priority]]="High",48,
IF(Tickets[[#This Row],[Ticket Priority]]="Medium",120,168)))</f>
        <v>168</v>
      </c>
      <c r="P1715" t="str">
        <f>IF(Tickets[[#This Row],[Resolution Duration Hours]] &lt;= Tickets[[#This Row],[SLA_Target_Hours]], "Yes", "No")</f>
        <v>Yes</v>
      </c>
    </row>
    <row r="1716" spans="1:16">
      <c r="A1716">
        <v>1972</v>
      </c>
      <c r="B1716" t="s">
        <v>1956</v>
      </c>
      <c r="C1716" t="s">
        <v>3950</v>
      </c>
      <c r="D1716" t="s">
        <v>3988</v>
      </c>
      <c r="E1716" s="1">
        <v>43882</v>
      </c>
      <c r="F1716" t="s">
        <v>4000</v>
      </c>
      <c r="G1716" t="s">
        <v>4012</v>
      </c>
      <c r="H1716" t="s">
        <v>4017</v>
      </c>
      <c r="I1716" t="s">
        <v>4023</v>
      </c>
      <c r="J1716" t="s">
        <v>4025</v>
      </c>
      <c r="K1716" s="2">
        <v>44106</v>
      </c>
      <c r="L1716" s="2">
        <v>44112</v>
      </c>
      <c r="N1716">
        <v>144</v>
      </c>
      <c r="O1716">
        <f>IF(Tickets[[#This Row],[Ticket Priority]]="Critical",24,
IF(Tickets[[#This Row],[Ticket Priority]]="High",48,
IF(Tickets[[#This Row],[Ticket Priority]]="Medium",120,168)))</f>
        <v>120</v>
      </c>
      <c r="P1716" t="str">
        <f>IF(Tickets[[#This Row],[Resolution Duration Hours]] &lt;= Tickets[[#This Row],[SLA_Target_Hours]], "Yes", "No")</f>
        <v>No</v>
      </c>
    </row>
    <row r="1717" spans="1:16" hidden="1">
      <c r="A1717">
        <v>1716</v>
      </c>
      <c r="B1717" t="s">
        <v>1711</v>
      </c>
      <c r="C1717" t="s">
        <v>3695</v>
      </c>
      <c r="D1717" t="s">
        <v>3988</v>
      </c>
      <c r="E1717" s="1">
        <v>44790</v>
      </c>
      <c r="F1717" t="s">
        <v>3998</v>
      </c>
      <c r="G1717" t="s">
        <v>4006</v>
      </c>
      <c r="H1717" t="s">
        <v>4018</v>
      </c>
      <c r="I1717" t="s">
        <v>4023</v>
      </c>
      <c r="J1717" t="s">
        <v>4028</v>
      </c>
      <c r="K1717" s="2">
        <v>44870</v>
      </c>
      <c r="L1717" s="2">
        <v>44874</v>
      </c>
      <c r="M1717">
        <v>4</v>
      </c>
      <c r="N1717">
        <v>96</v>
      </c>
      <c r="O1717">
        <f>IF(Tickets[[#This Row],[Ticket Priority]]="Critical",24,
IF(Tickets[[#This Row],[Ticket Priority]]="High",48,
IF(Tickets[[#This Row],[Ticket Priority]]="Medium",120,168)))</f>
        <v>120</v>
      </c>
      <c r="P1717" t="str">
        <f>IF(Tickets[[#This Row],[Resolution Duration Hours]] &lt;= Tickets[[#This Row],[SLA_Target_Hours]], "Yes", "No")</f>
        <v>Yes</v>
      </c>
    </row>
    <row r="1718" spans="1:16" hidden="1">
      <c r="A1718">
        <v>1717</v>
      </c>
      <c r="B1718" t="s">
        <v>1468</v>
      </c>
      <c r="C1718" t="s">
        <v>3696</v>
      </c>
      <c r="D1718" t="s">
        <v>3984</v>
      </c>
      <c r="E1718" s="1">
        <v>43995</v>
      </c>
      <c r="F1718" t="s">
        <v>3998</v>
      </c>
      <c r="G1718" t="s">
        <v>4007</v>
      </c>
      <c r="H1718" t="s">
        <v>4018</v>
      </c>
      <c r="I1718" t="s">
        <v>4024</v>
      </c>
      <c r="J1718" t="s">
        <v>4026</v>
      </c>
      <c r="K1718" s="2">
        <v>44195</v>
      </c>
      <c r="L1718" s="2">
        <v>44197</v>
      </c>
      <c r="M1718">
        <v>5</v>
      </c>
      <c r="N1718">
        <v>48</v>
      </c>
      <c r="O1718">
        <f>IF(Tickets[[#This Row],[Ticket Priority]]="Critical",24,
IF(Tickets[[#This Row],[Ticket Priority]]="High",48,
IF(Tickets[[#This Row],[Ticket Priority]]="Medium",120,168)))</f>
        <v>168</v>
      </c>
      <c r="P1718" t="str">
        <f>IF(Tickets[[#This Row],[Resolution Duration Hours]] &lt;= Tickets[[#This Row],[SLA_Target_Hours]], "Yes", "No")</f>
        <v>Yes</v>
      </c>
    </row>
    <row r="1719" spans="1:16" hidden="1">
      <c r="A1719">
        <v>1718</v>
      </c>
      <c r="B1719" t="s">
        <v>1712</v>
      </c>
      <c r="C1719" t="s">
        <v>3697</v>
      </c>
      <c r="D1719" t="s">
        <v>3979</v>
      </c>
      <c r="E1719" s="1">
        <v>43836</v>
      </c>
      <c r="F1719" t="s">
        <v>4000</v>
      </c>
      <c r="G1719" t="s">
        <v>4006</v>
      </c>
      <c r="H1719" t="s">
        <v>4017</v>
      </c>
      <c r="I1719" t="s">
        <v>4021</v>
      </c>
      <c r="J1719" t="s">
        <v>4026</v>
      </c>
      <c r="K1719" s="2">
        <v>43968</v>
      </c>
      <c r="L1719" s="2">
        <v>43970</v>
      </c>
      <c r="N1719">
        <v>48</v>
      </c>
      <c r="O1719">
        <f>IF(Tickets[[#This Row],[Ticket Priority]]="Critical",24,
IF(Tickets[[#This Row],[Ticket Priority]]="High",48,
IF(Tickets[[#This Row],[Ticket Priority]]="Medium",120,168)))</f>
        <v>48</v>
      </c>
      <c r="P1719" t="str">
        <f>IF(Tickets[[#This Row],[Resolution Duration Hours]] &lt;= Tickets[[#This Row],[SLA_Target_Hours]], "Yes", "No")</f>
        <v>Yes</v>
      </c>
    </row>
    <row r="1720" spans="1:16" hidden="1">
      <c r="A1720">
        <v>1719</v>
      </c>
      <c r="B1720" t="s">
        <v>1713</v>
      </c>
      <c r="C1720" t="s">
        <v>3698</v>
      </c>
      <c r="D1720" t="s">
        <v>3991</v>
      </c>
      <c r="E1720" s="1">
        <v>44570</v>
      </c>
      <c r="F1720" t="s">
        <v>4000</v>
      </c>
      <c r="G1720" t="s">
        <v>4007</v>
      </c>
      <c r="H1720" t="s">
        <v>4018</v>
      </c>
      <c r="I1720" t="s">
        <v>4023</v>
      </c>
      <c r="J1720" t="s">
        <v>4026</v>
      </c>
      <c r="K1720" s="2">
        <v>44898</v>
      </c>
      <c r="L1720" s="2">
        <v>44900</v>
      </c>
      <c r="M1720">
        <v>4</v>
      </c>
      <c r="N1720">
        <v>48</v>
      </c>
      <c r="O1720">
        <f>IF(Tickets[[#This Row],[Ticket Priority]]="Critical",24,
IF(Tickets[[#This Row],[Ticket Priority]]="High",48,
IF(Tickets[[#This Row],[Ticket Priority]]="Medium",120,168)))</f>
        <v>120</v>
      </c>
      <c r="P1720" t="str">
        <f>IF(Tickets[[#This Row],[Resolution Duration Hours]] &lt;= Tickets[[#This Row],[SLA_Target_Hours]], "Yes", "No")</f>
        <v>Yes</v>
      </c>
    </row>
    <row r="1721" spans="1:16" hidden="1">
      <c r="A1721">
        <v>1720</v>
      </c>
      <c r="B1721" t="s">
        <v>1714</v>
      </c>
      <c r="C1721" t="s">
        <v>3699</v>
      </c>
      <c r="D1721" t="s">
        <v>3984</v>
      </c>
      <c r="E1721" s="1">
        <v>43926</v>
      </c>
      <c r="F1721" t="s">
        <v>3998</v>
      </c>
      <c r="G1721" t="s">
        <v>4006</v>
      </c>
      <c r="H1721" t="s">
        <v>4018</v>
      </c>
      <c r="I1721" t="s">
        <v>4024</v>
      </c>
      <c r="J1721" t="s">
        <v>4026</v>
      </c>
      <c r="K1721" s="2">
        <v>44223</v>
      </c>
      <c r="L1721" s="2">
        <v>44229</v>
      </c>
      <c r="M1721">
        <v>4</v>
      </c>
      <c r="N1721">
        <v>144</v>
      </c>
      <c r="O1721">
        <f>IF(Tickets[[#This Row],[Ticket Priority]]="Critical",24,
IF(Tickets[[#This Row],[Ticket Priority]]="High",48,
IF(Tickets[[#This Row],[Ticket Priority]]="Medium",120,168)))</f>
        <v>168</v>
      </c>
      <c r="P1721" t="str">
        <f>IF(Tickets[[#This Row],[Resolution Duration Hours]] &lt;= Tickets[[#This Row],[SLA_Target_Hours]], "Yes", "No")</f>
        <v>Yes</v>
      </c>
    </row>
    <row r="1722" spans="1:16" hidden="1">
      <c r="A1722">
        <v>1721</v>
      </c>
      <c r="B1722" t="s">
        <v>1715</v>
      </c>
      <c r="C1722" t="s">
        <v>3700</v>
      </c>
      <c r="D1722" t="s">
        <v>3986</v>
      </c>
      <c r="E1722" s="1">
        <v>44125</v>
      </c>
      <c r="F1722" t="s">
        <v>3998</v>
      </c>
      <c r="G1722" t="s">
        <v>4012</v>
      </c>
      <c r="H1722" t="s">
        <v>4018</v>
      </c>
      <c r="I1722" t="s">
        <v>4023</v>
      </c>
      <c r="J1722" t="s">
        <v>4026</v>
      </c>
      <c r="K1722" s="2">
        <v>44437</v>
      </c>
      <c r="L1722" s="2">
        <v>44441</v>
      </c>
      <c r="M1722">
        <v>5</v>
      </c>
      <c r="N1722">
        <v>96</v>
      </c>
      <c r="O1722">
        <f>IF(Tickets[[#This Row],[Ticket Priority]]="Critical",24,
IF(Tickets[[#This Row],[Ticket Priority]]="High",48,
IF(Tickets[[#This Row],[Ticket Priority]]="Medium",120,168)))</f>
        <v>120</v>
      </c>
      <c r="P1722" t="str">
        <f>IF(Tickets[[#This Row],[Resolution Duration Hours]] &lt;= Tickets[[#This Row],[SLA_Target_Hours]], "Yes", "No")</f>
        <v>Yes</v>
      </c>
    </row>
    <row r="1723" spans="1:16" hidden="1">
      <c r="A1723">
        <v>1722</v>
      </c>
      <c r="B1723" t="s">
        <v>1716</v>
      </c>
      <c r="C1723" t="s">
        <v>3701</v>
      </c>
      <c r="D1723" t="s">
        <v>3984</v>
      </c>
      <c r="E1723" s="1">
        <v>44083</v>
      </c>
      <c r="F1723" t="s">
        <v>4002</v>
      </c>
      <c r="G1723" t="s">
        <v>4016</v>
      </c>
      <c r="H1723" t="s">
        <v>4019</v>
      </c>
      <c r="I1723" t="s">
        <v>4023</v>
      </c>
      <c r="J1723" t="s">
        <v>4028</v>
      </c>
      <c r="K1723" s="2">
        <v>44088</v>
      </c>
      <c r="L1723" s="2">
        <v>44093</v>
      </c>
      <c r="M1723">
        <v>3</v>
      </c>
      <c r="N1723">
        <v>120</v>
      </c>
      <c r="O1723">
        <f>IF(Tickets[[#This Row],[Ticket Priority]]="Critical",24,
IF(Tickets[[#This Row],[Ticket Priority]]="High",48,
IF(Tickets[[#This Row],[Ticket Priority]]="Medium",120,168)))</f>
        <v>120</v>
      </c>
      <c r="P1723" t="str">
        <f>IF(Tickets[[#This Row],[Resolution Duration Hours]] &lt;= Tickets[[#This Row],[SLA_Target_Hours]], "Yes", "No")</f>
        <v>Yes</v>
      </c>
    </row>
    <row r="1724" spans="1:16" hidden="1">
      <c r="A1724">
        <v>1723</v>
      </c>
      <c r="B1724" t="s">
        <v>1717</v>
      </c>
      <c r="C1724" t="s">
        <v>3702</v>
      </c>
      <c r="D1724" t="s">
        <v>3990</v>
      </c>
      <c r="E1724" s="1">
        <v>44493</v>
      </c>
      <c r="F1724" t="s">
        <v>4000</v>
      </c>
      <c r="G1724" t="s">
        <v>4004</v>
      </c>
      <c r="H1724" t="s">
        <v>4020</v>
      </c>
      <c r="I1724" t="s">
        <v>4022</v>
      </c>
      <c r="J1724" t="s">
        <v>4026</v>
      </c>
      <c r="K1724" s="2">
        <v>44770</v>
      </c>
      <c r="L1724" s="2">
        <v>44771</v>
      </c>
      <c r="N1724">
        <v>24</v>
      </c>
      <c r="O1724">
        <f>IF(Tickets[[#This Row],[Ticket Priority]]="Critical",24,
IF(Tickets[[#This Row],[Ticket Priority]]="High",48,
IF(Tickets[[#This Row],[Ticket Priority]]="Medium",120,168)))</f>
        <v>24</v>
      </c>
      <c r="P1724" t="str">
        <f>IF(Tickets[[#This Row],[Resolution Duration Hours]] &lt;= Tickets[[#This Row],[SLA_Target_Hours]], "Yes", "No")</f>
        <v>Yes</v>
      </c>
    </row>
    <row r="1725" spans="1:16">
      <c r="A1725">
        <v>1816</v>
      </c>
      <c r="B1725" t="s">
        <v>1808</v>
      </c>
      <c r="C1725" t="s">
        <v>3795</v>
      </c>
      <c r="D1725" t="s">
        <v>3992</v>
      </c>
      <c r="E1725" s="1">
        <v>44840</v>
      </c>
      <c r="F1725" t="s">
        <v>4001</v>
      </c>
      <c r="G1725" t="s">
        <v>4003</v>
      </c>
      <c r="H1725" t="s">
        <v>4020</v>
      </c>
      <c r="I1725" t="s">
        <v>4022</v>
      </c>
      <c r="J1725" t="s">
        <v>4025</v>
      </c>
      <c r="K1725" s="2">
        <v>45131</v>
      </c>
      <c r="L1725" s="2">
        <v>45136</v>
      </c>
      <c r="N1725">
        <v>120</v>
      </c>
      <c r="O1725">
        <f>IF(Tickets[[#This Row],[Ticket Priority]]="Critical",24,
IF(Tickets[[#This Row],[Ticket Priority]]="High",48,
IF(Tickets[[#This Row],[Ticket Priority]]="Medium",120,168)))</f>
        <v>24</v>
      </c>
      <c r="P1725" t="str">
        <f>IF(Tickets[[#This Row],[Resolution Duration Hours]] &lt;= Tickets[[#This Row],[SLA_Target_Hours]], "Yes", "No")</f>
        <v>No</v>
      </c>
    </row>
    <row r="1726" spans="1:16">
      <c r="A1726">
        <v>413</v>
      </c>
      <c r="B1726" t="s">
        <v>426</v>
      </c>
      <c r="C1726" t="s">
        <v>2396</v>
      </c>
      <c r="D1726" t="s">
        <v>3982</v>
      </c>
      <c r="E1726" s="1">
        <v>44407</v>
      </c>
      <c r="F1726" t="s">
        <v>4000</v>
      </c>
      <c r="G1726" t="s">
        <v>4007</v>
      </c>
      <c r="H1726" t="s">
        <v>4020</v>
      </c>
      <c r="I1726" t="s">
        <v>4021</v>
      </c>
      <c r="J1726" t="s">
        <v>4026</v>
      </c>
      <c r="K1726" s="2">
        <v>44670</v>
      </c>
      <c r="L1726" s="2">
        <v>44674</v>
      </c>
      <c r="N1726">
        <v>96</v>
      </c>
      <c r="O1726">
        <f>IF(Tickets[[#This Row],[Ticket Priority]]="Critical",24,
IF(Tickets[[#This Row],[Ticket Priority]]="High",48,
IF(Tickets[[#This Row],[Ticket Priority]]="Medium",120,168)))</f>
        <v>48</v>
      </c>
      <c r="P1726" t="str">
        <f>IF(Tickets[[#This Row],[Resolution Duration Hours]] &lt;= Tickets[[#This Row],[SLA_Target_Hours]], "Yes", "No")</f>
        <v>No</v>
      </c>
    </row>
    <row r="1727" spans="1:16">
      <c r="A1727">
        <v>1351</v>
      </c>
      <c r="B1727" t="s">
        <v>1352</v>
      </c>
      <c r="C1727" t="s">
        <v>3331</v>
      </c>
      <c r="D1727" t="s">
        <v>3993</v>
      </c>
      <c r="E1727" s="1">
        <v>44680</v>
      </c>
      <c r="F1727" t="s">
        <v>4000</v>
      </c>
      <c r="G1727" t="s">
        <v>4013</v>
      </c>
      <c r="H1727" t="s">
        <v>4018</v>
      </c>
      <c r="I1727" t="s">
        <v>4022</v>
      </c>
      <c r="J1727" t="s">
        <v>4026</v>
      </c>
      <c r="K1727" s="2">
        <v>44724</v>
      </c>
      <c r="L1727" s="2">
        <v>44728</v>
      </c>
      <c r="N1727">
        <v>96</v>
      </c>
      <c r="O1727">
        <f>IF(Tickets[[#This Row],[Ticket Priority]]="Critical",24,
IF(Tickets[[#This Row],[Ticket Priority]]="High",48,
IF(Tickets[[#This Row],[Ticket Priority]]="Medium",120,168)))</f>
        <v>24</v>
      </c>
      <c r="P1727" t="str">
        <f>IF(Tickets[[#This Row],[Resolution Duration Hours]] &lt;= Tickets[[#This Row],[SLA_Target_Hours]], "Yes", "No")</f>
        <v>No</v>
      </c>
    </row>
    <row r="1728" spans="1:16">
      <c r="A1728">
        <v>1608</v>
      </c>
      <c r="B1728" t="s">
        <v>1604</v>
      </c>
      <c r="C1728" t="s">
        <v>3587</v>
      </c>
      <c r="D1728" t="s">
        <v>3995</v>
      </c>
      <c r="E1728" s="1">
        <v>44817</v>
      </c>
      <c r="F1728" t="s">
        <v>4000</v>
      </c>
      <c r="G1728" t="s">
        <v>4006</v>
      </c>
      <c r="H1728" t="s">
        <v>4018</v>
      </c>
      <c r="I1728" t="s">
        <v>4021</v>
      </c>
      <c r="J1728" t="s">
        <v>4028</v>
      </c>
      <c r="K1728" s="2">
        <v>45160</v>
      </c>
      <c r="L1728" s="2">
        <v>45164</v>
      </c>
      <c r="M1728">
        <v>4</v>
      </c>
      <c r="N1728">
        <v>96</v>
      </c>
      <c r="O1728">
        <f>IF(Tickets[[#This Row],[Ticket Priority]]="Critical",24,
IF(Tickets[[#This Row],[Ticket Priority]]="High",48,
IF(Tickets[[#This Row],[Ticket Priority]]="Medium",120,168)))</f>
        <v>48</v>
      </c>
      <c r="P1728" t="str">
        <f>IF(Tickets[[#This Row],[Resolution Duration Hours]] &lt;= Tickets[[#This Row],[SLA_Target_Hours]], "Yes", "No")</f>
        <v>No</v>
      </c>
    </row>
    <row r="1729" spans="1:16" hidden="1">
      <c r="A1729">
        <v>1728</v>
      </c>
      <c r="B1729" t="s">
        <v>1722</v>
      </c>
      <c r="C1729" t="s">
        <v>3707</v>
      </c>
      <c r="D1729" t="s">
        <v>3979</v>
      </c>
      <c r="E1729" s="1">
        <v>44185</v>
      </c>
      <c r="F1729" t="s">
        <v>3999</v>
      </c>
      <c r="G1729" t="s">
        <v>4011</v>
      </c>
      <c r="H1729" t="s">
        <v>4020</v>
      </c>
      <c r="I1729" t="s">
        <v>4024</v>
      </c>
      <c r="J1729" t="s">
        <v>4026</v>
      </c>
      <c r="K1729" s="2">
        <v>44390</v>
      </c>
      <c r="L1729" s="2">
        <v>44397</v>
      </c>
      <c r="N1729">
        <v>168</v>
      </c>
      <c r="O1729">
        <f>IF(Tickets[[#This Row],[Ticket Priority]]="Critical",24,
IF(Tickets[[#This Row],[Ticket Priority]]="High",48,
IF(Tickets[[#This Row],[Ticket Priority]]="Medium",120,168)))</f>
        <v>168</v>
      </c>
      <c r="P1729" t="str">
        <f>IF(Tickets[[#This Row],[Resolution Duration Hours]] &lt;= Tickets[[#This Row],[SLA_Target_Hours]], "Yes", "No")</f>
        <v>Yes</v>
      </c>
    </row>
    <row r="1730" spans="1:16" hidden="1">
      <c r="A1730">
        <v>1729</v>
      </c>
      <c r="B1730" t="s">
        <v>1723</v>
      </c>
      <c r="C1730" t="s">
        <v>3708</v>
      </c>
      <c r="D1730" t="s">
        <v>3985</v>
      </c>
      <c r="E1730" s="1">
        <v>44551</v>
      </c>
      <c r="F1730" t="s">
        <v>3999</v>
      </c>
      <c r="G1730" t="s">
        <v>4012</v>
      </c>
      <c r="H1730" t="s">
        <v>4017</v>
      </c>
      <c r="I1730" t="s">
        <v>4021</v>
      </c>
      <c r="J1730" t="s">
        <v>4026</v>
      </c>
      <c r="K1730" s="2">
        <v>44685</v>
      </c>
      <c r="L1730" s="2">
        <v>44687</v>
      </c>
      <c r="N1730">
        <v>48</v>
      </c>
      <c r="O1730">
        <f>IF(Tickets[[#This Row],[Ticket Priority]]="Critical",24,
IF(Tickets[[#This Row],[Ticket Priority]]="High",48,
IF(Tickets[[#This Row],[Ticket Priority]]="Medium",120,168)))</f>
        <v>48</v>
      </c>
      <c r="P1730" t="str">
        <f>IF(Tickets[[#This Row],[Resolution Duration Hours]] &lt;= Tickets[[#This Row],[SLA_Target_Hours]], "Yes", "No")</f>
        <v>Yes</v>
      </c>
    </row>
    <row r="1731" spans="1:16" hidden="1">
      <c r="A1731">
        <v>1730</v>
      </c>
      <c r="B1731" t="s">
        <v>1724</v>
      </c>
      <c r="C1731" t="s">
        <v>3709</v>
      </c>
      <c r="D1731" t="s">
        <v>3987</v>
      </c>
      <c r="E1731" s="1">
        <v>45055</v>
      </c>
      <c r="F1731" t="s">
        <v>4001</v>
      </c>
      <c r="G1731" t="s">
        <v>4008</v>
      </c>
      <c r="H1731" t="s">
        <v>4020</v>
      </c>
      <c r="I1731" t="s">
        <v>4024</v>
      </c>
      <c r="J1731" t="s">
        <v>4027</v>
      </c>
      <c r="K1731" s="2">
        <v>45345</v>
      </c>
      <c r="L1731" s="2">
        <v>45352</v>
      </c>
      <c r="N1731">
        <v>168</v>
      </c>
      <c r="O1731">
        <f>IF(Tickets[[#This Row],[Ticket Priority]]="Critical",24,
IF(Tickets[[#This Row],[Ticket Priority]]="High",48,
IF(Tickets[[#This Row],[Ticket Priority]]="Medium",120,168)))</f>
        <v>168</v>
      </c>
      <c r="P1731" t="str">
        <f>IF(Tickets[[#This Row],[Resolution Duration Hours]] &lt;= Tickets[[#This Row],[SLA_Target_Hours]], "Yes", "No")</f>
        <v>Yes</v>
      </c>
    </row>
    <row r="1732" spans="1:16" hidden="1">
      <c r="A1732">
        <v>1731</v>
      </c>
      <c r="B1732" t="s">
        <v>1725</v>
      </c>
      <c r="C1732" t="s">
        <v>3710</v>
      </c>
      <c r="D1732" t="s">
        <v>3997</v>
      </c>
      <c r="E1732" s="1">
        <v>44099</v>
      </c>
      <c r="F1732" t="s">
        <v>4001</v>
      </c>
      <c r="G1732" t="s">
        <v>4016</v>
      </c>
      <c r="H1732" t="s">
        <v>4017</v>
      </c>
      <c r="I1732" t="s">
        <v>4023</v>
      </c>
      <c r="J1732" t="s">
        <v>4028</v>
      </c>
      <c r="K1732" s="2">
        <v>44163</v>
      </c>
      <c r="L1732" s="2">
        <v>44167</v>
      </c>
      <c r="N1732">
        <v>96</v>
      </c>
      <c r="O1732">
        <f>IF(Tickets[[#This Row],[Ticket Priority]]="Critical",24,
IF(Tickets[[#This Row],[Ticket Priority]]="High",48,
IF(Tickets[[#This Row],[Ticket Priority]]="Medium",120,168)))</f>
        <v>120</v>
      </c>
      <c r="P1732" t="str">
        <f>IF(Tickets[[#This Row],[Resolution Duration Hours]] &lt;= Tickets[[#This Row],[SLA_Target_Hours]], "Yes", "No")</f>
        <v>Yes</v>
      </c>
    </row>
    <row r="1733" spans="1:16" hidden="1">
      <c r="A1733">
        <v>1732</v>
      </c>
      <c r="B1733" t="s">
        <v>1726</v>
      </c>
      <c r="C1733" t="s">
        <v>3711</v>
      </c>
      <c r="D1733" t="s">
        <v>3996</v>
      </c>
      <c r="E1733" s="1">
        <v>44138</v>
      </c>
      <c r="F1733" t="s">
        <v>4001</v>
      </c>
      <c r="G1733" t="s">
        <v>4008</v>
      </c>
      <c r="H1733" t="s">
        <v>4018</v>
      </c>
      <c r="I1733" t="s">
        <v>4021</v>
      </c>
      <c r="J1733" t="s">
        <v>4025</v>
      </c>
      <c r="K1733" s="2">
        <v>44374</v>
      </c>
      <c r="L1733" s="2">
        <v>44375</v>
      </c>
      <c r="M1733">
        <v>5</v>
      </c>
      <c r="N1733">
        <v>24</v>
      </c>
      <c r="O1733">
        <f>IF(Tickets[[#This Row],[Ticket Priority]]="Critical",24,
IF(Tickets[[#This Row],[Ticket Priority]]="High",48,
IF(Tickets[[#This Row],[Ticket Priority]]="Medium",120,168)))</f>
        <v>48</v>
      </c>
      <c r="P1733" t="str">
        <f>IF(Tickets[[#This Row],[Resolution Duration Hours]] &lt;= Tickets[[#This Row],[SLA_Target_Hours]], "Yes", "No")</f>
        <v>Yes</v>
      </c>
    </row>
    <row r="1734" spans="1:16" hidden="1">
      <c r="A1734">
        <v>1733</v>
      </c>
      <c r="B1734" t="s">
        <v>669</v>
      </c>
      <c r="C1734" t="s">
        <v>3712</v>
      </c>
      <c r="D1734" t="s">
        <v>3983</v>
      </c>
      <c r="E1734" s="1">
        <v>44606</v>
      </c>
      <c r="F1734" t="s">
        <v>3998</v>
      </c>
      <c r="G1734" t="s">
        <v>4008</v>
      </c>
      <c r="H1734" t="s">
        <v>4018</v>
      </c>
      <c r="I1734" t="s">
        <v>4023</v>
      </c>
      <c r="J1734" t="s">
        <v>4028</v>
      </c>
      <c r="K1734" s="2">
        <v>44924</v>
      </c>
      <c r="L1734" s="2">
        <v>44926</v>
      </c>
      <c r="N1734">
        <v>48</v>
      </c>
      <c r="O1734">
        <f>IF(Tickets[[#This Row],[Ticket Priority]]="Critical",24,
IF(Tickets[[#This Row],[Ticket Priority]]="High",48,
IF(Tickets[[#This Row],[Ticket Priority]]="Medium",120,168)))</f>
        <v>120</v>
      </c>
      <c r="P1734" t="str">
        <f>IF(Tickets[[#This Row],[Resolution Duration Hours]] &lt;= Tickets[[#This Row],[SLA_Target_Hours]], "Yes", "No")</f>
        <v>Yes</v>
      </c>
    </row>
    <row r="1735" spans="1:16">
      <c r="A1735">
        <v>1612</v>
      </c>
      <c r="B1735" t="s">
        <v>1608</v>
      </c>
      <c r="C1735" t="s">
        <v>3591</v>
      </c>
      <c r="D1735" t="s">
        <v>3982</v>
      </c>
      <c r="E1735" s="1">
        <v>44079</v>
      </c>
      <c r="F1735" t="s">
        <v>4000</v>
      </c>
      <c r="G1735" t="s">
        <v>4011</v>
      </c>
      <c r="H1735" t="s">
        <v>4019</v>
      </c>
      <c r="I1735" t="s">
        <v>4021</v>
      </c>
      <c r="J1735" t="s">
        <v>4026</v>
      </c>
      <c r="K1735" s="2">
        <v>44079</v>
      </c>
      <c r="L1735" s="2">
        <v>44083</v>
      </c>
      <c r="M1735">
        <v>4</v>
      </c>
      <c r="N1735">
        <v>96</v>
      </c>
      <c r="O1735">
        <f>IF(Tickets[[#This Row],[Ticket Priority]]="Critical",24,
IF(Tickets[[#This Row],[Ticket Priority]]="High",48,
IF(Tickets[[#This Row],[Ticket Priority]]="Medium",120,168)))</f>
        <v>48</v>
      </c>
      <c r="P1735" t="str">
        <f>IF(Tickets[[#This Row],[Resolution Duration Hours]] &lt;= Tickets[[#This Row],[SLA_Target_Hours]], "Yes", "No")</f>
        <v>No</v>
      </c>
    </row>
    <row r="1736" spans="1:16" hidden="1">
      <c r="A1736">
        <v>1735</v>
      </c>
      <c r="B1736" t="s">
        <v>1728</v>
      </c>
      <c r="C1736" t="s">
        <v>3714</v>
      </c>
      <c r="D1736" t="s">
        <v>3990</v>
      </c>
      <c r="E1736" s="1">
        <v>43851</v>
      </c>
      <c r="F1736" t="s">
        <v>4002</v>
      </c>
      <c r="G1736" t="s">
        <v>4010</v>
      </c>
      <c r="H1736" t="s">
        <v>4017</v>
      </c>
      <c r="I1736" t="s">
        <v>4022</v>
      </c>
      <c r="J1736" t="s">
        <v>4028</v>
      </c>
      <c r="K1736" s="2">
        <v>44011</v>
      </c>
      <c r="L1736" s="2">
        <v>44011</v>
      </c>
      <c r="N1736">
        <v>0</v>
      </c>
      <c r="O1736">
        <f>IF(Tickets[[#This Row],[Ticket Priority]]="Critical",24,
IF(Tickets[[#This Row],[Ticket Priority]]="High",48,
IF(Tickets[[#This Row],[Ticket Priority]]="Medium",120,168)))</f>
        <v>24</v>
      </c>
      <c r="P1736" t="str">
        <f>IF(Tickets[[#This Row],[Resolution Duration Hours]] &lt;= Tickets[[#This Row],[SLA_Target_Hours]], "Yes", "No")</f>
        <v>Yes</v>
      </c>
    </row>
    <row r="1737" spans="1:16">
      <c r="A1737">
        <v>44</v>
      </c>
      <c r="B1737" t="s">
        <v>57</v>
      </c>
      <c r="C1737" t="s">
        <v>2027</v>
      </c>
      <c r="D1737" t="s">
        <v>3989</v>
      </c>
      <c r="E1737" s="1">
        <v>44471</v>
      </c>
      <c r="F1737" t="s">
        <v>3998</v>
      </c>
      <c r="G1737" t="s">
        <v>4005</v>
      </c>
      <c r="H1737" t="s">
        <v>4018</v>
      </c>
      <c r="I1737" t="s">
        <v>4021</v>
      </c>
      <c r="J1737" t="s">
        <v>4026</v>
      </c>
      <c r="K1737" s="2">
        <v>44546</v>
      </c>
      <c r="L1737" s="2">
        <v>44549</v>
      </c>
      <c r="M1737">
        <v>4</v>
      </c>
      <c r="N1737">
        <v>72</v>
      </c>
      <c r="O1737">
        <f>IF(Tickets[[#This Row],[Ticket Priority]]="Critical",24,
IF(Tickets[[#This Row],[Ticket Priority]]="High",48,
IF(Tickets[[#This Row],[Ticket Priority]]="Medium",120,168)))</f>
        <v>48</v>
      </c>
      <c r="P1737" t="str">
        <f>IF(Tickets[[#This Row],[Resolution Duration Hours]] &lt;= Tickets[[#This Row],[SLA_Target_Hours]], "Yes", "No")</f>
        <v>No</v>
      </c>
    </row>
    <row r="1738" spans="1:16" hidden="1">
      <c r="A1738">
        <v>1737</v>
      </c>
      <c r="B1738" t="s">
        <v>1730</v>
      </c>
      <c r="C1738" t="s">
        <v>3716</v>
      </c>
      <c r="D1738" t="s">
        <v>3995</v>
      </c>
      <c r="E1738" s="1">
        <v>43858</v>
      </c>
      <c r="F1738" t="s">
        <v>4000</v>
      </c>
      <c r="G1738" t="s">
        <v>4007</v>
      </c>
      <c r="H1738" t="s">
        <v>4018</v>
      </c>
      <c r="I1738" t="s">
        <v>4021</v>
      </c>
      <c r="J1738" t="s">
        <v>4026</v>
      </c>
      <c r="K1738" s="2">
        <v>44207</v>
      </c>
      <c r="L1738" s="2">
        <v>44207</v>
      </c>
      <c r="M1738">
        <v>5</v>
      </c>
      <c r="N1738">
        <v>0</v>
      </c>
      <c r="O1738">
        <f>IF(Tickets[[#This Row],[Ticket Priority]]="Critical",24,
IF(Tickets[[#This Row],[Ticket Priority]]="High",48,
IF(Tickets[[#This Row],[Ticket Priority]]="Medium",120,168)))</f>
        <v>48</v>
      </c>
      <c r="P1738" t="str">
        <f>IF(Tickets[[#This Row],[Resolution Duration Hours]] &lt;= Tickets[[#This Row],[SLA_Target_Hours]], "Yes", "No")</f>
        <v>Yes</v>
      </c>
    </row>
    <row r="1739" spans="1:16" hidden="1">
      <c r="A1739">
        <v>1738</v>
      </c>
      <c r="B1739" t="s">
        <v>1731</v>
      </c>
      <c r="C1739" t="s">
        <v>3717</v>
      </c>
      <c r="D1739" t="s">
        <v>3985</v>
      </c>
      <c r="E1739" s="1">
        <v>44693</v>
      </c>
      <c r="F1739" t="s">
        <v>4001</v>
      </c>
      <c r="G1739" t="s">
        <v>4010</v>
      </c>
      <c r="H1739" t="s">
        <v>4017</v>
      </c>
      <c r="I1739" t="s">
        <v>4023</v>
      </c>
      <c r="J1739" t="s">
        <v>4028</v>
      </c>
      <c r="K1739" s="2">
        <v>44744</v>
      </c>
      <c r="L1739" s="2">
        <v>44749</v>
      </c>
      <c r="N1739">
        <v>120</v>
      </c>
      <c r="O1739">
        <f>IF(Tickets[[#This Row],[Ticket Priority]]="Critical",24,
IF(Tickets[[#This Row],[Ticket Priority]]="High",48,
IF(Tickets[[#This Row],[Ticket Priority]]="Medium",120,168)))</f>
        <v>120</v>
      </c>
      <c r="P1739" t="str">
        <f>IF(Tickets[[#This Row],[Resolution Duration Hours]] &lt;= Tickets[[#This Row],[SLA_Target_Hours]], "Yes", "No")</f>
        <v>Yes</v>
      </c>
    </row>
    <row r="1740" spans="1:16" hidden="1">
      <c r="A1740">
        <v>1739</v>
      </c>
      <c r="B1740" t="s">
        <v>1732</v>
      </c>
      <c r="C1740" t="s">
        <v>3718</v>
      </c>
      <c r="D1740" t="s">
        <v>3980</v>
      </c>
      <c r="E1740" s="1">
        <v>44186</v>
      </c>
      <c r="F1740" t="s">
        <v>4000</v>
      </c>
      <c r="G1740" t="s">
        <v>4013</v>
      </c>
      <c r="H1740" t="s">
        <v>4017</v>
      </c>
      <c r="I1740" t="s">
        <v>4023</v>
      </c>
      <c r="J1740" t="s">
        <v>4027</v>
      </c>
      <c r="K1740" s="2">
        <v>44340</v>
      </c>
      <c r="L1740" s="2">
        <v>44343</v>
      </c>
      <c r="N1740">
        <v>72</v>
      </c>
      <c r="O1740">
        <f>IF(Tickets[[#This Row],[Ticket Priority]]="Critical",24,
IF(Tickets[[#This Row],[Ticket Priority]]="High",48,
IF(Tickets[[#This Row],[Ticket Priority]]="Medium",120,168)))</f>
        <v>120</v>
      </c>
      <c r="P1740" t="str">
        <f>IF(Tickets[[#This Row],[Resolution Duration Hours]] &lt;= Tickets[[#This Row],[SLA_Target_Hours]], "Yes", "No")</f>
        <v>Yes</v>
      </c>
    </row>
    <row r="1741" spans="1:16" hidden="1">
      <c r="A1741">
        <v>1740</v>
      </c>
      <c r="B1741" t="s">
        <v>1733</v>
      </c>
      <c r="C1741" t="s">
        <v>3719</v>
      </c>
      <c r="D1741" t="s">
        <v>3990</v>
      </c>
      <c r="E1741" s="1">
        <v>44317</v>
      </c>
      <c r="F1741" t="s">
        <v>3999</v>
      </c>
      <c r="G1741" t="s">
        <v>4007</v>
      </c>
      <c r="H1741" t="s">
        <v>4018</v>
      </c>
      <c r="I1741" t="s">
        <v>4023</v>
      </c>
      <c r="J1741" t="s">
        <v>4026</v>
      </c>
      <c r="K1741" s="2">
        <v>44602</v>
      </c>
      <c r="L1741" s="2">
        <v>44606</v>
      </c>
      <c r="M1741">
        <v>5</v>
      </c>
      <c r="N1741">
        <v>96</v>
      </c>
      <c r="O1741">
        <f>IF(Tickets[[#This Row],[Ticket Priority]]="Critical",24,
IF(Tickets[[#This Row],[Ticket Priority]]="High",48,
IF(Tickets[[#This Row],[Ticket Priority]]="Medium",120,168)))</f>
        <v>120</v>
      </c>
      <c r="P1741" t="str">
        <f>IF(Tickets[[#This Row],[Resolution Duration Hours]] &lt;= Tickets[[#This Row],[SLA_Target_Hours]], "Yes", "No")</f>
        <v>Yes</v>
      </c>
    </row>
    <row r="1742" spans="1:16" hidden="1">
      <c r="A1742">
        <v>1741</v>
      </c>
      <c r="B1742" t="s">
        <v>1734</v>
      </c>
      <c r="C1742" t="s">
        <v>3720</v>
      </c>
      <c r="D1742" t="s">
        <v>3981</v>
      </c>
      <c r="E1742" s="1">
        <v>44961</v>
      </c>
      <c r="F1742" t="s">
        <v>3999</v>
      </c>
      <c r="G1742" t="s">
        <v>4005</v>
      </c>
      <c r="H1742" t="s">
        <v>4020</v>
      </c>
      <c r="I1742" t="s">
        <v>4023</v>
      </c>
      <c r="J1742" t="s">
        <v>4026</v>
      </c>
      <c r="K1742" s="2">
        <v>45211</v>
      </c>
      <c r="L1742" s="2">
        <v>45214</v>
      </c>
      <c r="N1742">
        <v>72</v>
      </c>
      <c r="O1742">
        <f>IF(Tickets[[#This Row],[Ticket Priority]]="Critical",24,
IF(Tickets[[#This Row],[Ticket Priority]]="High",48,
IF(Tickets[[#This Row],[Ticket Priority]]="Medium",120,168)))</f>
        <v>120</v>
      </c>
      <c r="P1742" t="str">
        <f>IF(Tickets[[#This Row],[Resolution Duration Hours]] &lt;= Tickets[[#This Row],[SLA_Target_Hours]], "Yes", "No")</f>
        <v>Yes</v>
      </c>
    </row>
    <row r="1743" spans="1:16" hidden="1">
      <c r="A1743">
        <v>1742</v>
      </c>
      <c r="B1743" t="s">
        <v>1735</v>
      </c>
      <c r="C1743" t="s">
        <v>3721</v>
      </c>
      <c r="D1743" t="s">
        <v>3989</v>
      </c>
      <c r="E1743" s="1">
        <v>44214</v>
      </c>
      <c r="F1743" t="s">
        <v>4000</v>
      </c>
      <c r="G1743" t="s">
        <v>4008</v>
      </c>
      <c r="H1743" t="s">
        <v>4018</v>
      </c>
      <c r="I1743" t="s">
        <v>4022</v>
      </c>
      <c r="J1743" t="s">
        <v>4025</v>
      </c>
      <c r="K1743" s="2">
        <v>44473</v>
      </c>
      <c r="L1743" s="2">
        <v>44473</v>
      </c>
      <c r="M1743">
        <v>5</v>
      </c>
      <c r="N1743">
        <v>0</v>
      </c>
      <c r="O1743">
        <f>IF(Tickets[[#This Row],[Ticket Priority]]="Critical",24,
IF(Tickets[[#This Row],[Ticket Priority]]="High",48,
IF(Tickets[[#This Row],[Ticket Priority]]="Medium",120,168)))</f>
        <v>24</v>
      </c>
      <c r="P1743" t="str">
        <f>IF(Tickets[[#This Row],[Resolution Duration Hours]] &lt;= Tickets[[#This Row],[SLA_Target_Hours]], "Yes", "No")</f>
        <v>Yes</v>
      </c>
    </row>
    <row r="1744" spans="1:16">
      <c r="A1744">
        <v>45</v>
      </c>
      <c r="B1744" t="s">
        <v>58</v>
      </c>
      <c r="C1744" t="s">
        <v>2028</v>
      </c>
      <c r="D1744" t="s">
        <v>3996</v>
      </c>
      <c r="E1744" s="1">
        <v>44245</v>
      </c>
      <c r="F1744" t="s">
        <v>4000</v>
      </c>
      <c r="G1744" t="s">
        <v>4005</v>
      </c>
      <c r="H1744" t="s">
        <v>4020</v>
      </c>
      <c r="I1744" t="s">
        <v>4021</v>
      </c>
      <c r="J1744" t="s">
        <v>4027</v>
      </c>
      <c r="K1744" s="2">
        <v>44498</v>
      </c>
      <c r="L1744" s="2">
        <v>44501</v>
      </c>
      <c r="N1744">
        <v>72</v>
      </c>
      <c r="O1744">
        <f>IF(Tickets[[#This Row],[Ticket Priority]]="Critical",24,
IF(Tickets[[#This Row],[Ticket Priority]]="High",48,
IF(Tickets[[#This Row],[Ticket Priority]]="Medium",120,168)))</f>
        <v>48</v>
      </c>
      <c r="P1744" t="str">
        <f>IF(Tickets[[#This Row],[Resolution Duration Hours]] &lt;= Tickets[[#This Row],[SLA_Target_Hours]], "Yes", "No")</f>
        <v>No</v>
      </c>
    </row>
    <row r="1745" spans="1:16" hidden="1">
      <c r="A1745">
        <v>1744</v>
      </c>
      <c r="B1745" t="s">
        <v>1737</v>
      </c>
      <c r="C1745" t="s">
        <v>3723</v>
      </c>
      <c r="D1745" t="s">
        <v>3995</v>
      </c>
      <c r="E1745" s="1">
        <v>44290</v>
      </c>
      <c r="F1745" t="s">
        <v>4000</v>
      </c>
      <c r="G1745" t="s">
        <v>4015</v>
      </c>
      <c r="H1745" t="s">
        <v>4020</v>
      </c>
      <c r="I1745" t="s">
        <v>4021</v>
      </c>
      <c r="J1745" t="s">
        <v>4028</v>
      </c>
      <c r="K1745" s="2">
        <v>44372</v>
      </c>
      <c r="L1745" s="2">
        <v>44374</v>
      </c>
      <c r="N1745">
        <v>48</v>
      </c>
      <c r="O1745">
        <f>IF(Tickets[[#This Row],[Ticket Priority]]="Critical",24,
IF(Tickets[[#This Row],[Ticket Priority]]="High",48,
IF(Tickets[[#This Row],[Ticket Priority]]="Medium",120,168)))</f>
        <v>48</v>
      </c>
      <c r="P1745" t="str">
        <f>IF(Tickets[[#This Row],[Resolution Duration Hours]] &lt;= Tickets[[#This Row],[SLA_Target_Hours]], "Yes", "No")</f>
        <v>Yes</v>
      </c>
    </row>
    <row r="1746" spans="1:16">
      <c r="A1746">
        <v>75</v>
      </c>
      <c r="B1746" t="s">
        <v>88</v>
      </c>
      <c r="C1746" t="s">
        <v>2058</v>
      </c>
      <c r="D1746" t="s">
        <v>3985</v>
      </c>
      <c r="E1746" s="1">
        <v>44370</v>
      </c>
      <c r="F1746" t="s">
        <v>3999</v>
      </c>
      <c r="G1746" t="s">
        <v>4011</v>
      </c>
      <c r="H1746" t="s">
        <v>4018</v>
      </c>
      <c r="I1746" t="s">
        <v>4021</v>
      </c>
      <c r="J1746" t="s">
        <v>4028</v>
      </c>
      <c r="K1746" s="2">
        <v>44506</v>
      </c>
      <c r="L1746" s="2">
        <v>44509</v>
      </c>
      <c r="M1746">
        <v>3</v>
      </c>
      <c r="N1746">
        <v>72</v>
      </c>
      <c r="O1746">
        <f>IF(Tickets[[#This Row],[Ticket Priority]]="Critical",24,
IF(Tickets[[#This Row],[Ticket Priority]]="High",48,
IF(Tickets[[#This Row],[Ticket Priority]]="Medium",120,168)))</f>
        <v>48</v>
      </c>
      <c r="P1746" t="str">
        <f>IF(Tickets[[#This Row],[Resolution Duration Hours]] &lt;= Tickets[[#This Row],[SLA_Target_Hours]], "Yes", "No")</f>
        <v>No</v>
      </c>
    </row>
    <row r="1747" spans="1:16" hidden="1">
      <c r="A1747">
        <v>1746</v>
      </c>
      <c r="B1747" t="s">
        <v>1739</v>
      </c>
      <c r="C1747" t="s">
        <v>3725</v>
      </c>
      <c r="D1747" t="s">
        <v>3997</v>
      </c>
      <c r="E1747" s="1">
        <v>44403</v>
      </c>
      <c r="F1747" t="s">
        <v>3998</v>
      </c>
      <c r="G1747" t="s">
        <v>4010</v>
      </c>
      <c r="H1747" t="s">
        <v>4017</v>
      </c>
      <c r="I1747" t="s">
        <v>4023</v>
      </c>
      <c r="J1747" t="s">
        <v>4025</v>
      </c>
      <c r="K1747" s="2">
        <v>44531</v>
      </c>
      <c r="L1747" s="2">
        <v>44534</v>
      </c>
      <c r="N1747">
        <v>72</v>
      </c>
      <c r="O1747">
        <f>IF(Tickets[[#This Row],[Ticket Priority]]="Critical",24,
IF(Tickets[[#This Row],[Ticket Priority]]="High",48,
IF(Tickets[[#This Row],[Ticket Priority]]="Medium",120,168)))</f>
        <v>120</v>
      </c>
      <c r="P1747" t="str">
        <f>IF(Tickets[[#This Row],[Resolution Duration Hours]] &lt;= Tickets[[#This Row],[SLA_Target_Hours]], "Yes", "No")</f>
        <v>Yes</v>
      </c>
    </row>
    <row r="1748" spans="1:16">
      <c r="A1748">
        <v>100</v>
      </c>
      <c r="B1748" t="s">
        <v>113</v>
      </c>
      <c r="C1748" t="s">
        <v>2083</v>
      </c>
      <c r="D1748" t="s">
        <v>3979</v>
      </c>
      <c r="E1748" s="1">
        <v>44561</v>
      </c>
      <c r="F1748" t="s">
        <v>3998</v>
      </c>
      <c r="G1748" t="s">
        <v>4007</v>
      </c>
      <c r="H1748" t="s">
        <v>4018</v>
      </c>
      <c r="I1748" t="s">
        <v>4021</v>
      </c>
      <c r="J1748" t="s">
        <v>4027</v>
      </c>
      <c r="K1748" s="2">
        <v>44801</v>
      </c>
      <c r="L1748" s="2">
        <v>44804</v>
      </c>
      <c r="M1748">
        <v>4</v>
      </c>
      <c r="N1748">
        <v>72</v>
      </c>
      <c r="O1748">
        <f>IF(Tickets[[#This Row],[Ticket Priority]]="Critical",24,
IF(Tickets[[#This Row],[Ticket Priority]]="High",48,
IF(Tickets[[#This Row],[Ticket Priority]]="Medium",120,168)))</f>
        <v>48</v>
      </c>
      <c r="P1748" t="str">
        <f>IF(Tickets[[#This Row],[Resolution Duration Hours]] &lt;= Tickets[[#This Row],[SLA_Target_Hours]], "Yes", "No")</f>
        <v>No</v>
      </c>
    </row>
    <row r="1749" spans="1:16">
      <c r="A1749">
        <v>106</v>
      </c>
      <c r="B1749" t="s">
        <v>119</v>
      </c>
      <c r="C1749" t="s">
        <v>2089</v>
      </c>
      <c r="D1749" t="s">
        <v>3981</v>
      </c>
      <c r="E1749" s="1">
        <v>44013</v>
      </c>
      <c r="F1749" t="s">
        <v>3998</v>
      </c>
      <c r="G1749" t="s">
        <v>4010</v>
      </c>
      <c r="H1749" t="s">
        <v>4018</v>
      </c>
      <c r="I1749" t="s">
        <v>4021</v>
      </c>
      <c r="J1749" t="s">
        <v>4028</v>
      </c>
      <c r="K1749" s="2">
        <v>44044</v>
      </c>
      <c r="L1749" s="2">
        <v>44047</v>
      </c>
      <c r="M1749">
        <v>4</v>
      </c>
      <c r="N1749">
        <v>72</v>
      </c>
      <c r="O1749">
        <f>IF(Tickets[[#This Row],[Ticket Priority]]="Critical",24,
IF(Tickets[[#This Row],[Ticket Priority]]="High",48,
IF(Tickets[[#This Row],[Ticket Priority]]="Medium",120,168)))</f>
        <v>48</v>
      </c>
      <c r="P1749" t="str">
        <f>IF(Tickets[[#This Row],[Resolution Duration Hours]] &lt;= Tickets[[#This Row],[SLA_Target_Hours]], "Yes", "No")</f>
        <v>No</v>
      </c>
    </row>
    <row r="1750" spans="1:16">
      <c r="A1750">
        <v>155</v>
      </c>
      <c r="B1750" t="s">
        <v>168</v>
      </c>
      <c r="C1750" t="s">
        <v>2138</v>
      </c>
      <c r="D1750" t="s">
        <v>3994</v>
      </c>
      <c r="E1750" s="1">
        <v>44951</v>
      </c>
      <c r="F1750" t="s">
        <v>4000</v>
      </c>
      <c r="G1750" t="s">
        <v>4007</v>
      </c>
      <c r="H1750" t="s">
        <v>4018</v>
      </c>
      <c r="I1750" t="s">
        <v>4021</v>
      </c>
      <c r="J1750" t="s">
        <v>4027</v>
      </c>
      <c r="K1750" s="2">
        <v>45286</v>
      </c>
      <c r="L1750" s="2">
        <v>45289</v>
      </c>
      <c r="N1750">
        <v>72</v>
      </c>
      <c r="O1750">
        <f>IF(Tickets[[#This Row],[Ticket Priority]]="Critical",24,
IF(Tickets[[#This Row],[Ticket Priority]]="High",48,
IF(Tickets[[#This Row],[Ticket Priority]]="Medium",120,168)))</f>
        <v>48</v>
      </c>
      <c r="P1750" t="str">
        <f>IF(Tickets[[#This Row],[Resolution Duration Hours]] &lt;= Tickets[[#This Row],[SLA_Target_Hours]], "Yes", "No")</f>
        <v>No</v>
      </c>
    </row>
    <row r="1751" spans="1:16" hidden="1">
      <c r="A1751">
        <v>1750</v>
      </c>
      <c r="B1751" t="s">
        <v>1743</v>
      </c>
      <c r="C1751" t="s">
        <v>3729</v>
      </c>
      <c r="D1751" t="s">
        <v>3981</v>
      </c>
      <c r="E1751" s="1">
        <v>44830</v>
      </c>
      <c r="F1751" t="s">
        <v>4002</v>
      </c>
      <c r="G1751" t="s">
        <v>4007</v>
      </c>
      <c r="H1751" t="s">
        <v>4017</v>
      </c>
      <c r="I1751" t="s">
        <v>4023</v>
      </c>
      <c r="J1751" t="s">
        <v>4028</v>
      </c>
      <c r="K1751" s="2">
        <v>45186</v>
      </c>
      <c r="L1751" s="2">
        <v>45189</v>
      </c>
      <c r="N1751">
        <v>72</v>
      </c>
      <c r="O1751">
        <f>IF(Tickets[[#This Row],[Ticket Priority]]="Critical",24,
IF(Tickets[[#This Row],[Ticket Priority]]="High",48,
IF(Tickets[[#This Row],[Ticket Priority]]="Medium",120,168)))</f>
        <v>120</v>
      </c>
      <c r="P1751" t="str">
        <f>IF(Tickets[[#This Row],[Resolution Duration Hours]] &lt;= Tickets[[#This Row],[SLA_Target_Hours]], "Yes", "No")</f>
        <v>Yes</v>
      </c>
    </row>
    <row r="1752" spans="1:16" hidden="1">
      <c r="A1752">
        <v>1751</v>
      </c>
      <c r="B1752" t="s">
        <v>1744</v>
      </c>
      <c r="C1752" t="s">
        <v>3730</v>
      </c>
      <c r="D1752" t="s">
        <v>3990</v>
      </c>
      <c r="E1752" s="1">
        <v>43930</v>
      </c>
      <c r="F1752" t="s">
        <v>3999</v>
      </c>
      <c r="G1752" t="s">
        <v>4007</v>
      </c>
      <c r="H1752" t="s">
        <v>4018</v>
      </c>
      <c r="I1752" t="s">
        <v>4021</v>
      </c>
      <c r="J1752" t="s">
        <v>4026</v>
      </c>
      <c r="K1752" s="2">
        <v>44193</v>
      </c>
      <c r="L1752" s="2">
        <v>44195</v>
      </c>
      <c r="M1752">
        <v>5</v>
      </c>
      <c r="N1752">
        <v>48</v>
      </c>
      <c r="O1752">
        <f>IF(Tickets[[#This Row],[Ticket Priority]]="Critical",24,
IF(Tickets[[#This Row],[Ticket Priority]]="High",48,
IF(Tickets[[#This Row],[Ticket Priority]]="Medium",120,168)))</f>
        <v>48</v>
      </c>
      <c r="P1752" t="str">
        <f>IF(Tickets[[#This Row],[Resolution Duration Hours]] &lt;= Tickets[[#This Row],[SLA_Target_Hours]], "Yes", "No")</f>
        <v>Yes</v>
      </c>
    </row>
    <row r="1753" spans="1:16">
      <c r="A1753">
        <v>228</v>
      </c>
      <c r="B1753" t="s">
        <v>241</v>
      </c>
      <c r="C1753" t="s">
        <v>2211</v>
      </c>
      <c r="D1753" t="s">
        <v>3979</v>
      </c>
      <c r="E1753" s="1">
        <v>44030</v>
      </c>
      <c r="F1753" t="s">
        <v>4001</v>
      </c>
      <c r="G1753" t="s">
        <v>4013</v>
      </c>
      <c r="H1753" t="s">
        <v>4018</v>
      </c>
      <c r="I1753" t="s">
        <v>4021</v>
      </c>
      <c r="J1753" t="s">
        <v>4026</v>
      </c>
      <c r="K1753" s="2">
        <v>44300</v>
      </c>
      <c r="L1753" s="2">
        <v>44303</v>
      </c>
      <c r="N1753">
        <v>72</v>
      </c>
      <c r="O1753">
        <f>IF(Tickets[[#This Row],[Ticket Priority]]="Critical",24,
IF(Tickets[[#This Row],[Ticket Priority]]="High",48,
IF(Tickets[[#This Row],[Ticket Priority]]="Medium",120,168)))</f>
        <v>48</v>
      </c>
      <c r="P1753" t="str">
        <f>IF(Tickets[[#This Row],[Resolution Duration Hours]] &lt;= Tickets[[#This Row],[SLA_Target_Hours]], "Yes", "No")</f>
        <v>No</v>
      </c>
    </row>
    <row r="1754" spans="1:16" hidden="1">
      <c r="A1754">
        <v>1753</v>
      </c>
      <c r="B1754" t="s">
        <v>1746</v>
      </c>
      <c r="C1754" t="s">
        <v>3732</v>
      </c>
      <c r="D1754" t="s">
        <v>3988</v>
      </c>
      <c r="E1754" s="1">
        <v>44477</v>
      </c>
      <c r="F1754" t="s">
        <v>4000</v>
      </c>
      <c r="G1754" t="s">
        <v>4013</v>
      </c>
      <c r="H1754" t="s">
        <v>4018</v>
      </c>
      <c r="I1754" t="s">
        <v>4021</v>
      </c>
      <c r="J1754" t="s">
        <v>4028</v>
      </c>
      <c r="K1754" s="2">
        <v>44534</v>
      </c>
      <c r="L1754" s="2">
        <v>44536</v>
      </c>
      <c r="N1754">
        <v>48</v>
      </c>
      <c r="O1754">
        <f>IF(Tickets[[#This Row],[Ticket Priority]]="Critical",24,
IF(Tickets[[#This Row],[Ticket Priority]]="High",48,
IF(Tickets[[#This Row],[Ticket Priority]]="Medium",120,168)))</f>
        <v>48</v>
      </c>
      <c r="P1754" t="str">
        <f>IF(Tickets[[#This Row],[Resolution Duration Hours]] &lt;= Tickets[[#This Row],[SLA_Target_Hours]], "Yes", "No")</f>
        <v>Yes</v>
      </c>
    </row>
    <row r="1755" spans="1:16" hidden="1">
      <c r="A1755">
        <v>1754</v>
      </c>
      <c r="B1755" t="s">
        <v>1747</v>
      </c>
      <c r="C1755" t="s">
        <v>3733</v>
      </c>
      <c r="D1755" t="s">
        <v>3988</v>
      </c>
      <c r="E1755" s="1">
        <v>45015</v>
      </c>
      <c r="F1755" t="s">
        <v>4002</v>
      </c>
      <c r="G1755" t="s">
        <v>4011</v>
      </c>
      <c r="H1755" t="s">
        <v>4018</v>
      </c>
      <c r="I1755" t="s">
        <v>4024</v>
      </c>
      <c r="J1755" t="s">
        <v>4028</v>
      </c>
      <c r="K1755" s="2">
        <v>45245</v>
      </c>
      <c r="L1755" s="2">
        <v>45252</v>
      </c>
      <c r="M1755">
        <v>4</v>
      </c>
      <c r="N1755">
        <v>168</v>
      </c>
      <c r="O1755">
        <f>IF(Tickets[[#This Row],[Ticket Priority]]="Critical",24,
IF(Tickets[[#This Row],[Ticket Priority]]="High",48,
IF(Tickets[[#This Row],[Ticket Priority]]="Medium",120,168)))</f>
        <v>168</v>
      </c>
      <c r="P1755" t="str">
        <f>IF(Tickets[[#This Row],[Resolution Duration Hours]] &lt;= Tickets[[#This Row],[SLA_Target_Hours]], "Yes", "No")</f>
        <v>Yes</v>
      </c>
    </row>
    <row r="1756" spans="1:16" hidden="1">
      <c r="A1756">
        <v>1755</v>
      </c>
      <c r="B1756" t="s">
        <v>1748</v>
      </c>
      <c r="C1756" t="s">
        <v>3734</v>
      </c>
      <c r="D1756" t="s">
        <v>3989</v>
      </c>
      <c r="E1756" s="1">
        <v>44574</v>
      </c>
      <c r="F1756" t="s">
        <v>3998</v>
      </c>
      <c r="G1756" t="s">
        <v>4010</v>
      </c>
      <c r="H1756" t="s">
        <v>4018</v>
      </c>
      <c r="I1756" t="s">
        <v>4024</v>
      </c>
      <c r="J1756" t="s">
        <v>4026</v>
      </c>
      <c r="K1756" s="2">
        <v>44858</v>
      </c>
      <c r="L1756" s="2">
        <v>44858</v>
      </c>
      <c r="M1756">
        <v>4</v>
      </c>
      <c r="N1756">
        <v>0</v>
      </c>
      <c r="O1756">
        <f>IF(Tickets[[#This Row],[Ticket Priority]]="Critical",24,
IF(Tickets[[#This Row],[Ticket Priority]]="High",48,
IF(Tickets[[#This Row],[Ticket Priority]]="Medium",120,168)))</f>
        <v>168</v>
      </c>
      <c r="P1756" t="str">
        <f>IF(Tickets[[#This Row],[Resolution Duration Hours]] &lt;= Tickets[[#This Row],[SLA_Target_Hours]], "Yes", "No")</f>
        <v>Yes</v>
      </c>
    </row>
    <row r="1757" spans="1:16" hidden="1">
      <c r="A1757">
        <v>1756</v>
      </c>
      <c r="B1757" t="s">
        <v>1749</v>
      </c>
      <c r="C1757" t="s">
        <v>3735</v>
      </c>
      <c r="D1757" t="s">
        <v>3988</v>
      </c>
      <c r="E1757" s="1">
        <v>44332</v>
      </c>
      <c r="F1757" t="s">
        <v>4000</v>
      </c>
      <c r="G1757" t="s">
        <v>4009</v>
      </c>
      <c r="H1757" t="s">
        <v>4018</v>
      </c>
      <c r="I1757" t="s">
        <v>4024</v>
      </c>
      <c r="J1757" t="s">
        <v>4026</v>
      </c>
      <c r="K1757" s="2">
        <v>44642</v>
      </c>
      <c r="L1757" s="2">
        <v>44649</v>
      </c>
      <c r="N1757">
        <v>168</v>
      </c>
      <c r="O1757">
        <f>IF(Tickets[[#This Row],[Ticket Priority]]="Critical",24,
IF(Tickets[[#This Row],[Ticket Priority]]="High",48,
IF(Tickets[[#This Row],[Ticket Priority]]="Medium",120,168)))</f>
        <v>168</v>
      </c>
      <c r="P1757" t="str">
        <f>IF(Tickets[[#This Row],[Resolution Duration Hours]] &lt;= Tickets[[#This Row],[SLA_Target_Hours]], "Yes", "No")</f>
        <v>Yes</v>
      </c>
    </row>
    <row r="1758" spans="1:16" hidden="1">
      <c r="A1758">
        <v>1757</v>
      </c>
      <c r="B1758" t="s">
        <v>1750</v>
      </c>
      <c r="C1758" t="s">
        <v>3736</v>
      </c>
      <c r="D1758" t="s">
        <v>3993</v>
      </c>
      <c r="E1758" s="1">
        <v>43893</v>
      </c>
      <c r="F1758" t="s">
        <v>3999</v>
      </c>
      <c r="G1758" t="s">
        <v>4010</v>
      </c>
      <c r="H1758" t="s">
        <v>4018</v>
      </c>
      <c r="I1758" t="s">
        <v>4023</v>
      </c>
      <c r="J1758" t="s">
        <v>4025</v>
      </c>
      <c r="K1758" s="2">
        <v>44059</v>
      </c>
      <c r="L1758" s="2">
        <v>44061</v>
      </c>
      <c r="M1758">
        <v>4</v>
      </c>
      <c r="N1758">
        <v>48</v>
      </c>
      <c r="O1758">
        <f>IF(Tickets[[#This Row],[Ticket Priority]]="Critical",24,
IF(Tickets[[#This Row],[Ticket Priority]]="High",48,
IF(Tickets[[#This Row],[Ticket Priority]]="Medium",120,168)))</f>
        <v>120</v>
      </c>
      <c r="P1758" t="str">
        <f>IF(Tickets[[#This Row],[Resolution Duration Hours]] &lt;= Tickets[[#This Row],[SLA_Target_Hours]], "Yes", "No")</f>
        <v>Yes</v>
      </c>
    </row>
    <row r="1759" spans="1:16" hidden="1">
      <c r="A1759">
        <v>1758</v>
      </c>
      <c r="B1759" t="s">
        <v>1751</v>
      </c>
      <c r="C1759" t="s">
        <v>3737</v>
      </c>
      <c r="D1759" t="s">
        <v>3979</v>
      </c>
      <c r="E1759" s="1">
        <v>44734</v>
      </c>
      <c r="F1759" t="s">
        <v>4000</v>
      </c>
      <c r="G1759" t="s">
        <v>4007</v>
      </c>
      <c r="H1759" t="s">
        <v>4018</v>
      </c>
      <c r="I1759" t="s">
        <v>4024</v>
      </c>
      <c r="J1759" t="s">
        <v>4026</v>
      </c>
      <c r="K1759" s="2">
        <v>44997</v>
      </c>
      <c r="L1759" s="2">
        <v>45003</v>
      </c>
      <c r="N1759">
        <v>144</v>
      </c>
      <c r="O1759">
        <f>IF(Tickets[[#This Row],[Ticket Priority]]="Critical",24,
IF(Tickets[[#This Row],[Ticket Priority]]="High",48,
IF(Tickets[[#This Row],[Ticket Priority]]="Medium",120,168)))</f>
        <v>168</v>
      </c>
      <c r="P1759" t="str">
        <f>IF(Tickets[[#This Row],[Resolution Duration Hours]] &lt;= Tickets[[#This Row],[SLA_Target_Hours]], "Yes", "No")</f>
        <v>Yes</v>
      </c>
    </row>
    <row r="1760" spans="1:16">
      <c r="A1760">
        <v>246</v>
      </c>
      <c r="B1760" t="s">
        <v>259</v>
      </c>
      <c r="C1760" t="s">
        <v>2229</v>
      </c>
      <c r="D1760" t="s">
        <v>3983</v>
      </c>
      <c r="E1760" s="1">
        <v>44102</v>
      </c>
      <c r="F1760" t="s">
        <v>4002</v>
      </c>
      <c r="G1760" t="s">
        <v>4011</v>
      </c>
      <c r="H1760" t="s">
        <v>4018</v>
      </c>
      <c r="I1760" t="s">
        <v>4021</v>
      </c>
      <c r="J1760" t="s">
        <v>4028</v>
      </c>
      <c r="K1760" s="2">
        <v>44322</v>
      </c>
      <c r="L1760" s="2">
        <v>44325</v>
      </c>
      <c r="M1760">
        <v>4</v>
      </c>
      <c r="N1760">
        <v>72</v>
      </c>
      <c r="O1760">
        <f>IF(Tickets[[#This Row],[Ticket Priority]]="Critical",24,
IF(Tickets[[#This Row],[Ticket Priority]]="High",48,
IF(Tickets[[#This Row],[Ticket Priority]]="Medium",120,168)))</f>
        <v>48</v>
      </c>
      <c r="P1760" t="str">
        <f>IF(Tickets[[#This Row],[Resolution Duration Hours]] &lt;= Tickets[[#This Row],[SLA_Target_Hours]], "Yes", "No")</f>
        <v>No</v>
      </c>
    </row>
    <row r="1761" spans="1:16" hidden="1">
      <c r="A1761">
        <v>1760</v>
      </c>
      <c r="B1761" t="s">
        <v>1753</v>
      </c>
      <c r="C1761" t="s">
        <v>3739</v>
      </c>
      <c r="D1761" t="s">
        <v>3988</v>
      </c>
      <c r="E1761" s="1">
        <v>44229</v>
      </c>
      <c r="F1761" t="s">
        <v>3999</v>
      </c>
      <c r="G1761" t="s">
        <v>4005</v>
      </c>
      <c r="H1761" t="s">
        <v>4017</v>
      </c>
      <c r="I1761" t="s">
        <v>4021</v>
      </c>
      <c r="J1761" t="s">
        <v>4028</v>
      </c>
      <c r="K1761" s="2">
        <v>44472</v>
      </c>
      <c r="L1761" s="2">
        <v>44473</v>
      </c>
      <c r="N1761">
        <v>24</v>
      </c>
      <c r="O1761">
        <f>IF(Tickets[[#This Row],[Ticket Priority]]="Critical",24,
IF(Tickets[[#This Row],[Ticket Priority]]="High",48,
IF(Tickets[[#This Row],[Ticket Priority]]="Medium",120,168)))</f>
        <v>48</v>
      </c>
      <c r="P1761" t="str">
        <f>IF(Tickets[[#This Row],[Resolution Duration Hours]] &lt;= Tickets[[#This Row],[SLA_Target_Hours]], "Yes", "No")</f>
        <v>Yes</v>
      </c>
    </row>
    <row r="1762" spans="1:16" hidden="1">
      <c r="A1762">
        <v>1761</v>
      </c>
      <c r="B1762" t="s">
        <v>1754</v>
      </c>
      <c r="C1762" t="s">
        <v>3740</v>
      </c>
      <c r="D1762" t="s">
        <v>3979</v>
      </c>
      <c r="E1762" s="1">
        <v>44768</v>
      </c>
      <c r="F1762" t="s">
        <v>3998</v>
      </c>
      <c r="G1762" t="s">
        <v>4009</v>
      </c>
      <c r="H1762" t="s">
        <v>4018</v>
      </c>
      <c r="I1762" t="s">
        <v>4024</v>
      </c>
      <c r="J1762" t="s">
        <v>4026</v>
      </c>
      <c r="K1762" s="2">
        <v>44843</v>
      </c>
      <c r="L1762" s="2">
        <v>44849</v>
      </c>
      <c r="M1762">
        <v>4</v>
      </c>
      <c r="N1762">
        <v>144</v>
      </c>
      <c r="O1762">
        <f>IF(Tickets[[#This Row],[Ticket Priority]]="Critical",24,
IF(Tickets[[#This Row],[Ticket Priority]]="High",48,
IF(Tickets[[#This Row],[Ticket Priority]]="Medium",120,168)))</f>
        <v>168</v>
      </c>
      <c r="P1762" t="str">
        <f>IF(Tickets[[#This Row],[Resolution Duration Hours]] &lt;= Tickets[[#This Row],[SLA_Target_Hours]], "Yes", "No")</f>
        <v>Yes</v>
      </c>
    </row>
    <row r="1763" spans="1:16" hidden="1">
      <c r="A1763">
        <v>1762</v>
      </c>
      <c r="B1763" t="s">
        <v>1755</v>
      </c>
      <c r="C1763" t="s">
        <v>3741</v>
      </c>
      <c r="D1763" t="s">
        <v>3980</v>
      </c>
      <c r="E1763" s="1">
        <v>44984</v>
      </c>
      <c r="F1763" t="s">
        <v>3999</v>
      </c>
      <c r="G1763" t="s">
        <v>4011</v>
      </c>
      <c r="H1763" t="s">
        <v>4018</v>
      </c>
      <c r="I1763" t="s">
        <v>4021</v>
      </c>
      <c r="J1763" t="s">
        <v>4027</v>
      </c>
      <c r="K1763" s="2">
        <v>45254</v>
      </c>
      <c r="L1763" s="2">
        <v>45255</v>
      </c>
      <c r="M1763">
        <v>4</v>
      </c>
      <c r="N1763">
        <v>24</v>
      </c>
      <c r="O1763">
        <f>IF(Tickets[[#This Row],[Ticket Priority]]="Critical",24,
IF(Tickets[[#This Row],[Ticket Priority]]="High",48,
IF(Tickets[[#This Row],[Ticket Priority]]="Medium",120,168)))</f>
        <v>48</v>
      </c>
      <c r="P1763" t="str">
        <f>IF(Tickets[[#This Row],[Resolution Duration Hours]] &lt;= Tickets[[#This Row],[SLA_Target_Hours]], "Yes", "No")</f>
        <v>Yes</v>
      </c>
    </row>
    <row r="1764" spans="1:16" hidden="1">
      <c r="A1764">
        <v>1763</v>
      </c>
      <c r="B1764" t="s">
        <v>1756</v>
      </c>
      <c r="C1764" t="s">
        <v>3742</v>
      </c>
      <c r="D1764" t="s">
        <v>3985</v>
      </c>
      <c r="E1764" s="1">
        <v>44391</v>
      </c>
      <c r="F1764" t="s">
        <v>3998</v>
      </c>
      <c r="G1764" t="s">
        <v>4004</v>
      </c>
      <c r="H1764" t="s">
        <v>4018</v>
      </c>
      <c r="I1764" t="s">
        <v>4024</v>
      </c>
      <c r="J1764" t="s">
        <v>4025</v>
      </c>
      <c r="K1764" s="2">
        <v>44636</v>
      </c>
      <c r="L1764" s="2">
        <v>44640</v>
      </c>
      <c r="M1764">
        <v>3</v>
      </c>
      <c r="N1764">
        <v>96</v>
      </c>
      <c r="O1764">
        <f>IF(Tickets[[#This Row],[Ticket Priority]]="Critical",24,
IF(Tickets[[#This Row],[Ticket Priority]]="High",48,
IF(Tickets[[#This Row],[Ticket Priority]]="Medium",120,168)))</f>
        <v>168</v>
      </c>
      <c r="P1764" t="str">
        <f>IF(Tickets[[#This Row],[Resolution Duration Hours]] &lt;= Tickets[[#This Row],[SLA_Target_Hours]], "Yes", "No")</f>
        <v>Yes</v>
      </c>
    </row>
    <row r="1765" spans="1:16" hidden="1">
      <c r="A1765">
        <v>1764</v>
      </c>
      <c r="B1765" t="s">
        <v>1757</v>
      </c>
      <c r="C1765" t="s">
        <v>3743</v>
      </c>
      <c r="D1765" t="s">
        <v>3996</v>
      </c>
      <c r="E1765" s="1">
        <v>44167</v>
      </c>
      <c r="F1765" t="s">
        <v>4002</v>
      </c>
      <c r="G1765" t="s">
        <v>4004</v>
      </c>
      <c r="H1765" t="s">
        <v>4018</v>
      </c>
      <c r="I1765" t="s">
        <v>4023</v>
      </c>
      <c r="J1765" t="s">
        <v>4028</v>
      </c>
      <c r="K1765" s="2">
        <v>44530</v>
      </c>
      <c r="L1765" s="2">
        <v>44534</v>
      </c>
      <c r="M1765">
        <v>5</v>
      </c>
      <c r="N1765">
        <v>96</v>
      </c>
      <c r="O1765">
        <f>IF(Tickets[[#This Row],[Ticket Priority]]="Critical",24,
IF(Tickets[[#This Row],[Ticket Priority]]="High",48,
IF(Tickets[[#This Row],[Ticket Priority]]="Medium",120,168)))</f>
        <v>120</v>
      </c>
      <c r="P1765" t="str">
        <f>IF(Tickets[[#This Row],[Resolution Duration Hours]] &lt;= Tickets[[#This Row],[SLA_Target_Hours]], "Yes", "No")</f>
        <v>Yes</v>
      </c>
    </row>
    <row r="1766" spans="1:16" hidden="1">
      <c r="A1766">
        <v>1765</v>
      </c>
      <c r="B1766" t="s">
        <v>1758</v>
      </c>
      <c r="C1766" t="s">
        <v>3744</v>
      </c>
      <c r="D1766" t="s">
        <v>3980</v>
      </c>
      <c r="E1766" s="1">
        <v>44765</v>
      </c>
      <c r="F1766" t="s">
        <v>4002</v>
      </c>
      <c r="G1766" t="s">
        <v>4006</v>
      </c>
      <c r="H1766" t="s">
        <v>4017</v>
      </c>
      <c r="I1766" t="s">
        <v>4021</v>
      </c>
      <c r="J1766" t="s">
        <v>4027</v>
      </c>
      <c r="K1766" s="2">
        <v>44817</v>
      </c>
      <c r="L1766" s="2">
        <v>44818</v>
      </c>
      <c r="N1766">
        <v>24</v>
      </c>
      <c r="O1766">
        <f>IF(Tickets[[#This Row],[Ticket Priority]]="Critical",24,
IF(Tickets[[#This Row],[Ticket Priority]]="High",48,
IF(Tickets[[#This Row],[Ticket Priority]]="Medium",120,168)))</f>
        <v>48</v>
      </c>
      <c r="P1766" t="str">
        <f>IF(Tickets[[#This Row],[Resolution Duration Hours]] &lt;= Tickets[[#This Row],[SLA_Target_Hours]], "Yes", "No")</f>
        <v>Yes</v>
      </c>
    </row>
    <row r="1767" spans="1:16" hidden="1">
      <c r="A1767">
        <v>1766</v>
      </c>
      <c r="B1767" t="s">
        <v>1759</v>
      </c>
      <c r="C1767" t="s">
        <v>3745</v>
      </c>
      <c r="D1767" t="s">
        <v>3980</v>
      </c>
      <c r="E1767" s="1">
        <v>43997</v>
      </c>
      <c r="F1767" t="s">
        <v>4002</v>
      </c>
      <c r="G1767" t="s">
        <v>4014</v>
      </c>
      <c r="H1767" t="s">
        <v>4017</v>
      </c>
      <c r="I1767" t="s">
        <v>4023</v>
      </c>
      <c r="J1767" t="s">
        <v>4028</v>
      </c>
      <c r="K1767" s="2">
        <v>44105</v>
      </c>
      <c r="L1767" s="2">
        <v>44110</v>
      </c>
      <c r="N1767">
        <v>120</v>
      </c>
      <c r="O1767">
        <f>IF(Tickets[[#This Row],[Ticket Priority]]="Critical",24,
IF(Tickets[[#This Row],[Ticket Priority]]="High",48,
IF(Tickets[[#This Row],[Ticket Priority]]="Medium",120,168)))</f>
        <v>120</v>
      </c>
      <c r="P1767" t="str">
        <f>IF(Tickets[[#This Row],[Resolution Duration Hours]] &lt;= Tickets[[#This Row],[SLA_Target_Hours]], "Yes", "No")</f>
        <v>Yes</v>
      </c>
    </row>
    <row r="1768" spans="1:16" hidden="1">
      <c r="A1768">
        <v>1767</v>
      </c>
      <c r="B1768" t="s">
        <v>1760</v>
      </c>
      <c r="C1768" t="s">
        <v>3746</v>
      </c>
      <c r="D1768" t="s">
        <v>3985</v>
      </c>
      <c r="E1768" s="1">
        <v>44522</v>
      </c>
      <c r="F1768" t="s">
        <v>3998</v>
      </c>
      <c r="G1768" t="s">
        <v>4000</v>
      </c>
      <c r="H1768" t="s">
        <v>4017</v>
      </c>
      <c r="I1768" t="s">
        <v>4021</v>
      </c>
      <c r="J1768" t="s">
        <v>4026</v>
      </c>
      <c r="K1768" s="2">
        <v>44584</v>
      </c>
      <c r="L1768" s="2">
        <v>44585</v>
      </c>
      <c r="N1768">
        <v>24</v>
      </c>
      <c r="O1768">
        <f>IF(Tickets[[#This Row],[Ticket Priority]]="Critical",24,
IF(Tickets[[#This Row],[Ticket Priority]]="High",48,
IF(Tickets[[#This Row],[Ticket Priority]]="Medium",120,168)))</f>
        <v>48</v>
      </c>
      <c r="P1768" t="str">
        <f>IF(Tickets[[#This Row],[Resolution Duration Hours]] &lt;= Tickets[[#This Row],[SLA_Target_Hours]], "Yes", "No")</f>
        <v>Yes</v>
      </c>
    </row>
    <row r="1769" spans="1:16" hidden="1">
      <c r="A1769">
        <v>1768</v>
      </c>
      <c r="B1769" t="s">
        <v>1761</v>
      </c>
      <c r="C1769" t="s">
        <v>3747</v>
      </c>
      <c r="D1769" t="s">
        <v>3984</v>
      </c>
      <c r="E1769" s="1">
        <v>44983</v>
      </c>
      <c r="F1769" t="s">
        <v>4000</v>
      </c>
      <c r="G1769" t="s">
        <v>4015</v>
      </c>
      <c r="H1769" t="s">
        <v>4018</v>
      </c>
      <c r="I1769" t="s">
        <v>4022</v>
      </c>
      <c r="J1769" t="s">
        <v>4027</v>
      </c>
      <c r="K1769" s="2">
        <v>45205</v>
      </c>
      <c r="L1769" s="2">
        <v>45206</v>
      </c>
      <c r="M1769">
        <v>5</v>
      </c>
      <c r="N1769">
        <v>24</v>
      </c>
      <c r="O1769">
        <f>IF(Tickets[[#This Row],[Ticket Priority]]="Critical",24,
IF(Tickets[[#This Row],[Ticket Priority]]="High",48,
IF(Tickets[[#This Row],[Ticket Priority]]="Medium",120,168)))</f>
        <v>24</v>
      </c>
      <c r="P1769" t="str">
        <f>IF(Tickets[[#This Row],[Resolution Duration Hours]] &lt;= Tickets[[#This Row],[SLA_Target_Hours]], "Yes", "No")</f>
        <v>Yes</v>
      </c>
    </row>
    <row r="1770" spans="1:16" hidden="1">
      <c r="A1770">
        <v>1769</v>
      </c>
      <c r="B1770" t="s">
        <v>1762</v>
      </c>
      <c r="C1770" t="s">
        <v>3748</v>
      </c>
      <c r="D1770" t="s">
        <v>3987</v>
      </c>
      <c r="E1770" s="1">
        <v>44300</v>
      </c>
      <c r="F1770" t="s">
        <v>4002</v>
      </c>
      <c r="G1770" t="s">
        <v>4006</v>
      </c>
      <c r="H1770" t="s">
        <v>4018</v>
      </c>
      <c r="I1770" t="s">
        <v>4023</v>
      </c>
      <c r="J1770" t="s">
        <v>4027</v>
      </c>
      <c r="K1770" s="2">
        <v>44580</v>
      </c>
      <c r="L1770" s="2">
        <v>44583</v>
      </c>
      <c r="M1770">
        <v>4</v>
      </c>
      <c r="N1770">
        <v>72</v>
      </c>
      <c r="O1770">
        <f>IF(Tickets[[#This Row],[Ticket Priority]]="Critical",24,
IF(Tickets[[#This Row],[Ticket Priority]]="High",48,
IF(Tickets[[#This Row],[Ticket Priority]]="Medium",120,168)))</f>
        <v>120</v>
      </c>
      <c r="P1770" t="str">
        <f>IF(Tickets[[#This Row],[Resolution Duration Hours]] &lt;= Tickets[[#This Row],[SLA_Target_Hours]], "Yes", "No")</f>
        <v>Yes</v>
      </c>
    </row>
    <row r="1771" spans="1:16" hidden="1">
      <c r="A1771">
        <v>1770</v>
      </c>
      <c r="B1771" t="s">
        <v>1763</v>
      </c>
      <c r="C1771" t="s">
        <v>3749</v>
      </c>
      <c r="D1771" t="s">
        <v>3983</v>
      </c>
      <c r="E1771" s="1">
        <v>45062</v>
      </c>
      <c r="F1771" t="s">
        <v>3998</v>
      </c>
      <c r="G1771" t="s">
        <v>4013</v>
      </c>
      <c r="H1771" t="s">
        <v>4020</v>
      </c>
      <c r="I1771" t="s">
        <v>4024</v>
      </c>
      <c r="J1771" t="s">
        <v>4026</v>
      </c>
      <c r="K1771" s="2">
        <v>45394</v>
      </c>
      <c r="L1771" s="2">
        <v>45399</v>
      </c>
      <c r="N1771">
        <v>120</v>
      </c>
      <c r="O1771">
        <f>IF(Tickets[[#This Row],[Ticket Priority]]="Critical",24,
IF(Tickets[[#This Row],[Ticket Priority]]="High",48,
IF(Tickets[[#This Row],[Ticket Priority]]="Medium",120,168)))</f>
        <v>168</v>
      </c>
      <c r="P1771" t="str">
        <f>IF(Tickets[[#This Row],[Resolution Duration Hours]] &lt;= Tickets[[#This Row],[SLA_Target_Hours]], "Yes", "No")</f>
        <v>Yes</v>
      </c>
    </row>
    <row r="1772" spans="1:16" hidden="1">
      <c r="A1772">
        <v>1771</v>
      </c>
      <c r="B1772" t="s">
        <v>1340</v>
      </c>
      <c r="C1772" t="s">
        <v>3750</v>
      </c>
      <c r="D1772" t="s">
        <v>3985</v>
      </c>
      <c r="E1772" s="1">
        <v>44731</v>
      </c>
      <c r="F1772" t="s">
        <v>4001</v>
      </c>
      <c r="G1772" t="s">
        <v>4005</v>
      </c>
      <c r="H1772" t="s">
        <v>4018</v>
      </c>
      <c r="I1772" t="s">
        <v>4023</v>
      </c>
      <c r="J1772" t="s">
        <v>4026</v>
      </c>
      <c r="K1772" s="2">
        <v>44830</v>
      </c>
      <c r="L1772" s="2">
        <v>44833</v>
      </c>
      <c r="M1772">
        <v>4</v>
      </c>
      <c r="N1772">
        <v>72</v>
      </c>
      <c r="O1772">
        <f>IF(Tickets[[#This Row],[Ticket Priority]]="Critical",24,
IF(Tickets[[#This Row],[Ticket Priority]]="High",48,
IF(Tickets[[#This Row],[Ticket Priority]]="Medium",120,168)))</f>
        <v>120</v>
      </c>
      <c r="P1772" t="str">
        <f>IF(Tickets[[#This Row],[Resolution Duration Hours]] &lt;= Tickets[[#This Row],[SLA_Target_Hours]], "Yes", "No")</f>
        <v>Yes</v>
      </c>
    </row>
    <row r="1773" spans="1:16" hidden="1">
      <c r="A1773">
        <v>1772</v>
      </c>
      <c r="B1773" t="s">
        <v>1764</v>
      </c>
      <c r="C1773" t="s">
        <v>3751</v>
      </c>
      <c r="D1773" t="s">
        <v>3987</v>
      </c>
      <c r="E1773" s="1">
        <v>44165</v>
      </c>
      <c r="F1773" t="s">
        <v>3998</v>
      </c>
      <c r="G1773" t="s">
        <v>4000</v>
      </c>
      <c r="H1773" t="s">
        <v>4020</v>
      </c>
      <c r="I1773" t="s">
        <v>4023</v>
      </c>
      <c r="J1773" t="s">
        <v>4027</v>
      </c>
      <c r="K1773" s="2">
        <v>44399</v>
      </c>
      <c r="L1773" s="2">
        <v>44401</v>
      </c>
      <c r="N1773">
        <v>48</v>
      </c>
      <c r="O1773">
        <f>IF(Tickets[[#This Row],[Ticket Priority]]="Critical",24,
IF(Tickets[[#This Row],[Ticket Priority]]="High",48,
IF(Tickets[[#This Row],[Ticket Priority]]="Medium",120,168)))</f>
        <v>120</v>
      </c>
      <c r="P1773" t="str">
        <f>IF(Tickets[[#This Row],[Resolution Duration Hours]] &lt;= Tickets[[#This Row],[SLA_Target_Hours]], "Yes", "No")</f>
        <v>Yes</v>
      </c>
    </row>
    <row r="1774" spans="1:16" hidden="1">
      <c r="A1774">
        <v>1773</v>
      </c>
      <c r="B1774" t="s">
        <v>1765</v>
      </c>
      <c r="C1774" t="s">
        <v>3752</v>
      </c>
      <c r="D1774" t="s">
        <v>3984</v>
      </c>
      <c r="E1774" s="1">
        <v>44102</v>
      </c>
      <c r="F1774" t="s">
        <v>3999</v>
      </c>
      <c r="G1774" t="s">
        <v>4003</v>
      </c>
      <c r="H1774" t="s">
        <v>4020</v>
      </c>
      <c r="I1774" t="s">
        <v>4024</v>
      </c>
      <c r="J1774" t="s">
        <v>4026</v>
      </c>
      <c r="K1774" s="2">
        <v>44140</v>
      </c>
      <c r="L1774" s="2">
        <v>44146</v>
      </c>
      <c r="N1774">
        <v>144</v>
      </c>
      <c r="O1774">
        <f>IF(Tickets[[#This Row],[Ticket Priority]]="Critical",24,
IF(Tickets[[#This Row],[Ticket Priority]]="High",48,
IF(Tickets[[#This Row],[Ticket Priority]]="Medium",120,168)))</f>
        <v>168</v>
      </c>
      <c r="P1774" t="str">
        <f>IF(Tickets[[#This Row],[Resolution Duration Hours]] &lt;= Tickets[[#This Row],[SLA_Target_Hours]], "Yes", "No")</f>
        <v>Yes</v>
      </c>
    </row>
    <row r="1775" spans="1:16" hidden="1">
      <c r="A1775">
        <v>1774</v>
      </c>
      <c r="B1775" t="s">
        <v>1766</v>
      </c>
      <c r="C1775" t="s">
        <v>3753</v>
      </c>
      <c r="D1775" t="s">
        <v>3988</v>
      </c>
      <c r="E1775" s="1">
        <v>44268</v>
      </c>
      <c r="F1775" t="s">
        <v>4002</v>
      </c>
      <c r="G1775" t="s">
        <v>4012</v>
      </c>
      <c r="H1775" t="s">
        <v>4018</v>
      </c>
      <c r="I1775" t="s">
        <v>4023</v>
      </c>
      <c r="J1775" t="s">
        <v>4025</v>
      </c>
      <c r="K1775" s="2">
        <v>44274</v>
      </c>
      <c r="L1775" s="2">
        <v>44275</v>
      </c>
      <c r="M1775">
        <v>4</v>
      </c>
      <c r="N1775">
        <v>24</v>
      </c>
      <c r="O1775">
        <f>IF(Tickets[[#This Row],[Ticket Priority]]="Critical",24,
IF(Tickets[[#This Row],[Ticket Priority]]="High",48,
IF(Tickets[[#This Row],[Ticket Priority]]="Medium",120,168)))</f>
        <v>120</v>
      </c>
      <c r="P1775" t="str">
        <f>IF(Tickets[[#This Row],[Resolution Duration Hours]] &lt;= Tickets[[#This Row],[SLA_Target_Hours]], "Yes", "No")</f>
        <v>Yes</v>
      </c>
    </row>
    <row r="1776" spans="1:16" hidden="1">
      <c r="A1776">
        <v>1775</v>
      </c>
      <c r="B1776" t="s">
        <v>1767</v>
      </c>
      <c r="C1776" t="s">
        <v>3754</v>
      </c>
      <c r="D1776" t="s">
        <v>3984</v>
      </c>
      <c r="E1776" s="1">
        <v>44526</v>
      </c>
      <c r="F1776" t="s">
        <v>4001</v>
      </c>
      <c r="G1776" t="s">
        <v>4004</v>
      </c>
      <c r="H1776" t="s">
        <v>4018</v>
      </c>
      <c r="I1776" t="s">
        <v>4023</v>
      </c>
      <c r="J1776" t="s">
        <v>4028</v>
      </c>
      <c r="K1776" s="2">
        <v>44803</v>
      </c>
      <c r="L1776" s="2">
        <v>44806</v>
      </c>
      <c r="M1776">
        <v>4</v>
      </c>
      <c r="N1776">
        <v>72</v>
      </c>
      <c r="O1776">
        <f>IF(Tickets[[#This Row],[Ticket Priority]]="Critical",24,
IF(Tickets[[#This Row],[Ticket Priority]]="High",48,
IF(Tickets[[#This Row],[Ticket Priority]]="Medium",120,168)))</f>
        <v>120</v>
      </c>
      <c r="P1776" t="str">
        <f>IF(Tickets[[#This Row],[Resolution Duration Hours]] &lt;= Tickets[[#This Row],[SLA_Target_Hours]], "Yes", "No")</f>
        <v>Yes</v>
      </c>
    </row>
    <row r="1777" spans="1:16" hidden="1">
      <c r="A1777">
        <v>1776</v>
      </c>
      <c r="B1777" t="s">
        <v>1768</v>
      </c>
      <c r="C1777" t="s">
        <v>3755</v>
      </c>
      <c r="D1777" t="s">
        <v>3981</v>
      </c>
      <c r="E1777" s="1">
        <v>45061</v>
      </c>
      <c r="F1777" t="s">
        <v>3998</v>
      </c>
      <c r="G1777" t="s">
        <v>4009</v>
      </c>
      <c r="H1777" t="s">
        <v>4018</v>
      </c>
      <c r="I1777" t="s">
        <v>4023</v>
      </c>
      <c r="J1777" t="s">
        <v>4028</v>
      </c>
      <c r="K1777" s="2">
        <v>45348</v>
      </c>
      <c r="L1777" s="2">
        <v>45351</v>
      </c>
      <c r="M1777">
        <v>4</v>
      </c>
      <c r="N1777">
        <v>72</v>
      </c>
      <c r="O1777">
        <f>IF(Tickets[[#This Row],[Ticket Priority]]="Critical",24,
IF(Tickets[[#This Row],[Ticket Priority]]="High",48,
IF(Tickets[[#This Row],[Ticket Priority]]="Medium",120,168)))</f>
        <v>120</v>
      </c>
      <c r="P1777" t="str">
        <f>IF(Tickets[[#This Row],[Resolution Duration Hours]] &lt;= Tickets[[#This Row],[SLA_Target_Hours]], "Yes", "No")</f>
        <v>Yes</v>
      </c>
    </row>
    <row r="1778" spans="1:16">
      <c r="A1778">
        <v>294</v>
      </c>
      <c r="B1778" t="s">
        <v>307</v>
      </c>
      <c r="C1778" t="s">
        <v>2277</v>
      </c>
      <c r="D1778" t="s">
        <v>3994</v>
      </c>
      <c r="E1778" s="1">
        <v>44707</v>
      </c>
      <c r="F1778" t="s">
        <v>3999</v>
      </c>
      <c r="G1778" t="s">
        <v>4007</v>
      </c>
      <c r="H1778" t="s">
        <v>4020</v>
      </c>
      <c r="I1778" t="s">
        <v>4021</v>
      </c>
      <c r="J1778" t="s">
        <v>4026</v>
      </c>
      <c r="K1778" s="2">
        <v>44929</v>
      </c>
      <c r="L1778" s="2">
        <v>44932</v>
      </c>
      <c r="N1778">
        <v>72</v>
      </c>
      <c r="O1778">
        <f>IF(Tickets[[#This Row],[Ticket Priority]]="Critical",24,
IF(Tickets[[#This Row],[Ticket Priority]]="High",48,
IF(Tickets[[#This Row],[Ticket Priority]]="Medium",120,168)))</f>
        <v>48</v>
      </c>
      <c r="P1778" t="str">
        <f>IF(Tickets[[#This Row],[Resolution Duration Hours]] &lt;= Tickets[[#This Row],[SLA_Target_Hours]], "Yes", "No")</f>
        <v>No</v>
      </c>
    </row>
    <row r="1779" spans="1:16" hidden="1">
      <c r="A1779">
        <v>1778</v>
      </c>
      <c r="B1779" t="s">
        <v>1770</v>
      </c>
      <c r="C1779" t="s">
        <v>3757</v>
      </c>
      <c r="D1779" t="s">
        <v>3992</v>
      </c>
      <c r="E1779" s="1">
        <v>44101</v>
      </c>
      <c r="F1779" t="s">
        <v>3998</v>
      </c>
      <c r="G1779" t="s">
        <v>4011</v>
      </c>
      <c r="H1779" t="s">
        <v>4018</v>
      </c>
      <c r="I1779" t="s">
        <v>4022</v>
      </c>
      <c r="J1779" t="s">
        <v>4025</v>
      </c>
      <c r="K1779" s="2">
        <v>44415</v>
      </c>
      <c r="L1779" s="2">
        <v>44415</v>
      </c>
      <c r="N1779">
        <v>0</v>
      </c>
      <c r="O1779">
        <f>IF(Tickets[[#This Row],[Ticket Priority]]="Critical",24,
IF(Tickets[[#This Row],[Ticket Priority]]="High",48,
IF(Tickets[[#This Row],[Ticket Priority]]="Medium",120,168)))</f>
        <v>24</v>
      </c>
      <c r="P1779" t="str">
        <f>IF(Tickets[[#This Row],[Resolution Duration Hours]] &lt;= Tickets[[#This Row],[SLA_Target_Hours]], "Yes", "No")</f>
        <v>Yes</v>
      </c>
    </row>
    <row r="1780" spans="1:16" hidden="1">
      <c r="A1780">
        <v>1779</v>
      </c>
      <c r="B1780" t="s">
        <v>1771</v>
      </c>
      <c r="C1780" t="s">
        <v>3758</v>
      </c>
      <c r="D1780" t="s">
        <v>3987</v>
      </c>
      <c r="E1780" s="1">
        <v>44390</v>
      </c>
      <c r="F1780" t="s">
        <v>3999</v>
      </c>
      <c r="G1780" t="s">
        <v>4011</v>
      </c>
      <c r="H1780" t="s">
        <v>4017</v>
      </c>
      <c r="I1780" t="s">
        <v>4021</v>
      </c>
      <c r="J1780" t="s">
        <v>4027</v>
      </c>
      <c r="K1780" s="2">
        <v>44744</v>
      </c>
      <c r="L1780" s="2">
        <v>44745</v>
      </c>
      <c r="N1780">
        <v>24</v>
      </c>
      <c r="O1780">
        <f>IF(Tickets[[#This Row],[Ticket Priority]]="Critical",24,
IF(Tickets[[#This Row],[Ticket Priority]]="High",48,
IF(Tickets[[#This Row],[Ticket Priority]]="Medium",120,168)))</f>
        <v>48</v>
      </c>
      <c r="P1780" t="str">
        <f>IF(Tickets[[#This Row],[Resolution Duration Hours]] &lt;= Tickets[[#This Row],[SLA_Target_Hours]], "Yes", "No")</f>
        <v>Yes</v>
      </c>
    </row>
    <row r="1781" spans="1:16" hidden="1">
      <c r="A1781">
        <v>1780</v>
      </c>
      <c r="B1781" t="s">
        <v>1772</v>
      </c>
      <c r="C1781" t="s">
        <v>3759</v>
      </c>
      <c r="D1781" t="s">
        <v>3997</v>
      </c>
      <c r="E1781" s="1">
        <v>44531</v>
      </c>
      <c r="F1781" t="s">
        <v>3998</v>
      </c>
      <c r="G1781" t="s">
        <v>4007</v>
      </c>
      <c r="H1781" t="s">
        <v>4018</v>
      </c>
      <c r="I1781" t="s">
        <v>4024</v>
      </c>
      <c r="J1781" t="s">
        <v>4027</v>
      </c>
      <c r="K1781" s="2">
        <v>44826</v>
      </c>
      <c r="L1781" s="2">
        <v>44830</v>
      </c>
      <c r="N1781">
        <v>96</v>
      </c>
      <c r="O1781">
        <f>IF(Tickets[[#This Row],[Ticket Priority]]="Critical",24,
IF(Tickets[[#This Row],[Ticket Priority]]="High",48,
IF(Tickets[[#This Row],[Ticket Priority]]="Medium",120,168)))</f>
        <v>168</v>
      </c>
      <c r="P1781" t="str">
        <f>IF(Tickets[[#This Row],[Resolution Duration Hours]] &lt;= Tickets[[#This Row],[SLA_Target_Hours]], "Yes", "No")</f>
        <v>Yes</v>
      </c>
    </row>
    <row r="1782" spans="1:16" hidden="1">
      <c r="A1782">
        <v>1781</v>
      </c>
      <c r="B1782" t="s">
        <v>1773</v>
      </c>
      <c r="C1782" t="s">
        <v>3760</v>
      </c>
      <c r="D1782" t="s">
        <v>3988</v>
      </c>
      <c r="E1782" s="1">
        <v>44056</v>
      </c>
      <c r="F1782" t="s">
        <v>3999</v>
      </c>
      <c r="G1782" t="s">
        <v>4015</v>
      </c>
      <c r="H1782" t="s">
        <v>4017</v>
      </c>
      <c r="I1782" t="s">
        <v>4023</v>
      </c>
      <c r="J1782" t="s">
        <v>4028</v>
      </c>
      <c r="K1782" s="2">
        <v>44292</v>
      </c>
      <c r="L1782" s="2">
        <v>44295</v>
      </c>
      <c r="N1782">
        <v>72</v>
      </c>
      <c r="O1782">
        <f>IF(Tickets[[#This Row],[Ticket Priority]]="Critical",24,
IF(Tickets[[#This Row],[Ticket Priority]]="High",48,
IF(Tickets[[#This Row],[Ticket Priority]]="Medium",120,168)))</f>
        <v>120</v>
      </c>
      <c r="P1782" t="str">
        <f>IF(Tickets[[#This Row],[Resolution Duration Hours]] &lt;= Tickets[[#This Row],[SLA_Target_Hours]], "Yes", "No")</f>
        <v>Yes</v>
      </c>
    </row>
    <row r="1783" spans="1:16" hidden="1">
      <c r="A1783">
        <v>1782</v>
      </c>
      <c r="B1783" t="s">
        <v>1774</v>
      </c>
      <c r="C1783" t="s">
        <v>3761</v>
      </c>
      <c r="D1783" t="s">
        <v>3988</v>
      </c>
      <c r="E1783" s="1">
        <v>44907</v>
      </c>
      <c r="F1783" t="s">
        <v>3998</v>
      </c>
      <c r="G1783" t="s">
        <v>4014</v>
      </c>
      <c r="H1783" t="s">
        <v>4018</v>
      </c>
      <c r="I1783" t="s">
        <v>4023</v>
      </c>
      <c r="J1783" t="s">
        <v>4028</v>
      </c>
      <c r="K1783" s="2">
        <v>45250</v>
      </c>
      <c r="L1783" s="2">
        <v>45253</v>
      </c>
      <c r="M1783">
        <v>3</v>
      </c>
      <c r="N1783">
        <v>72</v>
      </c>
      <c r="O1783">
        <f>IF(Tickets[[#This Row],[Ticket Priority]]="Critical",24,
IF(Tickets[[#This Row],[Ticket Priority]]="High",48,
IF(Tickets[[#This Row],[Ticket Priority]]="Medium",120,168)))</f>
        <v>120</v>
      </c>
      <c r="P1783" t="str">
        <f>IF(Tickets[[#This Row],[Resolution Duration Hours]] &lt;= Tickets[[#This Row],[SLA_Target_Hours]], "Yes", "No")</f>
        <v>Yes</v>
      </c>
    </row>
    <row r="1784" spans="1:16" hidden="1">
      <c r="A1784">
        <v>1783</v>
      </c>
      <c r="B1784" t="s">
        <v>1775</v>
      </c>
      <c r="C1784" t="s">
        <v>3762</v>
      </c>
      <c r="D1784" t="s">
        <v>3980</v>
      </c>
      <c r="E1784" s="1">
        <v>44686</v>
      </c>
      <c r="F1784" t="s">
        <v>3999</v>
      </c>
      <c r="G1784" t="s">
        <v>4004</v>
      </c>
      <c r="H1784" t="s">
        <v>4017</v>
      </c>
      <c r="I1784" t="s">
        <v>4023</v>
      </c>
      <c r="J1784" t="s">
        <v>4027</v>
      </c>
      <c r="K1784" s="2">
        <v>44892</v>
      </c>
      <c r="L1784" s="2">
        <v>44893</v>
      </c>
      <c r="N1784">
        <v>24</v>
      </c>
      <c r="O1784">
        <f>IF(Tickets[[#This Row],[Ticket Priority]]="Critical",24,
IF(Tickets[[#This Row],[Ticket Priority]]="High",48,
IF(Tickets[[#This Row],[Ticket Priority]]="Medium",120,168)))</f>
        <v>120</v>
      </c>
      <c r="P1784" t="str">
        <f>IF(Tickets[[#This Row],[Resolution Duration Hours]] &lt;= Tickets[[#This Row],[SLA_Target_Hours]], "Yes", "No")</f>
        <v>Yes</v>
      </c>
    </row>
    <row r="1785" spans="1:16" hidden="1">
      <c r="A1785">
        <v>1784</v>
      </c>
      <c r="B1785" t="s">
        <v>1776</v>
      </c>
      <c r="C1785" t="s">
        <v>3763</v>
      </c>
      <c r="D1785" t="s">
        <v>3980</v>
      </c>
      <c r="E1785" s="1">
        <v>44444</v>
      </c>
      <c r="F1785" t="s">
        <v>3999</v>
      </c>
      <c r="G1785" t="s">
        <v>4006</v>
      </c>
      <c r="H1785" t="s">
        <v>4018</v>
      </c>
      <c r="I1785" t="s">
        <v>4024</v>
      </c>
      <c r="J1785" t="s">
        <v>4025</v>
      </c>
      <c r="K1785" s="2">
        <v>44482</v>
      </c>
      <c r="L1785" s="2">
        <v>44487</v>
      </c>
      <c r="M1785">
        <v>4</v>
      </c>
      <c r="N1785">
        <v>120</v>
      </c>
      <c r="O1785">
        <f>IF(Tickets[[#This Row],[Ticket Priority]]="Critical",24,
IF(Tickets[[#This Row],[Ticket Priority]]="High",48,
IF(Tickets[[#This Row],[Ticket Priority]]="Medium",120,168)))</f>
        <v>168</v>
      </c>
      <c r="P1785" t="str">
        <f>IF(Tickets[[#This Row],[Resolution Duration Hours]] &lt;= Tickets[[#This Row],[SLA_Target_Hours]], "Yes", "No")</f>
        <v>Yes</v>
      </c>
    </row>
    <row r="1786" spans="1:16" hidden="1">
      <c r="A1786">
        <v>1785</v>
      </c>
      <c r="B1786" t="s">
        <v>1777</v>
      </c>
      <c r="C1786" t="s">
        <v>3764</v>
      </c>
      <c r="D1786" t="s">
        <v>3991</v>
      </c>
      <c r="E1786" s="1">
        <v>44831</v>
      </c>
      <c r="F1786" t="s">
        <v>3998</v>
      </c>
      <c r="G1786" t="s">
        <v>4014</v>
      </c>
      <c r="H1786" t="s">
        <v>4017</v>
      </c>
      <c r="I1786" t="s">
        <v>4023</v>
      </c>
      <c r="J1786" t="s">
        <v>4026</v>
      </c>
      <c r="K1786" s="2">
        <v>45008</v>
      </c>
      <c r="L1786" s="2">
        <v>45012</v>
      </c>
      <c r="N1786">
        <v>96</v>
      </c>
      <c r="O1786">
        <f>IF(Tickets[[#This Row],[Ticket Priority]]="Critical",24,
IF(Tickets[[#This Row],[Ticket Priority]]="High",48,
IF(Tickets[[#This Row],[Ticket Priority]]="Medium",120,168)))</f>
        <v>120</v>
      </c>
      <c r="P1786" t="str">
        <f>IF(Tickets[[#This Row],[Resolution Duration Hours]] &lt;= Tickets[[#This Row],[SLA_Target_Hours]], "Yes", "No")</f>
        <v>Yes</v>
      </c>
    </row>
    <row r="1787" spans="1:16" hidden="1">
      <c r="A1787">
        <v>1786</v>
      </c>
      <c r="B1787" t="s">
        <v>1778</v>
      </c>
      <c r="C1787" t="s">
        <v>3765</v>
      </c>
      <c r="D1787" t="s">
        <v>3987</v>
      </c>
      <c r="E1787" s="1">
        <v>45073</v>
      </c>
      <c r="F1787" t="s">
        <v>4001</v>
      </c>
      <c r="G1787" t="s">
        <v>4003</v>
      </c>
      <c r="H1787" t="s">
        <v>4018</v>
      </c>
      <c r="I1787" t="s">
        <v>4024</v>
      </c>
      <c r="J1787" t="s">
        <v>4026</v>
      </c>
      <c r="K1787" s="2">
        <v>45368</v>
      </c>
      <c r="L1787" s="2">
        <v>45373</v>
      </c>
      <c r="M1787">
        <v>4</v>
      </c>
      <c r="N1787">
        <v>120</v>
      </c>
      <c r="O1787">
        <f>IF(Tickets[[#This Row],[Ticket Priority]]="Critical",24,
IF(Tickets[[#This Row],[Ticket Priority]]="High",48,
IF(Tickets[[#This Row],[Ticket Priority]]="Medium",120,168)))</f>
        <v>168</v>
      </c>
      <c r="P1787" t="str">
        <f>IF(Tickets[[#This Row],[Resolution Duration Hours]] &lt;= Tickets[[#This Row],[SLA_Target_Hours]], "Yes", "No")</f>
        <v>Yes</v>
      </c>
    </row>
    <row r="1788" spans="1:16" hidden="1">
      <c r="A1788">
        <v>1787</v>
      </c>
      <c r="B1788" t="s">
        <v>1779</v>
      </c>
      <c r="C1788" t="s">
        <v>3766</v>
      </c>
      <c r="D1788" t="s">
        <v>3993</v>
      </c>
      <c r="E1788" s="1">
        <v>44672</v>
      </c>
      <c r="F1788" t="s">
        <v>4000</v>
      </c>
      <c r="G1788" t="s">
        <v>4014</v>
      </c>
      <c r="H1788" t="s">
        <v>4018</v>
      </c>
      <c r="I1788" t="s">
        <v>4023</v>
      </c>
      <c r="J1788" t="s">
        <v>4026</v>
      </c>
      <c r="K1788" s="2">
        <v>45032</v>
      </c>
      <c r="L1788" s="2">
        <v>45034</v>
      </c>
      <c r="M1788">
        <v>4</v>
      </c>
      <c r="N1788">
        <v>48</v>
      </c>
      <c r="O1788">
        <f>IF(Tickets[[#This Row],[Ticket Priority]]="Critical",24,
IF(Tickets[[#This Row],[Ticket Priority]]="High",48,
IF(Tickets[[#This Row],[Ticket Priority]]="Medium",120,168)))</f>
        <v>120</v>
      </c>
      <c r="P1788" t="str">
        <f>IF(Tickets[[#This Row],[Resolution Duration Hours]] &lt;= Tickets[[#This Row],[SLA_Target_Hours]], "Yes", "No")</f>
        <v>Yes</v>
      </c>
    </row>
    <row r="1789" spans="1:16" hidden="1">
      <c r="A1789">
        <v>1788</v>
      </c>
      <c r="B1789" t="s">
        <v>1780</v>
      </c>
      <c r="C1789" t="s">
        <v>3767</v>
      </c>
      <c r="D1789" t="s">
        <v>3991</v>
      </c>
      <c r="E1789" s="1">
        <v>45036</v>
      </c>
      <c r="F1789" t="s">
        <v>3998</v>
      </c>
      <c r="G1789" t="s">
        <v>4013</v>
      </c>
      <c r="H1789" t="s">
        <v>4017</v>
      </c>
      <c r="I1789" t="s">
        <v>4024</v>
      </c>
      <c r="J1789" t="s">
        <v>4026</v>
      </c>
      <c r="K1789" s="2">
        <v>45348</v>
      </c>
      <c r="L1789" s="2">
        <v>45352</v>
      </c>
      <c r="N1789">
        <v>96</v>
      </c>
      <c r="O1789">
        <f>IF(Tickets[[#This Row],[Ticket Priority]]="Critical",24,
IF(Tickets[[#This Row],[Ticket Priority]]="High",48,
IF(Tickets[[#This Row],[Ticket Priority]]="Medium",120,168)))</f>
        <v>168</v>
      </c>
      <c r="P1789" t="str">
        <f>IF(Tickets[[#This Row],[Resolution Duration Hours]] &lt;= Tickets[[#This Row],[SLA_Target_Hours]], "Yes", "No")</f>
        <v>Yes</v>
      </c>
    </row>
    <row r="1790" spans="1:16" hidden="1">
      <c r="A1790">
        <v>1789</v>
      </c>
      <c r="B1790" t="s">
        <v>1781</v>
      </c>
      <c r="C1790" t="s">
        <v>3768</v>
      </c>
      <c r="D1790" t="s">
        <v>3997</v>
      </c>
      <c r="E1790" s="1">
        <v>43847</v>
      </c>
      <c r="F1790" t="s">
        <v>4001</v>
      </c>
      <c r="G1790" t="s">
        <v>4000</v>
      </c>
      <c r="H1790" t="s">
        <v>4017</v>
      </c>
      <c r="I1790" t="s">
        <v>4023</v>
      </c>
      <c r="J1790" t="s">
        <v>4027</v>
      </c>
      <c r="K1790" s="2">
        <v>43940</v>
      </c>
      <c r="L1790" s="2">
        <v>43944</v>
      </c>
      <c r="N1790">
        <v>96</v>
      </c>
      <c r="O1790">
        <f>IF(Tickets[[#This Row],[Ticket Priority]]="Critical",24,
IF(Tickets[[#This Row],[Ticket Priority]]="High",48,
IF(Tickets[[#This Row],[Ticket Priority]]="Medium",120,168)))</f>
        <v>120</v>
      </c>
      <c r="P1790" t="str">
        <f>IF(Tickets[[#This Row],[Resolution Duration Hours]] &lt;= Tickets[[#This Row],[SLA_Target_Hours]], "Yes", "No")</f>
        <v>Yes</v>
      </c>
    </row>
    <row r="1791" spans="1:16" hidden="1">
      <c r="A1791">
        <v>1790</v>
      </c>
      <c r="B1791" t="s">
        <v>1782</v>
      </c>
      <c r="C1791" t="s">
        <v>3769</v>
      </c>
      <c r="D1791" t="s">
        <v>3991</v>
      </c>
      <c r="E1791" s="1">
        <v>44817</v>
      </c>
      <c r="F1791" t="s">
        <v>4001</v>
      </c>
      <c r="G1791" t="s">
        <v>4003</v>
      </c>
      <c r="H1791" t="s">
        <v>4018</v>
      </c>
      <c r="I1791" t="s">
        <v>4022</v>
      </c>
      <c r="J1791" t="s">
        <v>4025</v>
      </c>
      <c r="K1791" s="2">
        <v>45008</v>
      </c>
      <c r="L1791" s="2">
        <v>45008</v>
      </c>
      <c r="M1791">
        <v>4</v>
      </c>
      <c r="N1791">
        <v>0</v>
      </c>
      <c r="O1791">
        <f>IF(Tickets[[#This Row],[Ticket Priority]]="Critical",24,
IF(Tickets[[#This Row],[Ticket Priority]]="High",48,
IF(Tickets[[#This Row],[Ticket Priority]]="Medium",120,168)))</f>
        <v>24</v>
      </c>
      <c r="P1791" t="str">
        <f>IF(Tickets[[#This Row],[Resolution Duration Hours]] &lt;= Tickets[[#This Row],[SLA_Target_Hours]], "Yes", "No")</f>
        <v>Yes</v>
      </c>
    </row>
    <row r="1792" spans="1:16" hidden="1">
      <c r="A1792">
        <v>1791</v>
      </c>
      <c r="B1792" t="s">
        <v>1783</v>
      </c>
      <c r="C1792" t="s">
        <v>3770</v>
      </c>
      <c r="D1792" t="s">
        <v>3981</v>
      </c>
      <c r="E1792" s="1">
        <v>44919</v>
      </c>
      <c r="F1792" t="s">
        <v>4001</v>
      </c>
      <c r="G1792" t="s">
        <v>4007</v>
      </c>
      <c r="H1792" t="s">
        <v>4017</v>
      </c>
      <c r="I1792" t="s">
        <v>4024</v>
      </c>
      <c r="J1792" t="s">
        <v>4025</v>
      </c>
      <c r="K1792" s="2">
        <v>44919</v>
      </c>
      <c r="L1792" s="2">
        <v>44926</v>
      </c>
      <c r="N1792">
        <v>168</v>
      </c>
      <c r="O1792">
        <f>IF(Tickets[[#This Row],[Ticket Priority]]="Critical",24,
IF(Tickets[[#This Row],[Ticket Priority]]="High",48,
IF(Tickets[[#This Row],[Ticket Priority]]="Medium",120,168)))</f>
        <v>168</v>
      </c>
      <c r="P1792" t="str">
        <f>IF(Tickets[[#This Row],[Resolution Duration Hours]] &lt;= Tickets[[#This Row],[SLA_Target_Hours]], "Yes", "No")</f>
        <v>Yes</v>
      </c>
    </row>
    <row r="1793" spans="1:16" hidden="1">
      <c r="A1793">
        <v>1792</v>
      </c>
      <c r="B1793" t="s">
        <v>1784</v>
      </c>
      <c r="C1793" t="s">
        <v>3771</v>
      </c>
      <c r="D1793" t="s">
        <v>3982</v>
      </c>
      <c r="E1793" s="1">
        <v>44894</v>
      </c>
      <c r="F1793" t="s">
        <v>4001</v>
      </c>
      <c r="G1793" t="s">
        <v>4016</v>
      </c>
      <c r="H1793" t="s">
        <v>4020</v>
      </c>
      <c r="I1793" t="s">
        <v>4024</v>
      </c>
      <c r="J1793" t="s">
        <v>4025</v>
      </c>
      <c r="K1793" s="2">
        <v>45112</v>
      </c>
      <c r="L1793" s="2">
        <v>45119</v>
      </c>
      <c r="N1793">
        <v>168</v>
      </c>
      <c r="O1793">
        <f>IF(Tickets[[#This Row],[Ticket Priority]]="Critical",24,
IF(Tickets[[#This Row],[Ticket Priority]]="High",48,
IF(Tickets[[#This Row],[Ticket Priority]]="Medium",120,168)))</f>
        <v>168</v>
      </c>
      <c r="P1793" t="str">
        <f>IF(Tickets[[#This Row],[Resolution Duration Hours]] &lt;= Tickets[[#This Row],[SLA_Target_Hours]], "Yes", "No")</f>
        <v>Yes</v>
      </c>
    </row>
    <row r="1794" spans="1:16">
      <c r="A1794">
        <v>358</v>
      </c>
      <c r="B1794" t="s">
        <v>371</v>
      </c>
      <c r="C1794" t="s">
        <v>2341</v>
      </c>
      <c r="D1794" t="s">
        <v>3990</v>
      </c>
      <c r="E1794" s="1">
        <v>44787</v>
      </c>
      <c r="F1794" t="s">
        <v>4001</v>
      </c>
      <c r="G1794" t="s">
        <v>4013</v>
      </c>
      <c r="H1794" t="s">
        <v>4017</v>
      </c>
      <c r="I1794" t="s">
        <v>4021</v>
      </c>
      <c r="J1794" t="s">
        <v>4026</v>
      </c>
      <c r="K1794" s="2">
        <v>45029</v>
      </c>
      <c r="L1794" s="2">
        <v>45032</v>
      </c>
      <c r="N1794">
        <v>72</v>
      </c>
      <c r="O1794">
        <f>IF(Tickets[[#This Row],[Ticket Priority]]="Critical",24,
IF(Tickets[[#This Row],[Ticket Priority]]="High",48,
IF(Tickets[[#This Row],[Ticket Priority]]="Medium",120,168)))</f>
        <v>48</v>
      </c>
      <c r="P1794" t="str">
        <f>IF(Tickets[[#This Row],[Resolution Duration Hours]] &lt;= Tickets[[#This Row],[SLA_Target_Hours]], "Yes", "No")</f>
        <v>No</v>
      </c>
    </row>
    <row r="1795" spans="1:16" hidden="1">
      <c r="A1795">
        <v>1794</v>
      </c>
      <c r="B1795" t="s">
        <v>1786</v>
      </c>
      <c r="C1795" t="s">
        <v>3773</v>
      </c>
      <c r="D1795" t="s">
        <v>3988</v>
      </c>
      <c r="E1795" s="1">
        <v>44768</v>
      </c>
      <c r="F1795" t="s">
        <v>3998</v>
      </c>
      <c r="G1795" t="s">
        <v>4004</v>
      </c>
      <c r="H1795" t="s">
        <v>4018</v>
      </c>
      <c r="I1795" t="s">
        <v>4023</v>
      </c>
      <c r="J1795" t="s">
        <v>4028</v>
      </c>
      <c r="K1795" s="2">
        <v>45026</v>
      </c>
      <c r="L1795" s="2">
        <v>45030</v>
      </c>
      <c r="M1795">
        <v>3</v>
      </c>
      <c r="N1795">
        <v>96</v>
      </c>
      <c r="O1795">
        <f>IF(Tickets[[#This Row],[Ticket Priority]]="Critical",24,
IF(Tickets[[#This Row],[Ticket Priority]]="High",48,
IF(Tickets[[#This Row],[Ticket Priority]]="Medium",120,168)))</f>
        <v>120</v>
      </c>
      <c r="P1795" t="str">
        <f>IF(Tickets[[#This Row],[Resolution Duration Hours]] &lt;= Tickets[[#This Row],[SLA_Target_Hours]], "Yes", "No")</f>
        <v>Yes</v>
      </c>
    </row>
    <row r="1796" spans="1:16" hidden="1">
      <c r="A1796">
        <v>1795</v>
      </c>
      <c r="B1796" t="s">
        <v>1787</v>
      </c>
      <c r="C1796" t="s">
        <v>3774</v>
      </c>
      <c r="D1796" t="s">
        <v>3980</v>
      </c>
      <c r="E1796" s="1">
        <v>43846</v>
      </c>
      <c r="F1796" t="s">
        <v>4000</v>
      </c>
      <c r="G1796" t="s">
        <v>4008</v>
      </c>
      <c r="H1796" t="s">
        <v>4017</v>
      </c>
      <c r="I1796" t="s">
        <v>4024</v>
      </c>
      <c r="J1796" t="s">
        <v>4026</v>
      </c>
      <c r="K1796" s="2">
        <v>44130</v>
      </c>
      <c r="L1796" s="2">
        <v>44136</v>
      </c>
      <c r="N1796">
        <v>144</v>
      </c>
      <c r="O1796">
        <f>IF(Tickets[[#This Row],[Ticket Priority]]="Critical",24,
IF(Tickets[[#This Row],[Ticket Priority]]="High",48,
IF(Tickets[[#This Row],[Ticket Priority]]="Medium",120,168)))</f>
        <v>168</v>
      </c>
      <c r="P1796" t="str">
        <f>IF(Tickets[[#This Row],[Resolution Duration Hours]] &lt;= Tickets[[#This Row],[SLA_Target_Hours]], "Yes", "No")</f>
        <v>Yes</v>
      </c>
    </row>
    <row r="1797" spans="1:16" hidden="1">
      <c r="A1797">
        <v>1796</v>
      </c>
      <c r="B1797" t="s">
        <v>1788</v>
      </c>
      <c r="C1797" t="s">
        <v>3775</v>
      </c>
      <c r="D1797" t="s">
        <v>3979</v>
      </c>
      <c r="E1797" s="1">
        <v>44112</v>
      </c>
      <c r="F1797" t="s">
        <v>4002</v>
      </c>
      <c r="G1797" t="s">
        <v>4008</v>
      </c>
      <c r="H1797" t="s">
        <v>4020</v>
      </c>
      <c r="I1797" t="s">
        <v>4021</v>
      </c>
      <c r="J1797" t="s">
        <v>4027</v>
      </c>
      <c r="K1797" s="2">
        <v>44323</v>
      </c>
      <c r="L1797" s="2">
        <v>44323</v>
      </c>
      <c r="N1797">
        <v>0</v>
      </c>
      <c r="O1797">
        <f>IF(Tickets[[#This Row],[Ticket Priority]]="Critical",24,
IF(Tickets[[#This Row],[Ticket Priority]]="High",48,
IF(Tickets[[#This Row],[Ticket Priority]]="Medium",120,168)))</f>
        <v>48</v>
      </c>
      <c r="P1797" t="str">
        <f>IF(Tickets[[#This Row],[Resolution Duration Hours]] &lt;= Tickets[[#This Row],[SLA_Target_Hours]], "Yes", "No")</f>
        <v>Yes</v>
      </c>
    </row>
    <row r="1798" spans="1:16" hidden="1">
      <c r="A1798">
        <v>1797</v>
      </c>
      <c r="B1798" t="s">
        <v>1789</v>
      </c>
      <c r="C1798" t="s">
        <v>3776</v>
      </c>
      <c r="D1798" t="s">
        <v>3986</v>
      </c>
      <c r="E1798" s="1">
        <v>44593</v>
      </c>
      <c r="F1798" t="s">
        <v>4001</v>
      </c>
      <c r="G1798" t="s">
        <v>4014</v>
      </c>
      <c r="H1798" t="s">
        <v>4017</v>
      </c>
      <c r="I1798" t="s">
        <v>4024</v>
      </c>
      <c r="J1798" t="s">
        <v>4026</v>
      </c>
      <c r="K1798" s="2">
        <v>44868</v>
      </c>
      <c r="L1798" s="2">
        <v>44874</v>
      </c>
      <c r="N1798">
        <v>144</v>
      </c>
      <c r="O1798">
        <f>IF(Tickets[[#This Row],[Ticket Priority]]="Critical",24,
IF(Tickets[[#This Row],[Ticket Priority]]="High",48,
IF(Tickets[[#This Row],[Ticket Priority]]="Medium",120,168)))</f>
        <v>168</v>
      </c>
      <c r="P1798" t="str">
        <f>IF(Tickets[[#This Row],[Resolution Duration Hours]] &lt;= Tickets[[#This Row],[SLA_Target_Hours]], "Yes", "No")</f>
        <v>Yes</v>
      </c>
    </row>
    <row r="1799" spans="1:16" hidden="1">
      <c r="A1799">
        <v>1798</v>
      </c>
      <c r="B1799" t="s">
        <v>1790</v>
      </c>
      <c r="C1799" t="s">
        <v>3777</v>
      </c>
      <c r="D1799" t="s">
        <v>3981</v>
      </c>
      <c r="E1799" s="1">
        <v>44897</v>
      </c>
      <c r="F1799" t="s">
        <v>4002</v>
      </c>
      <c r="G1799" t="s">
        <v>4006</v>
      </c>
      <c r="H1799" t="s">
        <v>4017</v>
      </c>
      <c r="I1799" t="s">
        <v>4023</v>
      </c>
      <c r="J1799" t="s">
        <v>4027</v>
      </c>
      <c r="K1799" s="2">
        <v>45184</v>
      </c>
      <c r="L1799" s="2">
        <v>45186</v>
      </c>
      <c r="N1799">
        <v>48</v>
      </c>
      <c r="O1799">
        <f>IF(Tickets[[#This Row],[Ticket Priority]]="Critical",24,
IF(Tickets[[#This Row],[Ticket Priority]]="High",48,
IF(Tickets[[#This Row],[Ticket Priority]]="Medium",120,168)))</f>
        <v>120</v>
      </c>
      <c r="P1799" t="str">
        <f>IF(Tickets[[#This Row],[Resolution Duration Hours]] &lt;= Tickets[[#This Row],[SLA_Target_Hours]], "Yes", "No")</f>
        <v>Yes</v>
      </c>
    </row>
    <row r="1800" spans="1:16">
      <c r="A1800">
        <v>391</v>
      </c>
      <c r="B1800" t="s">
        <v>404</v>
      </c>
      <c r="C1800" t="s">
        <v>2374</v>
      </c>
      <c r="D1800" t="s">
        <v>3992</v>
      </c>
      <c r="E1800" s="1">
        <v>45022</v>
      </c>
      <c r="F1800" t="s">
        <v>3998</v>
      </c>
      <c r="G1800" t="s">
        <v>4014</v>
      </c>
      <c r="H1800" t="s">
        <v>4019</v>
      </c>
      <c r="I1800" t="s">
        <v>4021</v>
      </c>
      <c r="J1800" t="s">
        <v>4028</v>
      </c>
      <c r="K1800" s="2">
        <v>45315</v>
      </c>
      <c r="L1800" s="2">
        <v>45318</v>
      </c>
      <c r="M1800">
        <v>5</v>
      </c>
      <c r="N1800">
        <v>72</v>
      </c>
      <c r="O1800">
        <f>IF(Tickets[[#This Row],[Ticket Priority]]="Critical",24,
IF(Tickets[[#This Row],[Ticket Priority]]="High",48,
IF(Tickets[[#This Row],[Ticket Priority]]="Medium",120,168)))</f>
        <v>48</v>
      </c>
      <c r="P1800" t="str">
        <f>IF(Tickets[[#This Row],[Resolution Duration Hours]] &lt;= Tickets[[#This Row],[SLA_Target_Hours]], "Yes", "No")</f>
        <v>No</v>
      </c>
    </row>
    <row r="1801" spans="1:16" hidden="1">
      <c r="A1801">
        <v>1800</v>
      </c>
      <c r="B1801" t="s">
        <v>1792</v>
      </c>
      <c r="C1801" t="s">
        <v>3779</v>
      </c>
      <c r="D1801" t="s">
        <v>3990</v>
      </c>
      <c r="E1801" s="1">
        <v>44597</v>
      </c>
      <c r="F1801" t="s">
        <v>3999</v>
      </c>
      <c r="G1801" t="s">
        <v>4006</v>
      </c>
      <c r="H1801" t="s">
        <v>4018</v>
      </c>
      <c r="I1801" t="s">
        <v>4024</v>
      </c>
      <c r="J1801" t="s">
        <v>4025</v>
      </c>
      <c r="K1801" s="2">
        <v>44876</v>
      </c>
      <c r="L1801" s="2">
        <v>44881</v>
      </c>
      <c r="M1801">
        <v>4</v>
      </c>
      <c r="N1801">
        <v>120</v>
      </c>
      <c r="O1801">
        <f>IF(Tickets[[#This Row],[Ticket Priority]]="Critical",24,
IF(Tickets[[#This Row],[Ticket Priority]]="High",48,
IF(Tickets[[#This Row],[Ticket Priority]]="Medium",120,168)))</f>
        <v>168</v>
      </c>
      <c r="P1801" t="str">
        <f>IF(Tickets[[#This Row],[Resolution Duration Hours]] &lt;= Tickets[[#This Row],[SLA_Target_Hours]], "Yes", "No")</f>
        <v>Yes</v>
      </c>
    </row>
    <row r="1802" spans="1:16" hidden="1">
      <c r="A1802">
        <v>1801</v>
      </c>
      <c r="B1802" t="s">
        <v>1793</v>
      </c>
      <c r="C1802" t="s">
        <v>3780</v>
      </c>
      <c r="D1802" t="s">
        <v>3991</v>
      </c>
      <c r="E1802" s="1">
        <v>44771</v>
      </c>
      <c r="F1802" t="s">
        <v>3999</v>
      </c>
      <c r="G1802" t="s">
        <v>4000</v>
      </c>
      <c r="H1802" t="s">
        <v>4018</v>
      </c>
      <c r="I1802" t="s">
        <v>4023</v>
      </c>
      <c r="J1802" t="s">
        <v>4027</v>
      </c>
      <c r="K1802" s="2">
        <v>45028</v>
      </c>
      <c r="L1802" s="2">
        <v>45030</v>
      </c>
      <c r="N1802">
        <v>48</v>
      </c>
      <c r="O1802">
        <f>IF(Tickets[[#This Row],[Ticket Priority]]="Critical",24,
IF(Tickets[[#This Row],[Ticket Priority]]="High",48,
IF(Tickets[[#This Row],[Ticket Priority]]="Medium",120,168)))</f>
        <v>120</v>
      </c>
      <c r="P1802" t="str">
        <f>IF(Tickets[[#This Row],[Resolution Duration Hours]] &lt;= Tickets[[#This Row],[SLA_Target_Hours]], "Yes", "No")</f>
        <v>Yes</v>
      </c>
    </row>
    <row r="1803" spans="1:16" hidden="1">
      <c r="A1803">
        <v>1802</v>
      </c>
      <c r="B1803" t="s">
        <v>1794</v>
      </c>
      <c r="C1803" t="s">
        <v>3781</v>
      </c>
      <c r="D1803" t="s">
        <v>3991</v>
      </c>
      <c r="E1803" s="1">
        <v>44403</v>
      </c>
      <c r="F1803" t="s">
        <v>4000</v>
      </c>
      <c r="G1803" t="s">
        <v>4009</v>
      </c>
      <c r="H1803" t="s">
        <v>4018</v>
      </c>
      <c r="I1803" t="s">
        <v>4022</v>
      </c>
      <c r="J1803" t="s">
        <v>4026</v>
      </c>
      <c r="K1803" s="2">
        <v>44427</v>
      </c>
      <c r="L1803" s="2">
        <v>44428</v>
      </c>
      <c r="M1803">
        <v>4</v>
      </c>
      <c r="N1803">
        <v>24</v>
      </c>
      <c r="O1803">
        <f>IF(Tickets[[#This Row],[Ticket Priority]]="Critical",24,
IF(Tickets[[#This Row],[Ticket Priority]]="High",48,
IF(Tickets[[#This Row],[Ticket Priority]]="Medium",120,168)))</f>
        <v>24</v>
      </c>
      <c r="P1803" t="str">
        <f>IF(Tickets[[#This Row],[Resolution Duration Hours]] &lt;= Tickets[[#This Row],[SLA_Target_Hours]], "Yes", "No")</f>
        <v>Yes</v>
      </c>
    </row>
    <row r="1804" spans="1:16">
      <c r="A1804">
        <v>392</v>
      </c>
      <c r="B1804" t="s">
        <v>405</v>
      </c>
      <c r="C1804" t="s">
        <v>2375</v>
      </c>
      <c r="D1804" t="s">
        <v>3991</v>
      </c>
      <c r="E1804" s="1">
        <v>43917</v>
      </c>
      <c r="F1804" t="s">
        <v>3998</v>
      </c>
      <c r="G1804" t="s">
        <v>4004</v>
      </c>
      <c r="H1804" t="s">
        <v>4018</v>
      </c>
      <c r="I1804" t="s">
        <v>4021</v>
      </c>
      <c r="J1804" t="s">
        <v>4026</v>
      </c>
      <c r="K1804" s="2">
        <v>44123</v>
      </c>
      <c r="L1804" s="2">
        <v>44126</v>
      </c>
      <c r="M1804">
        <v>4</v>
      </c>
      <c r="N1804">
        <v>72</v>
      </c>
      <c r="O1804">
        <f>IF(Tickets[[#This Row],[Ticket Priority]]="Critical",24,
IF(Tickets[[#This Row],[Ticket Priority]]="High",48,
IF(Tickets[[#This Row],[Ticket Priority]]="Medium",120,168)))</f>
        <v>48</v>
      </c>
      <c r="P1804" t="str">
        <f>IF(Tickets[[#This Row],[Resolution Duration Hours]] &lt;= Tickets[[#This Row],[SLA_Target_Hours]], "Yes", "No")</f>
        <v>No</v>
      </c>
    </row>
    <row r="1805" spans="1:16" hidden="1">
      <c r="A1805">
        <v>1804</v>
      </c>
      <c r="B1805" t="s">
        <v>1796</v>
      </c>
      <c r="C1805" t="s">
        <v>3783</v>
      </c>
      <c r="D1805" t="s">
        <v>3983</v>
      </c>
      <c r="E1805" s="1">
        <v>44018</v>
      </c>
      <c r="F1805" t="s">
        <v>4001</v>
      </c>
      <c r="G1805" t="s">
        <v>4006</v>
      </c>
      <c r="H1805" t="s">
        <v>4017</v>
      </c>
      <c r="I1805" t="s">
        <v>4023</v>
      </c>
      <c r="J1805" t="s">
        <v>4027</v>
      </c>
      <c r="K1805" s="2">
        <v>44072</v>
      </c>
      <c r="L1805" s="2">
        <v>44077</v>
      </c>
      <c r="N1805">
        <v>120</v>
      </c>
      <c r="O1805">
        <f>IF(Tickets[[#This Row],[Ticket Priority]]="Critical",24,
IF(Tickets[[#This Row],[Ticket Priority]]="High",48,
IF(Tickets[[#This Row],[Ticket Priority]]="Medium",120,168)))</f>
        <v>120</v>
      </c>
      <c r="P1805" t="str">
        <f>IF(Tickets[[#This Row],[Resolution Duration Hours]] &lt;= Tickets[[#This Row],[SLA_Target_Hours]], "Yes", "No")</f>
        <v>Yes</v>
      </c>
    </row>
    <row r="1806" spans="1:16">
      <c r="A1806">
        <v>397</v>
      </c>
      <c r="B1806" t="s">
        <v>410</v>
      </c>
      <c r="C1806" t="s">
        <v>2380</v>
      </c>
      <c r="D1806" t="s">
        <v>3995</v>
      </c>
      <c r="E1806" s="1">
        <v>44051</v>
      </c>
      <c r="F1806" t="s">
        <v>4001</v>
      </c>
      <c r="G1806" t="s">
        <v>4003</v>
      </c>
      <c r="H1806" t="s">
        <v>4017</v>
      </c>
      <c r="I1806" t="s">
        <v>4021</v>
      </c>
      <c r="J1806" t="s">
        <v>4025</v>
      </c>
      <c r="K1806" s="2">
        <v>44382</v>
      </c>
      <c r="L1806" s="2">
        <v>44385</v>
      </c>
      <c r="N1806">
        <v>72</v>
      </c>
      <c r="O1806">
        <f>IF(Tickets[[#This Row],[Ticket Priority]]="Critical",24,
IF(Tickets[[#This Row],[Ticket Priority]]="High",48,
IF(Tickets[[#This Row],[Ticket Priority]]="Medium",120,168)))</f>
        <v>48</v>
      </c>
      <c r="P1806" t="str">
        <f>IF(Tickets[[#This Row],[Resolution Duration Hours]] &lt;= Tickets[[#This Row],[SLA_Target_Hours]], "Yes", "No")</f>
        <v>No</v>
      </c>
    </row>
    <row r="1807" spans="1:16">
      <c r="A1807">
        <v>420</v>
      </c>
      <c r="B1807" t="s">
        <v>433</v>
      </c>
      <c r="C1807" t="s">
        <v>2403</v>
      </c>
      <c r="D1807" t="s">
        <v>3994</v>
      </c>
      <c r="E1807" s="1">
        <v>44642</v>
      </c>
      <c r="F1807" t="s">
        <v>3999</v>
      </c>
      <c r="G1807" t="s">
        <v>4003</v>
      </c>
      <c r="H1807" t="s">
        <v>4018</v>
      </c>
      <c r="I1807" t="s">
        <v>4021</v>
      </c>
      <c r="J1807" t="s">
        <v>4026</v>
      </c>
      <c r="K1807" s="2">
        <v>44727</v>
      </c>
      <c r="L1807" s="2">
        <v>44730</v>
      </c>
      <c r="M1807">
        <v>2</v>
      </c>
      <c r="N1807">
        <v>72</v>
      </c>
      <c r="O1807">
        <f>IF(Tickets[[#This Row],[Ticket Priority]]="Critical",24,
IF(Tickets[[#This Row],[Ticket Priority]]="High",48,
IF(Tickets[[#This Row],[Ticket Priority]]="Medium",120,168)))</f>
        <v>48</v>
      </c>
      <c r="P1807" t="str">
        <f>IF(Tickets[[#This Row],[Resolution Duration Hours]] &lt;= Tickets[[#This Row],[SLA_Target_Hours]], "Yes", "No")</f>
        <v>No</v>
      </c>
    </row>
    <row r="1808" spans="1:16" hidden="1">
      <c r="A1808">
        <v>1807</v>
      </c>
      <c r="B1808" t="s">
        <v>1799</v>
      </c>
      <c r="C1808" t="s">
        <v>3786</v>
      </c>
      <c r="D1808" t="s">
        <v>3983</v>
      </c>
      <c r="E1808" s="1">
        <v>45055</v>
      </c>
      <c r="F1808" t="s">
        <v>4002</v>
      </c>
      <c r="G1808" t="s">
        <v>4014</v>
      </c>
      <c r="H1808" t="s">
        <v>4017</v>
      </c>
      <c r="I1808" t="s">
        <v>4021</v>
      </c>
      <c r="J1808" t="s">
        <v>4026</v>
      </c>
      <c r="K1808" s="2">
        <v>45192</v>
      </c>
      <c r="L1808" s="2">
        <v>45192</v>
      </c>
      <c r="N1808">
        <v>0</v>
      </c>
      <c r="O1808">
        <f>IF(Tickets[[#This Row],[Ticket Priority]]="Critical",24,
IF(Tickets[[#This Row],[Ticket Priority]]="High",48,
IF(Tickets[[#This Row],[Ticket Priority]]="Medium",120,168)))</f>
        <v>48</v>
      </c>
      <c r="P1808" t="str">
        <f>IF(Tickets[[#This Row],[Resolution Duration Hours]] &lt;= Tickets[[#This Row],[SLA_Target_Hours]], "Yes", "No")</f>
        <v>Yes</v>
      </c>
    </row>
    <row r="1809" spans="1:16" hidden="1">
      <c r="A1809">
        <v>1808</v>
      </c>
      <c r="B1809" t="s">
        <v>1800</v>
      </c>
      <c r="C1809" t="s">
        <v>3787</v>
      </c>
      <c r="D1809" t="s">
        <v>3984</v>
      </c>
      <c r="E1809" s="1">
        <v>44209</v>
      </c>
      <c r="F1809" t="s">
        <v>4001</v>
      </c>
      <c r="G1809" t="s">
        <v>4003</v>
      </c>
      <c r="H1809" t="s">
        <v>4017</v>
      </c>
      <c r="I1809" t="s">
        <v>4024</v>
      </c>
      <c r="J1809" t="s">
        <v>4027</v>
      </c>
      <c r="K1809" s="2">
        <v>44369</v>
      </c>
      <c r="L1809" s="2">
        <v>44375</v>
      </c>
      <c r="N1809">
        <v>144</v>
      </c>
      <c r="O1809">
        <f>IF(Tickets[[#This Row],[Ticket Priority]]="Critical",24,
IF(Tickets[[#This Row],[Ticket Priority]]="High",48,
IF(Tickets[[#This Row],[Ticket Priority]]="Medium",120,168)))</f>
        <v>168</v>
      </c>
      <c r="P1809" t="str">
        <f>IF(Tickets[[#This Row],[Resolution Duration Hours]] &lt;= Tickets[[#This Row],[SLA_Target_Hours]], "Yes", "No")</f>
        <v>Yes</v>
      </c>
    </row>
    <row r="1810" spans="1:16">
      <c r="A1810">
        <v>463</v>
      </c>
      <c r="B1810" t="s">
        <v>476</v>
      </c>
      <c r="C1810" t="s">
        <v>2446</v>
      </c>
      <c r="D1810" t="s">
        <v>3991</v>
      </c>
      <c r="E1810" s="1">
        <v>44011</v>
      </c>
      <c r="F1810" t="s">
        <v>4000</v>
      </c>
      <c r="G1810" t="s">
        <v>4013</v>
      </c>
      <c r="H1810" t="s">
        <v>4018</v>
      </c>
      <c r="I1810" t="s">
        <v>4021</v>
      </c>
      <c r="J1810" t="s">
        <v>4026</v>
      </c>
      <c r="K1810" s="2">
        <v>44234</v>
      </c>
      <c r="L1810" s="2">
        <v>44237</v>
      </c>
      <c r="M1810">
        <v>5</v>
      </c>
      <c r="N1810">
        <v>72</v>
      </c>
      <c r="O1810">
        <f>IF(Tickets[[#This Row],[Ticket Priority]]="Critical",24,
IF(Tickets[[#This Row],[Ticket Priority]]="High",48,
IF(Tickets[[#This Row],[Ticket Priority]]="Medium",120,168)))</f>
        <v>48</v>
      </c>
      <c r="P1810" t="str">
        <f>IF(Tickets[[#This Row],[Resolution Duration Hours]] &lt;= Tickets[[#This Row],[SLA_Target_Hours]], "Yes", "No")</f>
        <v>No</v>
      </c>
    </row>
    <row r="1811" spans="1:16" hidden="1">
      <c r="A1811">
        <v>1810</v>
      </c>
      <c r="B1811" t="s">
        <v>1802</v>
      </c>
      <c r="C1811" t="s">
        <v>3789</v>
      </c>
      <c r="D1811" t="s">
        <v>3983</v>
      </c>
      <c r="E1811" s="1">
        <v>44056</v>
      </c>
      <c r="F1811" t="s">
        <v>4002</v>
      </c>
      <c r="G1811" t="s">
        <v>4016</v>
      </c>
      <c r="H1811" t="s">
        <v>4017</v>
      </c>
      <c r="I1811" t="s">
        <v>4022</v>
      </c>
      <c r="J1811" t="s">
        <v>4026</v>
      </c>
      <c r="K1811" s="2">
        <v>44072</v>
      </c>
      <c r="L1811" s="2">
        <v>44072</v>
      </c>
      <c r="N1811">
        <v>0</v>
      </c>
      <c r="O1811">
        <f>IF(Tickets[[#This Row],[Ticket Priority]]="Critical",24,
IF(Tickets[[#This Row],[Ticket Priority]]="High",48,
IF(Tickets[[#This Row],[Ticket Priority]]="Medium",120,168)))</f>
        <v>24</v>
      </c>
      <c r="P1811" t="str">
        <f>IF(Tickets[[#This Row],[Resolution Duration Hours]] &lt;= Tickets[[#This Row],[SLA_Target_Hours]], "Yes", "No")</f>
        <v>Yes</v>
      </c>
    </row>
    <row r="1812" spans="1:16" hidden="1">
      <c r="A1812">
        <v>1811</v>
      </c>
      <c r="B1812" t="s">
        <v>1803</v>
      </c>
      <c r="C1812" t="s">
        <v>3790</v>
      </c>
      <c r="D1812" t="s">
        <v>3985</v>
      </c>
      <c r="E1812" s="1">
        <v>44802</v>
      </c>
      <c r="F1812" t="s">
        <v>4002</v>
      </c>
      <c r="G1812" t="s">
        <v>4013</v>
      </c>
      <c r="H1812" t="s">
        <v>4018</v>
      </c>
      <c r="I1812" t="s">
        <v>4022</v>
      </c>
      <c r="J1812" t="s">
        <v>4028</v>
      </c>
      <c r="K1812" s="2">
        <v>45039</v>
      </c>
      <c r="L1812" s="2">
        <v>45039</v>
      </c>
      <c r="M1812">
        <v>5</v>
      </c>
      <c r="N1812">
        <v>0</v>
      </c>
      <c r="O1812">
        <f>IF(Tickets[[#This Row],[Ticket Priority]]="Critical",24,
IF(Tickets[[#This Row],[Ticket Priority]]="High",48,
IF(Tickets[[#This Row],[Ticket Priority]]="Medium",120,168)))</f>
        <v>24</v>
      </c>
      <c r="P1812" t="str">
        <f>IF(Tickets[[#This Row],[Resolution Duration Hours]] &lt;= Tickets[[#This Row],[SLA_Target_Hours]], "Yes", "No")</f>
        <v>Yes</v>
      </c>
    </row>
    <row r="1813" spans="1:16" hidden="1">
      <c r="A1813">
        <v>1812</v>
      </c>
      <c r="B1813" t="s">
        <v>1804</v>
      </c>
      <c r="C1813" t="s">
        <v>3791</v>
      </c>
      <c r="D1813" t="s">
        <v>3988</v>
      </c>
      <c r="E1813" s="1">
        <v>45043</v>
      </c>
      <c r="F1813" t="s">
        <v>4001</v>
      </c>
      <c r="G1813" t="s">
        <v>4005</v>
      </c>
      <c r="H1813" t="s">
        <v>4019</v>
      </c>
      <c r="I1813" t="s">
        <v>4023</v>
      </c>
      <c r="J1813" t="s">
        <v>4025</v>
      </c>
      <c r="K1813" s="2">
        <v>45067</v>
      </c>
      <c r="L1813" s="2">
        <v>45072</v>
      </c>
      <c r="M1813">
        <v>4</v>
      </c>
      <c r="N1813">
        <v>120</v>
      </c>
      <c r="O1813">
        <f>IF(Tickets[[#This Row],[Ticket Priority]]="Critical",24,
IF(Tickets[[#This Row],[Ticket Priority]]="High",48,
IF(Tickets[[#This Row],[Ticket Priority]]="Medium",120,168)))</f>
        <v>120</v>
      </c>
      <c r="P1813" t="str">
        <f>IF(Tickets[[#This Row],[Resolution Duration Hours]] &lt;= Tickets[[#This Row],[SLA_Target_Hours]], "Yes", "No")</f>
        <v>Yes</v>
      </c>
    </row>
    <row r="1814" spans="1:16" hidden="1">
      <c r="A1814">
        <v>1813</v>
      </c>
      <c r="B1814" t="s">
        <v>1805</v>
      </c>
      <c r="C1814" t="s">
        <v>3792</v>
      </c>
      <c r="D1814" t="s">
        <v>3980</v>
      </c>
      <c r="E1814" s="1">
        <v>44028</v>
      </c>
      <c r="F1814" t="s">
        <v>3999</v>
      </c>
      <c r="G1814" t="s">
        <v>4003</v>
      </c>
      <c r="H1814" t="s">
        <v>4018</v>
      </c>
      <c r="I1814" t="s">
        <v>4023</v>
      </c>
      <c r="J1814" t="s">
        <v>4028</v>
      </c>
      <c r="K1814" s="2">
        <v>44088</v>
      </c>
      <c r="L1814" s="2">
        <v>44093</v>
      </c>
      <c r="M1814">
        <v>4</v>
      </c>
      <c r="N1814">
        <v>120</v>
      </c>
      <c r="O1814">
        <f>IF(Tickets[[#This Row],[Ticket Priority]]="Critical",24,
IF(Tickets[[#This Row],[Ticket Priority]]="High",48,
IF(Tickets[[#This Row],[Ticket Priority]]="Medium",120,168)))</f>
        <v>120</v>
      </c>
      <c r="P1814" t="str">
        <f>IF(Tickets[[#This Row],[Resolution Duration Hours]] &lt;= Tickets[[#This Row],[SLA_Target_Hours]], "Yes", "No")</f>
        <v>Yes</v>
      </c>
    </row>
    <row r="1815" spans="1:16" hidden="1">
      <c r="A1815">
        <v>1814</v>
      </c>
      <c r="B1815" t="s">
        <v>1806</v>
      </c>
      <c r="C1815" t="s">
        <v>3793</v>
      </c>
      <c r="D1815" t="s">
        <v>3986</v>
      </c>
      <c r="E1815" s="1">
        <v>44075</v>
      </c>
      <c r="F1815" t="s">
        <v>4002</v>
      </c>
      <c r="G1815" t="s">
        <v>4004</v>
      </c>
      <c r="H1815" t="s">
        <v>4020</v>
      </c>
      <c r="I1815" t="s">
        <v>4021</v>
      </c>
      <c r="J1815" t="s">
        <v>4028</v>
      </c>
      <c r="K1815" s="2">
        <v>44395</v>
      </c>
      <c r="L1815" s="2">
        <v>44395</v>
      </c>
      <c r="N1815">
        <v>0</v>
      </c>
      <c r="O1815">
        <f>IF(Tickets[[#This Row],[Ticket Priority]]="Critical",24,
IF(Tickets[[#This Row],[Ticket Priority]]="High",48,
IF(Tickets[[#This Row],[Ticket Priority]]="Medium",120,168)))</f>
        <v>48</v>
      </c>
      <c r="P1815" t="str">
        <f>IF(Tickets[[#This Row],[Resolution Duration Hours]] &lt;= Tickets[[#This Row],[SLA_Target_Hours]], "Yes", "No")</f>
        <v>Yes</v>
      </c>
    </row>
    <row r="1816" spans="1:16" hidden="1">
      <c r="A1816">
        <v>1815</v>
      </c>
      <c r="B1816" t="s">
        <v>1807</v>
      </c>
      <c r="C1816" t="s">
        <v>3794</v>
      </c>
      <c r="D1816" t="s">
        <v>3981</v>
      </c>
      <c r="E1816" s="1">
        <v>44703</v>
      </c>
      <c r="F1816" t="s">
        <v>4001</v>
      </c>
      <c r="G1816" t="s">
        <v>4010</v>
      </c>
      <c r="H1816" t="s">
        <v>4018</v>
      </c>
      <c r="I1816" t="s">
        <v>4021</v>
      </c>
      <c r="J1816" t="s">
        <v>4026</v>
      </c>
      <c r="K1816" s="2">
        <v>44880</v>
      </c>
      <c r="L1816" s="2">
        <v>44881</v>
      </c>
      <c r="M1816">
        <v>5</v>
      </c>
      <c r="N1816">
        <v>24</v>
      </c>
      <c r="O1816">
        <f>IF(Tickets[[#This Row],[Ticket Priority]]="Critical",24,
IF(Tickets[[#This Row],[Ticket Priority]]="High",48,
IF(Tickets[[#This Row],[Ticket Priority]]="Medium",120,168)))</f>
        <v>48</v>
      </c>
      <c r="P1816" t="str">
        <f>IF(Tickets[[#This Row],[Resolution Duration Hours]] &lt;= Tickets[[#This Row],[SLA_Target_Hours]], "Yes", "No")</f>
        <v>Yes</v>
      </c>
    </row>
    <row r="1817" spans="1:16">
      <c r="A1817">
        <v>623</v>
      </c>
      <c r="B1817" t="s">
        <v>633</v>
      </c>
      <c r="C1817" t="s">
        <v>2606</v>
      </c>
      <c r="D1817" t="s">
        <v>3991</v>
      </c>
      <c r="E1817" s="1">
        <v>44192</v>
      </c>
      <c r="F1817" t="s">
        <v>3999</v>
      </c>
      <c r="G1817" t="s">
        <v>4014</v>
      </c>
      <c r="H1817" t="s">
        <v>4020</v>
      </c>
      <c r="I1817" t="s">
        <v>4021</v>
      </c>
      <c r="J1817" t="s">
        <v>4027</v>
      </c>
      <c r="K1817" s="2">
        <v>44275</v>
      </c>
      <c r="L1817" s="2">
        <v>44278</v>
      </c>
      <c r="N1817">
        <v>72</v>
      </c>
      <c r="O1817">
        <f>IF(Tickets[[#This Row],[Ticket Priority]]="Critical",24,
IF(Tickets[[#This Row],[Ticket Priority]]="High",48,
IF(Tickets[[#This Row],[Ticket Priority]]="Medium",120,168)))</f>
        <v>48</v>
      </c>
      <c r="P1817" t="str">
        <f>IF(Tickets[[#This Row],[Resolution Duration Hours]] &lt;= Tickets[[#This Row],[SLA_Target_Hours]], "Yes", "No")</f>
        <v>No</v>
      </c>
    </row>
    <row r="1818" spans="1:16" hidden="1">
      <c r="A1818">
        <v>1817</v>
      </c>
      <c r="B1818" t="s">
        <v>1809</v>
      </c>
      <c r="C1818" t="s">
        <v>3796</v>
      </c>
      <c r="D1818" t="s">
        <v>3991</v>
      </c>
      <c r="E1818" s="1">
        <v>44430</v>
      </c>
      <c r="F1818" t="s">
        <v>3999</v>
      </c>
      <c r="G1818" t="s">
        <v>4015</v>
      </c>
      <c r="H1818" t="s">
        <v>4018</v>
      </c>
      <c r="I1818" t="s">
        <v>4023</v>
      </c>
      <c r="J1818" t="s">
        <v>4028</v>
      </c>
      <c r="K1818" s="2">
        <v>44628</v>
      </c>
      <c r="L1818" s="2">
        <v>44631</v>
      </c>
      <c r="M1818">
        <v>4</v>
      </c>
      <c r="N1818">
        <v>72</v>
      </c>
      <c r="O1818">
        <f>IF(Tickets[[#This Row],[Ticket Priority]]="Critical",24,
IF(Tickets[[#This Row],[Ticket Priority]]="High",48,
IF(Tickets[[#This Row],[Ticket Priority]]="Medium",120,168)))</f>
        <v>120</v>
      </c>
      <c r="P1818" t="str">
        <f>IF(Tickets[[#This Row],[Resolution Duration Hours]] &lt;= Tickets[[#This Row],[SLA_Target_Hours]], "Yes", "No")</f>
        <v>Yes</v>
      </c>
    </row>
    <row r="1819" spans="1:16">
      <c r="A1819">
        <v>656</v>
      </c>
      <c r="B1819" t="s">
        <v>666</v>
      </c>
      <c r="C1819" t="s">
        <v>2639</v>
      </c>
      <c r="D1819" t="s">
        <v>3996</v>
      </c>
      <c r="E1819" s="1">
        <v>44973</v>
      </c>
      <c r="F1819" t="s">
        <v>3998</v>
      </c>
      <c r="G1819" t="s">
        <v>4008</v>
      </c>
      <c r="H1819" t="s">
        <v>4017</v>
      </c>
      <c r="I1819" t="s">
        <v>4021</v>
      </c>
      <c r="J1819" t="s">
        <v>4026</v>
      </c>
      <c r="K1819" s="2">
        <v>45282</v>
      </c>
      <c r="L1819" s="2">
        <v>45285</v>
      </c>
      <c r="N1819">
        <v>72</v>
      </c>
      <c r="O1819">
        <f>IF(Tickets[[#This Row],[Ticket Priority]]="Critical",24,
IF(Tickets[[#This Row],[Ticket Priority]]="High",48,
IF(Tickets[[#This Row],[Ticket Priority]]="Medium",120,168)))</f>
        <v>48</v>
      </c>
      <c r="P1819" t="str">
        <f>IF(Tickets[[#This Row],[Resolution Duration Hours]] &lt;= Tickets[[#This Row],[SLA_Target_Hours]], "Yes", "No")</f>
        <v>No</v>
      </c>
    </row>
    <row r="1820" spans="1:16">
      <c r="A1820">
        <v>712</v>
      </c>
      <c r="B1820" t="s">
        <v>721</v>
      </c>
      <c r="C1820" t="s">
        <v>2694</v>
      </c>
      <c r="D1820" t="s">
        <v>3990</v>
      </c>
      <c r="E1820" s="1">
        <v>44070</v>
      </c>
      <c r="F1820" t="s">
        <v>4002</v>
      </c>
      <c r="G1820" t="s">
        <v>4008</v>
      </c>
      <c r="H1820" t="s">
        <v>4017</v>
      </c>
      <c r="I1820" t="s">
        <v>4021</v>
      </c>
      <c r="J1820" t="s">
        <v>4028</v>
      </c>
      <c r="K1820" s="2">
        <v>44251</v>
      </c>
      <c r="L1820" s="2">
        <v>44254</v>
      </c>
      <c r="N1820">
        <v>72</v>
      </c>
      <c r="O1820">
        <f>IF(Tickets[[#This Row],[Ticket Priority]]="Critical",24,
IF(Tickets[[#This Row],[Ticket Priority]]="High",48,
IF(Tickets[[#This Row],[Ticket Priority]]="Medium",120,168)))</f>
        <v>48</v>
      </c>
      <c r="P1820" t="str">
        <f>IF(Tickets[[#This Row],[Resolution Duration Hours]] &lt;= Tickets[[#This Row],[SLA_Target_Hours]], "Yes", "No")</f>
        <v>No</v>
      </c>
    </row>
    <row r="1821" spans="1:16" hidden="1">
      <c r="A1821">
        <v>1820</v>
      </c>
      <c r="B1821" t="s">
        <v>1812</v>
      </c>
      <c r="C1821" t="s">
        <v>3799</v>
      </c>
      <c r="D1821" t="s">
        <v>3987</v>
      </c>
      <c r="E1821" s="1">
        <v>44635</v>
      </c>
      <c r="F1821" t="s">
        <v>3999</v>
      </c>
      <c r="G1821" t="s">
        <v>4003</v>
      </c>
      <c r="H1821" t="s">
        <v>4017</v>
      </c>
      <c r="I1821" t="s">
        <v>4024</v>
      </c>
      <c r="J1821" t="s">
        <v>4026</v>
      </c>
      <c r="K1821" s="2">
        <v>44672</v>
      </c>
      <c r="L1821" s="2">
        <v>44678</v>
      </c>
      <c r="N1821">
        <v>144</v>
      </c>
      <c r="O1821">
        <f>IF(Tickets[[#This Row],[Ticket Priority]]="Critical",24,
IF(Tickets[[#This Row],[Ticket Priority]]="High",48,
IF(Tickets[[#This Row],[Ticket Priority]]="Medium",120,168)))</f>
        <v>168</v>
      </c>
      <c r="P1821" t="str">
        <f>IF(Tickets[[#This Row],[Resolution Duration Hours]] &lt;= Tickets[[#This Row],[SLA_Target_Hours]], "Yes", "No")</f>
        <v>Yes</v>
      </c>
    </row>
    <row r="1822" spans="1:16" hidden="1">
      <c r="A1822">
        <v>1821</v>
      </c>
      <c r="B1822" t="s">
        <v>1813</v>
      </c>
      <c r="C1822" t="s">
        <v>3800</v>
      </c>
      <c r="D1822" t="s">
        <v>3984</v>
      </c>
      <c r="E1822" s="1">
        <v>45077</v>
      </c>
      <c r="F1822" t="s">
        <v>4002</v>
      </c>
      <c r="G1822" t="s">
        <v>4008</v>
      </c>
      <c r="H1822" t="s">
        <v>4018</v>
      </c>
      <c r="I1822" t="s">
        <v>4023</v>
      </c>
      <c r="J1822" t="s">
        <v>4025</v>
      </c>
      <c r="K1822" s="2">
        <v>45352</v>
      </c>
      <c r="L1822" s="2">
        <v>45356</v>
      </c>
      <c r="M1822">
        <v>3</v>
      </c>
      <c r="N1822">
        <v>96</v>
      </c>
      <c r="O1822">
        <f>IF(Tickets[[#This Row],[Ticket Priority]]="Critical",24,
IF(Tickets[[#This Row],[Ticket Priority]]="High",48,
IF(Tickets[[#This Row],[Ticket Priority]]="Medium",120,168)))</f>
        <v>120</v>
      </c>
      <c r="P1822" t="str">
        <f>IF(Tickets[[#This Row],[Resolution Duration Hours]] &lt;= Tickets[[#This Row],[SLA_Target_Hours]], "Yes", "No")</f>
        <v>Yes</v>
      </c>
    </row>
    <row r="1823" spans="1:16">
      <c r="A1823">
        <v>727</v>
      </c>
      <c r="B1823" t="s">
        <v>736</v>
      </c>
      <c r="C1823" t="s">
        <v>2709</v>
      </c>
      <c r="D1823" t="s">
        <v>3983</v>
      </c>
      <c r="E1823" s="1">
        <v>44514</v>
      </c>
      <c r="F1823" t="s">
        <v>4001</v>
      </c>
      <c r="G1823" t="s">
        <v>4008</v>
      </c>
      <c r="H1823" t="s">
        <v>4019</v>
      </c>
      <c r="I1823" t="s">
        <v>4021</v>
      </c>
      <c r="J1823" t="s">
        <v>4025</v>
      </c>
      <c r="K1823" s="2">
        <v>44734</v>
      </c>
      <c r="L1823" s="2">
        <v>44737</v>
      </c>
      <c r="N1823">
        <v>72</v>
      </c>
      <c r="O1823">
        <f>IF(Tickets[[#This Row],[Ticket Priority]]="Critical",24,
IF(Tickets[[#This Row],[Ticket Priority]]="High",48,
IF(Tickets[[#This Row],[Ticket Priority]]="Medium",120,168)))</f>
        <v>48</v>
      </c>
      <c r="P1823" t="str">
        <f>IF(Tickets[[#This Row],[Resolution Duration Hours]] &lt;= Tickets[[#This Row],[SLA_Target_Hours]], "Yes", "No")</f>
        <v>No</v>
      </c>
    </row>
    <row r="1824" spans="1:16" hidden="1">
      <c r="A1824">
        <v>1823</v>
      </c>
      <c r="B1824" t="s">
        <v>1815</v>
      </c>
      <c r="C1824" t="s">
        <v>3802</v>
      </c>
      <c r="D1824" t="s">
        <v>3994</v>
      </c>
      <c r="E1824" s="1">
        <v>44355</v>
      </c>
      <c r="F1824" t="s">
        <v>4001</v>
      </c>
      <c r="G1824" t="s">
        <v>4014</v>
      </c>
      <c r="H1824" t="s">
        <v>4018</v>
      </c>
      <c r="I1824" t="s">
        <v>4023</v>
      </c>
      <c r="J1824" t="s">
        <v>4026</v>
      </c>
      <c r="K1824" s="2">
        <v>44537</v>
      </c>
      <c r="L1824" s="2">
        <v>44539</v>
      </c>
      <c r="N1824">
        <v>48</v>
      </c>
      <c r="O1824">
        <f>IF(Tickets[[#This Row],[Ticket Priority]]="Critical",24,
IF(Tickets[[#This Row],[Ticket Priority]]="High",48,
IF(Tickets[[#This Row],[Ticket Priority]]="Medium",120,168)))</f>
        <v>120</v>
      </c>
      <c r="P1824" t="str">
        <f>IF(Tickets[[#This Row],[Resolution Duration Hours]] &lt;= Tickets[[#This Row],[SLA_Target_Hours]], "Yes", "No")</f>
        <v>Yes</v>
      </c>
    </row>
    <row r="1825" spans="1:16" hidden="1">
      <c r="A1825">
        <v>1824</v>
      </c>
      <c r="B1825" t="s">
        <v>1816</v>
      </c>
      <c r="C1825" t="s">
        <v>3803</v>
      </c>
      <c r="D1825" t="s">
        <v>3979</v>
      </c>
      <c r="E1825" s="1">
        <v>44544</v>
      </c>
      <c r="F1825" t="s">
        <v>3999</v>
      </c>
      <c r="G1825" t="s">
        <v>4006</v>
      </c>
      <c r="H1825" t="s">
        <v>4017</v>
      </c>
      <c r="I1825" t="s">
        <v>4023</v>
      </c>
      <c r="J1825" t="s">
        <v>4027</v>
      </c>
      <c r="K1825" s="2">
        <v>44589</v>
      </c>
      <c r="L1825" s="2">
        <v>44593</v>
      </c>
      <c r="N1825">
        <v>96</v>
      </c>
      <c r="O1825">
        <f>IF(Tickets[[#This Row],[Ticket Priority]]="Critical",24,
IF(Tickets[[#This Row],[Ticket Priority]]="High",48,
IF(Tickets[[#This Row],[Ticket Priority]]="Medium",120,168)))</f>
        <v>120</v>
      </c>
      <c r="P1825" t="str">
        <f>IF(Tickets[[#This Row],[Resolution Duration Hours]] &lt;= Tickets[[#This Row],[SLA_Target_Hours]], "Yes", "No")</f>
        <v>Yes</v>
      </c>
    </row>
    <row r="1826" spans="1:16" hidden="1">
      <c r="A1826">
        <v>1825</v>
      </c>
      <c r="B1826" t="s">
        <v>1817</v>
      </c>
      <c r="C1826" t="s">
        <v>3804</v>
      </c>
      <c r="D1826" t="s">
        <v>3984</v>
      </c>
      <c r="E1826" s="1">
        <v>43836</v>
      </c>
      <c r="F1826" t="s">
        <v>4002</v>
      </c>
      <c r="G1826" t="s">
        <v>4003</v>
      </c>
      <c r="H1826" t="s">
        <v>4018</v>
      </c>
      <c r="I1826" t="s">
        <v>4024</v>
      </c>
      <c r="J1826" t="s">
        <v>4027</v>
      </c>
      <c r="K1826" s="2">
        <v>44007</v>
      </c>
      <c r="L1826" s="2">
        <v>44010</v>
      </c>
      <c r="M1826">
        <v>4</v>
      </c>
      <c r="N1826">
        <v>72</v>
      </c>
      <c r="O1826">
        <f>IF(Tickets[[#This Row],[Ticket Priority]]="Critical",24,
IF(Tickets[[#This Row],[Ticket Priority]]="High",48,
IF(Tickets[[#This Row],[Ticket Priority]]="Medium",120,168)))</f>
        <v>168</v>
      </c>
      <c r="P1826" t="str">
        <f>IF(Tickets[[#This Row],[Resolution Duration Hours]] &lt;= Tickets[[#This Row],[SLA_Target_Hours]], "Yes", "No")</f>
        <v>Yes</v>
      </c>
    </row>
    <row r="1827" spans="1:16" hidden="1">
      <c r="A1827">
        <v>1826</v>
      </c>
      <c r="B1827" t="s">
        <v>1818</v>
      </c>
      <c r="C1827" t="s">
        <v>3805</v>
      </c>
      <c r="D1827" t="s">
        <v>3980</v>
      </c>
      <c r="E1827" s="1">
        <v>44261</v>
      </c>
      <c r="F1827" t="s">
        <v>4002</v>
      </c>
      <c r="G1827" t="s">
        <v>4008</v>
      </c>
      <c r="H1827" t="s">
        <v>4018</v>
      </c>
      <c r="I1827" t="s">
        <v>4023</v>
      </c>
      <c r="J1827" t="s">
        <v>4025</v>
      </c>
      <c r="K1827" s="2">
        <v>44477</v>
      </c>
      <c r="L1827" s="2">
        <v>44479</v>
      </c>
      <c r="M1827">
        <v>4</v>
      </c>
      <c r="N1827">
        <v>48</v>
      </c>
      <c r="O1827">
        <f>IF(Tickets[[#This Row],[Ticket Priority]]="Critical",24,
IF(Tickets[[#This Row],[Ticket Priority]]="High",48,
IF(Tickets[[#This Row],[Ticket Priority]]="Medium",120,168)))</f>
        <v>120</v>
      </c>
      <c r="P1827" t="str">
        <f>IF(Tickets[[#This Row],[Resolution Duration Hours]] &lt;= Tickets[[#This Row],[SLA_Target_Hours]], "Yes", "No")</f>
        <v>Yes</v>
      </c>
    </row>
    <row r="1828" spans="1:16" hidden="1">
      <c r="A1828">
        <v>1827</v>
      </c>
      <c r="B1828" t="s">
        <v>1819</v>
      </c>
      <c r="C1828" t="s">
        <v>3806</v>
      </c>
      <c r="D1828" t="s">
        <v>3985</v>
      </c>
      <c r="E1828" s="1">
        <v>43998</v>
      </c>
      <c r="F1828" t="s">
        <v>3998</v>
      </c>
      <c r="G1828" t="s">
        <v>4014</v>
      </c>
      <c r="H1828" t="s">
        <v>4018</v>
      </c>
      <c r="I1828" t="s">
        <v>4023</v>
      </c>
      <c r="J1828" t="s">
        <v>4026</v>
      </c>
      <c r="K1828" s="2">
        <v>44232</v>
      </c>
      <c r="L1828" s="2">
        <v>44235</v>
      </c>
      <c r="M1828">
        <v>4</v>
      </c>
      <c r="N1828">
        <v>72</v>
      </c>
      <c r="O1828">
        <f>IF(Tickets[[#This Row],[Ticket Priority]]="Critical",24,
IF(Tickets[[#This Row],[Ticket Priority]]="High",48,
IF(Tickets[[#This Row],[Ticket Priority]]="Medium",120,168)))</f>
        <v>120</v>
      </c>
      <c r="P1828" t="str">
        <f>IF(Tickets[[#This Row],[Resolution Duration Hours]] &lt;= Tickets[[#This Row],[SLA_Target_Hours]], "Yes", "No")</f>
        <v>Yes</v>
      </c>
    </row>
    <row r="1829" spans="1:16" hidden="1">
      <c r="A1829">
        <v>1828</v>
      </c>
      <c r="B1829" t="s">
        <v>337</v>
      </c>
      <c r="C1829" t="s">
        <v>3807</v>
      </c>
      <c r="D1829" t="s">
        <v>3984</v>
      </c>
      <c r="E1829" s="1">
        <v>43894</v>
      </c>
      <c r="F1829" t="s">
        <v>4000</v>
      </c>
      <c r="G1829" t="s">
        <v>4015</v>
      </c>
      <c r="H1829" t="s">
        <v>4018</v>
      </c>
      <c r="I1829" t="s">
        <v>4023</v>
      </c>
      <c r="J1829" t="s">
        <v>4026</v>
      </c>
      <c r="K1829" s="2">
        <v>43952</v>
      </c>
      <c r="L1829" s="2">
        <v>43957</v>
      </c>
      <c r="N1829">
        <v>120</v>
      </c>
      <c r="O1829">
        <f>IF(Tickets[[#This Row],[Ticket Priority]]="Critical",24,
IF(Tickets[[#This Row],[Ticket Priority]]="High",48,
IF(Tickets[[#This Row],[Ticket Priority]]="Medium",120,168)))</f>
        <v>120</v>
      </c>
      <c r="P1829" t="str">
        <f>IF(Tickets[[#This Row],[Resolution Duration Hours]] &lt;= Tickets[[#This Row],[SLA_Target_Hours]], "Yes", "No")</f>
        <v>Yes</v>
      </c>
    </row>
    <row r="1830" spans="1:16" hidden="1">
      <c r="A1830">
        <v>1829</v>
      </c>
      <c r="B1830" t="s">
        <v>1820</v>
      </c>
      <c r="C1830" t="s">
        <v>3808</v>
      </c>
      <c r="D1830" t="s">
        <v>3979</v>
      </c>
      <c r="E1830" s="1">
        <v>43893</v>
      </c>
      <c r="F1830" t="s">
        <v>3998</v>
      </c>
      <c r="G1830" t="s">
        <v>4009</v>
      </c>
      <c r="H1830" t="s">
        <v>4020</v>
      </c>
      <c r="I1830" t="s">
        <v>4024</v>
      </c>
      <c r="J1830" t="s">
        <v>4025</v>
      </c>
      <c r="K1830" s="2">
        <v>44224</v>
      </c>
      <c r="L1830" s="2">
        <v>44227</v>
      </c>
      <c r="N1830">
        <v>72</v>
      </c>
      <c r="O1830">
        <f>IF(Tickets[[#This Row],[Ticket Priority]]="Critical",24,
IF(Tickets[[#This Row],[Ticket Priority]]="High",48,
IF(Tickets[[#This Row],[Ticket Priority]]="Medium",120,168)))</f>
        <v>168</v>
      </c>
      <c r="P1830" t="str">
        <f>IF(Tickets[[#This Row],[Resolution Duration Hours]] &lt;= Tickets[[#This Row],[SLA_Target_Hours]], "Yes", "No")</f>
        <v>Yes</v>
      </c>
    </row>
    <row r="1831" spans="1:16" hidden="1">
      <c r="A1831">
        <v>1830</v>
      </c>
      <c r="B1831" t="s">
        <v>1821</v>
      </c>
      <c r="C1831" t="s">
        <v>3809</v>
      </c>
      <c r="D1831" t="s">
        <v>3992</v>
      </c>
      <c r="E1831" s="1">
        <v>44204</v>
      </c>
      <c r="F1831" t="s">
        <v>3999</v>
      </c>
      <c r="G1831" t="s">
        <v>4007</v>
      </c>
      <c r="H1831" t="s">
        <v>4018</v>
      </c>
      <c r="I1831" t="s">
        <v>4023</v>
      </c>
      <c r="J1831" t="s">
        <v>4026</v>
      </c>
      <c r="K1831" s="2">
        <v>44206</v>
      </c>
      <c r="L1831" s="2">
        <v>44210</v>
      </c>
      <c r="M1831">
        <v>5</v>
      </c>
      <c r="N1831">
        <v>96</v>
      </c>
      <c r="O1831">
        <f>IF(Tickets[[#This Row],[Ticket Priority]]="Critical",24,
IF(Tickets[[#This Row],[Ticket Priority]]="High",48,
IF(Tickets[[#This Row],[Ticket Priority]]="Medium",120,168)))</f>
        <v>120</v>
      </c>
      <c r="P1831" t="str">
        <f>IF(Tickets[[#This Row],[Resolution Duration Hours]] &lt;= Tickets[[#This Row],[SLA_Target_Hours]], "Yes", "No")</f>
        <v>Yes</v>
      </c>
    </row>
    <row r="1832" spans="1:16" hidden="1">
      <c r="A1832">
        <v>1831</v>
      </c>
      <c r="B1832" t="s">
        <v>1822</v>
      </c>
      <c r="C1832" t="s">
        <v>3810</v>
      </c>
      <c r="D1832" t="s">
        <v>3988</v>
      </c>
      <c r="E1832" s="1">
        <v>43866</v>
      </c>
      <c r="F1832" t="s">
        <v>4000</v>
      </c>
      <c r="G1832" t="s">
        <v>4004</v>
      </c>
      <c r="H1832" t="s">
        <v>4018</v>
      </c>
      <c r="I1832" t="s">
        <v>4023</v>
      </c>
      <c r="J1832" t="s">
        <v>4028</v>
      </c>
      <c r="K1832" s="2">
        <v>44167</v>
      </c>
      <c r="L1832" s="2">
        <v>44170</v>
      </c>
      <c r="M1832">
        <v>3</v>
      </c>
      <c r="N1832">
        <v>72</v>
      </c>
      <c r="O1832">
        <f>IF(Tickets[[#This Row],[Ticket Priority]]="Critical",24,
IF(Tickets[[#This Row],[Ticket Priority]]="High",48,
IF(Tickets[[#This Row],[Ticket Priority]]="Medium",120,168)))</f>
        <v>120</v>
      </c>
      <c r="P1832" t="str">
        <f>IF(Tickets[[#This Row],[Resolution Duration Hours]] &lt;= Tickets[[#This Row],[SLA_Target_Hours]], "Yes", "No")</f>
        <v>Yes</v>
      </c>
    </row>
    <row r="1833" spans="1:16" hidden="1">
      <c r="A1833">
        <v>1832</v>
      </c>
      <c r="B1833" t="s">
        <v>510</v>
      </c>
      <c r="C1833" t="s">
        <v>3811</v>
      </c>
      <c r="D1833" t="s">
        <v>3994</v>
      </c>
      <c r="E1833" s="1">
        <v>44080</v>
      </c>
      <c r="F1833" t="s">
        <v>4000</v>
      </c>
      <c r="G1833" t="s">
        <v>4009</v>
      </c>
      <c r="H1833" t="s">
        <v>4020</v>
      </c>
      <c r="I1833" t="s">
        <v>4023</v>
      </c>
      <c r="J1833" t="s">
        <v>4026</v>
      </c>
      <c r="K1833" s="2">
        <v>44253</v>
      </c>
      <c r="L1833" s="2">
        <v>44256</v>
      </c>
      <c r="N1833">
        <v>72</v>
      </c>
      <c r="O1833">
        <f>IF(Tickets[[#This Row],[Ticket Priority]]="Critical",24,
IF(Tickets[[#This Row],[Ticket Priority]]="High",48,
IF(Tickets[[#This Row],[Ticket Priority]]="Medium",120,168)))</f>
        <v>120</v>
      </c>
      <c r="P1833" t="str">
        <f>IF(Tickets[[#This Row],[Resolution Duration Hours]] &lt;= Tickets[[#This Row],[SLA_Target_Hours]], "Yes", "No")</f>
        <v>Yes</v>
      </c>
    </row>
    <row r="1834" spans="1:16" hidden="1">
      <c r="A1834">
        <v>1833</v>
      </c>
      <c r="B1834" t="s">
        <v>1823</v>
      </c>
      <c r="C1834" t="s">
        <v>3812</v>
      </c>
      <c r="D1834" t="s">
        <v>3985</v>
      </c>
      <c r="E1834" s="1">
        <v>44462</v>
      </c>
      <c r="F1834" t="s">
        <v>4001</v>
      </c>
      <c r="G1834" t="s">
        <v>4013</v>
      </c>
      <c r="H1834" t="s">
        <v>4018</v>
      </c>
      <c r="I1834" t="s">
        <v>4023</v>
      </c>
      <c r="J1834" t="s">
        <v>4027</v>
      </c>
      <c r="K1834" s="2">
        <v>44722</v>
      </c>
      <c r="L1834" s="2">
        <v>44727</v>
      </c>
      <c r="M1834">
        <v>4</v>
      </c>
      <c r="N1834">
        <v>120</v>
      </c>
      <c r="O1834">
        <f>IF(Tickets[[#This Row],[Ticket Priority]]="Critical",24,
IF(Tickets[[#This Row],[Ticket Priority]]="High",48,
IF(Tickets[[#This Row],[Ticket Priority]]="Medium",120,168)))</f>
        <v>120</v>
      </c>
      <c r="P1834" t="str">
        <f>IF(Tickets[[#This Row],[Resolution Duration Hours]] &lt;= Tickets[[#This Row],[SLA_Target_Hours]], "Yes", "No")</f>
        <v>Yes</v>
      </c>
    </row>
    <row r="1835" spans="1:16" hidden="1">
      <c r="A1835">
        <v>1834</v>
      </c>
      <c r="B1835" t="s">
        <v>1824</v>
      </c>
      <c r="C1835" t="s">
        <v>3813</v>
      </c>
      <c r="D1835" t="s">
        <v>3997</v>
      </c>
      <c r="E1835" s="1">
        <v>44201</v>
      </c>
      <c r="F1835" t="s">
        <v>3998</v>
      </c>
      <c r="G1835" t="s">
        <v>4012</v>
      </c>
      <c r="H1835" t="s">
        <v>4017</v>
      </c>
      <c r="I1835" t="s">
        <v>4024</v>
      </c>
      <c r="J1835" t="s">
        <v>4028</v>
      </c>
      <c r="K1835" s="2">
        <v>44271</v>
      </c>
      <c r="L1835" s="2">
        <v>44276</v>
      </c>
      <c r="N1835">
        <v>120</v>
      </c>
      <c r="O1835">
        <f>IF(Tickets[[#This Row],[Ticket Priority]]="Critical",24,
IF(Tickets[[#This Row],[Ticket Priority]]="High",48,
IF(Tickets[[#This Row],[Ticket Priority]]="Medium",120,168)))</f>
        <v>168</v>
      </c>
      <c r="P1835" t="str">
        <f>IF(Tickets[[#This Row],[Resolution Duration Hours]] &lt;= Tickets[[#This Row],[SLA_Target_Hours]], "Yes", "No")</f>
        <v>Yes</v>
      </c>
    </row>
    <row r="1836" spans="1:16">
      <c r="A1836">
        <v>731</v>
      </c>
      <c r="B1836" t="s">
        <v>740</v>
      </c>
      <c r="C1836" t="s">
        <v>2713</v>
      </c>
      <c r="D1836" t="s">
        <v>3983</v>
      </c>
      <c r="E1836" s="1">
        <v>44254</v>
      </c>
      <c r="F1836" t="s">
        <v>4000</v>
      </c>
      <c r="G1836" t="s">
        <v>4007</v>
      </c>
      <c r="H1836" t="s">
        <v>4017</v>
      </c>
      <c r="I1836" t="s">
        <v>4021</v>
      </c>
      <c r="J1836" t="s">
        <v>4025</v>
      </c>
      <c r="K1836" s="2">
        <v>44324</v>
      </c>
      <c r="L1836" s="2">
        <v>44327</v>
      </c>
      <c r="N1836">
        <v>72</v>
      </c>
      <c r="O1836">
        <f>IF(Tickets[[#This Row],[Ticket Priority]]="Critical",24,
IF(Tickets[[#This Row],[Ticket Priority]]="High",48,
IF(Tickets[[#This Row],[Ticket Priority]]="Medium",120,168)))</f>
        <v>48</v>
      </c>
      <c r="P1836" t="str">
        <f>IF(Tickets[[#This Row],[Resolution Duration Hours]] &lt;= Tickets[[#This Row],[SLA_Target_Hours]], "Yes", "No")</f>
        <v>No</v>
      </c>
    </row>
    <row r="1837" spans="1:16" hidden="1">
      <c r="A1837">
        <v>1836</v>
      </c>
      <c r="B1837" t="s">
        <v>1826</v>
      </c>
      <c r="C1837" t="s">
        <v>3815</v>
      </c>
      <c r="D1837" t="s">
        <v>3990</v>
      </c>
      <c r="E1837" s="1">
        <v>43866</v>
      </c>
      <c r="F1837" t="s">
        <v>3999</v>
      </c>
      <c r="G1837" t="s">
        <v>4009</v>
      </c>
      <c r="H1837" t="s">
        <v>4018</v>
      </c>
      <c r="I1837" t="s">
        <v>4021</v>
      </c>
      <c r="J1837" t="s">
        <v>4026</v>
      </c>
      <c r="K1837" s="2">
        <v>44201</v>
      </c>
      <c r="L1837" s="2">
        <v>44203</v>
      </c>
      <c r="M1837">
        <v>4</v>
      </c>
      <c r="N1837">
        <v>48</v>
      </c>
      <c r="O1837">
        <f>IF(Tickets[[#This Row],[Ticket Priority]]="Critical",24,
IF(Tickets[[#This Row],[Ticket Priority]]="High",48,
IF(Tickets[[#This Row],[Ticket Priority]]="Medium",120,168)))</f>
        <v>48</v>
      </c>
      <c r="P1837" t="str">
        <f>IF(Tickets[[#This Row],[Resolution Duration Hours]] &lt;= Tickets[[#This Row],[SLA_Target_Hours]], "Yes", "No")</f>
        <v>Yes</v>
      </c>
    </row>
    <row r="1838" spans="1:16" hidden="1">
      <c r="A1838">
        <v>1837</v>
      </c>
      <c r="B1838" t="s">
        <v>1827</v>
      </c>
      <c r="C1838" t="s">
        <v>3816</v>
      </c>
      <c r="D1838" t="s">
        <v>3989</v>
      </c>
      <c r="E1838" s="1">
        <v>44331</v>
      </c>
      <c r="F1838" t="s">
        <v>4002</v>
      </c>
      <c r="G1838" t="s">
        <v>4010</v>
      </c>
      <c r="H1838" t="s">
        <v>4017</v>
      </c>
      <c r="I1838" t="s">
        <v>4021</v>
      </c>
      <c r="J1838" t="s">
        <v>4026</v>
      </c>
      <c r="K1838" s="2">
        <v>44689</v>
      </c>
      <c r="L1838" s="2">
        <v>44690</v>
      </c>
      <c r="N1838">
        <v>24</v>
      </c>
      <c r="O1838">
        <f>IF(Tickets[[#This Row],[Ticket Priority]]="Critical",24,
IF(Tickets[[#This Row],[Ticket Priority]]="High",48,
IF(Tickets[[#This Row],[Ticket Priority]]="Medium",120,168)))</f>
        <v>48</v>
      </c>
      <c r="P1838" t="str">
        <f>IF(Tickets[[#This Row],[Resolution Duration Hours]] &lt;= Tickets[[#This Row],[SLA_Target_Hours]], "Yes", "No")</f>
        <v>Yes</v>
      </c>
    </row>
    <row r="1839" spans="1:16" hidden="1">
      <c r="A1839">
        <v>1838</v>
      </c>
      <c r="B1839" t="s">
        <v>1828</v>
      </c>
      <c r="C1839" t="s">
        <v>3817</v>
      </c>
      <c r="D1839" t="s">
        <v>3990</v>
      </c>
      <c r="E1839" s="1">
        <v>44923</v>
      </c>
      <c r="F1839" t="s">
        <v>4002</v>
      </c>
      <c r="G1839" t="s">
        <v>4015</v>
      </c>
      <c r="H1839" t="s">
        <v>4018</v>
      </c>
      <c r="I1839" t="s">
        <v>4021</v>
      </c>
      <c r="J1839" t="s">
        <v>4027</v>
      </c>
      <c r="K1839" s="2">
        <v>45288</v>
      </c>
      <c r="L1839" s="2">
        <v>45289</v>
      </c>
      <c r="N1839">
        <v>24</v>
      </c>
      <c r="O1839">
        <f>IF(Tickets[[#This Row],[Ticket Priority]]="Critical",24,
IF(Tickets[[#This Row],[Ticket Priority]]="High",48,
IF(Tickets[[#This Row],[Ticket Priority]]="Medium",120,168)))</f>
        <v>48</v>
      </c>
      <c r="P1839" t="str">
        <f>IF(Tickets[[#This Row],[Resolution Duration Hours]] &lt;= Tickets[[#This Row],[SLA_Target_Hours]], "Yes", "No")</f>
        <v>Yes</v>
      </c>
    </row>
    <row r="1840" spans="1:16" hidden="1">
      <c r="A1840">
        <v>1839</v>
      </c>
      <c r="B1840" t="s">
        <v>1829</v>
      </c>
      <c r="C1840" t="s">
        <v>3818</v>
      </c>
      <c r="D1840" t="s">
        <v>3993</v>
      </c>
      <c r="E1840" s="1">
        <v>44379</v>
      </c>
      <c r="F1840" t="s">
        <v>3999</v>
      </c>
      <c r="G1840" t="s">
        <v>4006</v>
      </c>
      <c r="H1840" t="s">
        <v>4017</v>
      </c>
      <c r="I1840" t="s">
        <v>4022</v>
      </c>
      <c r="J1840" t="s">
        <v>4026</v>
      </c>
      <c r="K1840" s="2">
        <v>44569</v>
      </c>
      <c r="L1840" s="2">
        <v>44569</v>
      </c>
      <c r="N1840">
        <v>0</v>
      </c>
      <c r="O1840">
        <f>IF(Tickets[[#This Row],[Ticket Priority]]="Critical",24,
IF(Tickets[[#This Row],[Ticket Priority]]="High",48,
IF(Tickets[[#This Row],[Ticket Priority]]="Medium",120,168)))</f>
        <v>24</v>
      </c>
      <c r="P1840" t="str">
        <f>IF(Tickets[[#This Row],[Resolution Duration Hours]] &lt;= Tickets[[#This Row],[SLA_Target_Hours]], "Yes", "No")</f>
        <v>Yes</v>
      </c>
    </row>
    <row r="1841" spans="1:16" hidden="1">
      <c r="A1841">
        <v>1840</v>
      </c>
      <c r="B1841" t="s">
        <v>1830</v>
      </c>
      <c r="C1841" t="s">
        <v>3819</v>
      </c>
      <c r="D1841" t="s">
        <v>3994</v>
      </c>
      <c r="E1841" s="1">
        <v>44897</v>
      </c>
      <c r="F1841" t="s">
        <v>4002</v>
      </c>
      <c r="G1841" t="s">
        <v>4006</v>
      </c>
      <c r="H1841" t="s">
        <v>4018</v>
      </c>
      <c r="I1841" t="s">
        <v>4021</v>
      </c>
      <c r="J1841" t="s">
        <v>4025</v>
      </c>
      <c r="K1841" s="2">
        <v>45105</v>
      </c>
      <c r="L1841" s="2">
        <v>45107</v>
      </c>
      <c r="M1841">
        <v>5</v>
      </c>
      <c r="N1841">
        <v>48</v>
      </c>
      <c r="O1841">
        <f>IF(Tickets[[#This Row],[Ticket Priority]]="Critical",24,
IF(Tickets[[#This Row],[Ticket Priority]]="High",48,
IF(Tickets[[#This Row],[Ticket Priority]]="Medium",120,168)))</f>
        <v>48</v>
      </c>
      <c r="P1841" t="str">
        <f>IF(Tickets[[#This Row],[Resolution Duration Hours]] &lt;= Tickets[[#This Row],[SLA_Target_Hours]], "Yes", "No")</f>
        <v>Yes</v>
      </c>
    </row>
    <row r="1842" spans="1:16" hidden="1">
      <c r="A1842">
        <v>1841</v>
      </c>
      <c r="B1842" t="s">
        <v>1831</v>
      </c>
      <c r="C1842" t="s">
        <v>3820</v>
      </c>
      <c r="D1842" t="s">
        <v>3984</v>
      </c>
      <c r="E1842" s="1">
        <v>44719</v>
      </c>
      <c r="F1842" t="s">
        <v>4001</v>
      </c>
      <c r="G1842" t="s">
        <v>4013</v>
      </c>
      <c r="H1842" t="s">
        <v>4018</v>
      </c>
      <c r="I1842" t="s">
        <v>4024</v>
      </c>
      <c r="J1842" t="s">
        <v>4026</v>
      </c>
      <c r="K1842" s="2">
        <v>44954</v>
      </c>
      <c r="L1842" s="2">
        <v>44959</v>
      </c>
      <c r="M1842">
        <v>4</v>
      </c>
      <c r="N1842">
        <v>120</v>
      </c>
      <c r="O1842">
        <f>IF(Tickets[[#This Row],[Ticket Priority]]="Critical",24,
IF(Tickets[[#This Row],[Ticket Priority]]="High",48,
IF(Tickets[[#This Row],[Ticket Priority]]="Medium",120,168)))</f>
        <v>168</v>
      </c>
      <c r="P1842" t="str">
        <f>IF(Tickets[[#This Row],[Resolution Duration Hours]] &lt;= Tickets[[#This Row],[SLA_Target_Hours]], "Yes", "No")</f>
        <v>Yes</v>
      </c>
    </row>
    <row r="1843" spans="1:16" hidden="1">
      <c r="A1843">
        <v>1842</v>
      </c>
      <c r="B1843" t="s">
        <v>1832</v>
      </c>
      <c r="C1843" t="s">
        <v>3821</v>
      </c>
      <c r="D1843" t="s">
        <v>3988</v>
      </c>
      <c r="E1843" s="1">
        <v>44227</v>
      </c>
      <c r="F1843" t="s">
        <v>3998</v>
      </c>
      <c r="G1843" t="s">
        <v>4010</v>
      </c>
      <c r="H1843" t="s">
        <v>4017</v>
      </c>
      <c r="I1843" t="s">
        <v>4024</v>
      </c>
      <c r="J1843" t="s">
        <v>4026</v>
      </c>
      <c r="K1843" s="2">
        <v>44439</v>
      </c>
      <c r="L1843" s="2">
        <v>44440</v>
      </c>
      <c r="N1843">
        <v>24</v>
      </c>
      <c r="O1843">
        <f>IF(Tickets[[#This Row],[Ticket Priority]]="Critical",24,
IF(Tickets[[#This Row],[Ticket Priority]]="High",48,
IF(Tickets[[#This Row],[Ticket Priority]]="Medium",120,168)))</f>
        <v>168</v>
      </c>
      <c r="P1843" t="str">
        <f>IF(Tickets[[#This Row],[Resolution Duration Hours]] &lt;= Tickets[[#This Row],[SLA_Target_Hours]], "Yes", "No")</f>
        <v>Yes</v>
      </c>
    </row>
    <row r="1844" spans="1:16" hidden="1">
      <c r="A1844">
        <v>1843</v>
      </c>
      <c r="B1844" t="s">
        <v>1833</v>
      </c>
      <c r="C1844" t="s">
        <v>3822</v>
      </c>
      <c r="D1844" t="s">
        <v>3982</v>
      </c>
      <c r="E1844" s="1">
        <v>44832</v>
      </c>
      <c r="F1844" t="s">
        <v>3998</v>
      </c>
      <c r="G1844" t="s">
        <v>4016</v>
      </c>
      <c r="H1844" t="s">
        <v>4018</v>
      </c>
      <c r="I1844" t="s">
        <v>4023</v>
      </c>
      <c r="J1844" t="s">
        <v>4025</v>
      </c>
      <c r="K1844" s="2">
        <v>45130</v>
      </c>
      <c r="L1844" s="2">
        <v>45133</v>
      </c>
      <c r="M1844">
        <v>4</v>
      </c>
      <c r="N1844">
        <v>72</v>
      </c>
      <c r="O1844">
        <f>IF(Tickets[[#This Row],[Ticket Priority]]="Critical",24,
IF(Tickets[[#This Row],[Ticket Priority]]="High",48,
IF(Tickets[[#This Row],[Ticket Priority]]="Medium",120,168)))</f>
        <v>120</v>
      </c>
      <c r="P1844" t="str">
        <f>IF(Tickets[[#This Row],[Resolution Duration Hours]] &lt;= Tickets[[#This Row],[SLA_Target_Hours]], "Yes", "No")</f>
        <v>Yes</v>
      </c>
    </row>
    <row r="1845" spans="1:16" hidden="1">
      <c r="A1845">
        <v>1844</v>
      </c>
      <c r="B1845" t="s">
        <v>1834</v>
      </c>
      <c r="C1845" t="s">
        <v>3823</v>
      </c>
      <c r="D1845" t="s">
        <v>3996</v>
      </c>
      <c r="E1845" s="1">
        <v>43970</v>
      </c>
      <c r="F1845" t="s">
        <v>3998</v>
      </c>
      <c r="G1845" t="s">
        <v>4010</v>
      </c>
      <c r="H1845" t="s">
        <v>4018</v>
      </c>
      <c r="I1845" t="s">
        <v>4023</v>
      </c>
      <c r="J1845" t="s">
        <v>4028</v>
      </c>
      <c r="K1845" s="2">
        <v>44170</v>
      </c>
      <c r="L1845" s="2">
        <v>44172</v>
      </c>
      <c r="M1845">
        <v>3</v>
      </c>
      <c r="N1845">
        <v>48</v>
      </c>
      <c r="O1845">
        <f>IF(Tickets[[#This Row],[Ticket Priority]]="Critical",24,
IF(Tickets[[#This Row],[Ticket Priority]]="High",48,
IF(Tickets[[#This Row],[Ticket Priority]]="Medium",120,168)))</f>
        <v>120</v>
      </c>
      <c r="P1845" t="str">
        <f>IF(Tickets[[#This Row],[Resolution Duration Hours]] &lt;= Tickets[[#This Row],[SLA_Target_Hours]], "Yes", "No")</f>
        <v>Yes</v>
      </c>
    </row>
    <row r="1846" spans="1:16" hidden="1">
      <c r="A1846">
        <v>1845</v>
      </c>
      <c r="B1846" t="s">
        <v>1835</v>
      </c>
      <c r="C1846" t="s">
        <v>3824</v>
      </c>
      <c r="D1846" t="s">
        <v>3991</v>
      </c>
      <c r="E1846" s="1">
        <v>44534</v>
      </c>
      <c r="F1846" t="s">
        <v>4001</v>
      </c>
      <c r="G1846" t="s">
        <v>4000</v>
      </c>
      <c r="H1846" t="s">
        <v>4019</v>
      </c>
      <c r="I1846" t="s">
        <v>4023</v>
      </c>
      <c r="J1846" t="s">
        <v>4027</v>
      </c>
      <c r="K1846" s="2">
        <v>44723</v>
      </c>
      <c r="L1846" s="2">
        <v>44725</v>
      </c>
      <c r="M1846">
        <v>4</v>
      </c>
      <c r="N1846">
        <v>48</v>
      </c>
      <c r="O1846">
        <f>IF(Tickets[[#This Row],[Ticket Priority]]="Critical",24,
IF(Tickets[[#This Row],[Ticket Priority]]="High",48,
IF(Tickets[[#This Row],[Ticket Priority]]="Medium",120,168)))</f>
        <v>120</v>
      </c>
      <c r="P1846" t="str">
        <f>IF(Tickets[[#This Row],[Resolution Duration Hours]] &lt;= Tickets[[#This Row],[SLA_Target_Hours]], "Yes", "No")</f>
        <v>Yes</v>
      </c>
    </row>
    <row r="1847" spans="1:16" hidden="1">
      <c r="A1847">
        <v>1846</v>
      </c>
      <c r="B1847" t="s">
        <v>1836</v>
      </c>
      <c r="C1847" t="s">
        <v>3825</v>
      </c>
      <c r="D1847" t="s">
        <v>3996</v>
      </c>
      <c r="E1847" s="1">
        <v>43934</v>
      </c>
      <c r="F1847" t="s">
        <v>3999</v>
      </c>
      <c r="G1847" t="s">
        <v>4012</v>
      </c>
      <c r="H1847" t="s">
        <v>4018</v>
      </c>
      <c r="I1847" t="s">
        <v>4023</v>
      </c>
      <c r="J1847" t="s">
        <v>4026</v>
      </c>
      <c r="K1847" s="2">
        <v>44012</v>
      </c>
      <c r="L1847" s="2">
        <v>44015</v>
      </c>
      <c r="M1847">
        <v>2</v>
      </c>
      <c r="N1847">
        <v>72</v>
      </c>
      <c r="O1847">
        <f>IF(Tickets[[#This Row],[Ticket Priority]]="Critical",24,
IF(Tickets[[#This Row],[Ticket Priority]]="High",48,
IF(Tickets[[#This Row],[Ticket Priority]]="Medium",120,168)))</f>
        <v>120</v>
      </c>
      <c r="P1847" t="str">
        <f>IF(Tickets[[#This Row],[Resolution Duration Hours]] &lt;= Tickets[[#This Row],[SLA_Target_Hours]], "Yes", "No")</f>
        <v>Yes</v>
      </c>
    </row>
    <row r="1848" spans="1:16" hidden="1">
      <c r="A1848">
        <v>1847</v>
      </c>
      <c r="B1848" t="s">
        <v>1837</v>
      </c>
      <c r="C1848" t="s">
        <v>3826</v>
      </c>
      <c r="D1848" t="s">
        <v>3984</v>
      </c>
      <c r="E1848" s="1">
        <v>44091</v>
      </c>
      <c r="F1848" t="s">
        <v>3999</v>
      </c>
      <c r="G1848" t="s">
        <v>4010</v>
      </c>
      <c r="H1848" t="s">
        <v>4018</v>
      </c>
      <c r="I1848" t="s">
        <v>4021</v>
      </c>
      <c r="J1848" t="s">
        <v>4028</v>
      </c>
      <c r="K1848" s="2">
        <v>44311</v>
      </c>
      <c r="L1848" s="2">
        <v>44311</v>
      </c>
      <c r="M1848">
        <v>4</v>
      </c>
      <c r="N1848">
        <v>0</v>
      </c>
      <c r="O1848">
        <f>IF(Tickets[[#This Row],[Ticket Priority]]="Critical",24,
IF(Tickets[[#This Row],[Ticket Priority]]="High",48,
IF(Tickets[[#This Row],[Ticket Priority]]="Medium",120,168)))</f>
        <v>48</v>
      </c>
      <c r="P1848" t="str">
        <f>IF(Tickets[[#This Row],[Resolution Duration Hours]] &lt;= Tickets[[#This Row],[SLA_Target_Hours]], "Yes", "No")</f>
        <v>Yes</v>
      </c>
    </row>
    <row r="1849" spans="1:16" hidden="1">
      <c r="A1849">
        <v>1848</v>
      </c>
      <c r="B1849" t="s">
        <v>1838</v>
      </c>
      <c r="C1849" t="s">
        <v>3827</v>
      </c>
      <c r="D1849" t="s">
        <v>3996</v>
      </c>
      <c r="E1849" s="1">
        <v>44660</v>
      </c>
      <c r="F1849" t="s">
        <v>4001</v>
      </c>
      <c r="G1849" t="s">
        <v>4003</v>
      </c>
      <c r="H1849" t="s">
        <v>4017</v>
      </c>
      <c r="I1849" t="s">
        <v>4021</v>
      </c>
      <c r="J1849" t="s">
        <v>4027</v>
      </c>
      <c r="K1849" s="2">
        <v>44745</v>
      </c>
      <c r="L1849" s="2">
        <v>44747</v>
      </c>
      <c r="N1849">
        <v>48</v>
      </c>
      <c r="O1849">
        <f>IF(Tickets[[#This Row],[Ticket Priority]]="Critical",24,
IF(Tickets[[#This Row],[Ticket Priority]]="High",48,
IF(Tickets[[#This Row],[Ticket Priority]]="Medium",120,168)))</f>
        <v>48</v>
      </c>
      <c r="P1849" t="str">
        <f>IF(Tickets[[#This Row],[Resolution Duration Hours]] &lt;= Tickets[[#This Row],[SLA_Target_Hours]], "Yes", "No")</f>
        <v>Yes</v>
      </c>
    </row>
    <row r="1850" spans="1:16" hidden="1">
      <c r="A1850">
        <v>1849</v>
      </c>
      <c r="B1850" t="s">
        <v>1839</v>
      </c>
      <c r="C1850" t="s">
        <v>3828</v>
      </c>
      <c r="D1850" t="s">
        <v>3986</v>
      </c>
      <c r="E1850" s="1">
        <v>45053</v>
      </c>
      <c r="F1850" t="s">
        <v>3998</v>
      </c>
      <c r="G1850" t="s">
        <v>4015</v>
      </c>
      <c r="H1850" t="s">
        <v>4018</v>
      </c>
      <c r="I1850" t="s">
        <v>4024</v>
      </c>
      <c r="J1850" t="s">
        <v>4027</v>
      </c>
      <c r="K1850" s="2">
        <v>45128</v>
      </c>
      <c r="L1850" s="2">
        <v>45128</v>
      </c>
      <c r="M1850">
        <v>4</v>
      </c>
      <c r="N1850">
        <v>0</v>
      </c>
      <c r="O1850">
        <f>IF(Tickets[[#This Row],[Ticket Priority]]="Critical",24,
IF(Tickets[[#This Row],[Ticket Priority]]="High",48,
IF(Tickets[[#This Row],[Ticket Priority]]="Medium",120,168)))</f>
        <v>168</v>
      </c>
      <c r="P1850" t="str">
        <f>IF(Tickets[[#This Row],[Resolution Duration Hours]] &lt;= Tickets[[#This Row],[SLA_Target_Hours]], "Yes", "No")</f>
        <v>Yes</v>
      </c>
    </row>
    <row r="1851" spans="1:16" hidden="1">
      <c r="A1851">
        <v>1850</v>
      </c>
      <c r="B1851" t="s">
        <v>1840</v>
      </c>
      <c r="C1851" t="s">
        <v>3829</v>
      </c>
      <c r="D1851" t="s">
        <v>3985</v>
      </c>
      <c r="E1851" s="1">
        <v>44040</v>
      </c>
      <c r="F1851" t="s">
        <v>3998</v>
      </c>
      <c r="G1851" t="s">
        <v>4013</v>
      </c>
      <c r="H1851" t="s">
        <v>4018</v>
      </c>
      <c r="I1851" t="s">
        <v>4024</v>
      </c>
      <c r="J1851" t="s">
        <v>4028</v>
      </c>
      <c r="K1851" s="2">
        <v>44091</v>
      </c>
      <c r="L1851" s="2">
        <v>44096</v>
      </c>
      <c r="M1851">
        <v>5</v>
      </c>
      <c r="N1851">
        <v>120</v>
      </c>
      <c r="O1851">
        <f>IF(Tickets[[#This Row],[Ticket Priority]]="Critical",24,
IF(Tickets[[#This Row],[Ticket Priority]]="High",48,
IF(Tickets[[#This Row],[Ticket Priority]]="Medium",120,168)))</f>
        <v>168</v>
      </c>
      <c r="P1851" t="str">
        <f>IF(Tickets[[#This Row],[Resolution Duration Hours]] &lt;= Tickets[[#This Row],[SLA_Target_Hours]], "Yes", "No")</f>
        <v>Yes</v>
      </c>
    </row>
    <row r="1852" spans="1:16" hidden="1">
      <c r="A1852">
        <v>1851</v>
      </c>
      <c r="B1852" t="s">
        <v>1841</v>
      </c>
      <c r="C1852" t="s">
        <v>3830</v>
      </c>
      <c r="D1852" t="s">
        <v>3995</v>
      </c>
      <c r="E1852" s="1">
        <v>45047</v>
      </c>
      <c r="F1852" t="s">
        <v>4000</v>
      </c>
      <c r="G1852" t="s">
        <v>4012</v>
      </c>
      <c r="H1852" t="s">
        <v>4018</v>
      </c>
      <c r="I1852" t="s">
        <v>4024</v>
      </c>
      <c r="J1852" t="s">
        <v>4028</v>
      </c>
      <c r="K1852" s="2">
        <v>45122</v>
      </c>
      <c r="L1852" s="2">
        <v>45127</v>
      </c>
      <c r="M1852">
        <v>4</v>
      </c>
      <c r="N1852">
        <v>120</v>
      </c>
      <c r="O1852">
        <f>IF(Tickets[[#This Row],[Ticket Priority]]="Critical",24,
IF(Tickets[[#This Row],[Ticket Priority]]="High",48,
IF(Tickets[[#This Row],[Ticket Priority]]="Medium",120,168)))</f>
        <v>168</v>
      </c>
      <c r="P1852" t="str">
        <f>IF(Tickets[[#This Row],[Resolution Duration Hours]] &lt;= Tickets[[#This Row],[SLA_Target_Hours]], "Yes", "No")</f>
        <v>Yes</v>
      </c>
    </row>
    <row r="1853" spans="1:16" hidden="1">
      <c r="A1853">
        <v>1852</v>
      </c>
      <c r="B1853" t="s">
        <v>1842</v>
      </c>
      <c r="C1853" t="s">
        <v>3831</v>
      </c>
      <c r="D1853" t="s">
        <v>3991</v>
      </c>
      <c r="E1853" s="1">
        <v>45003</v>
      </c>
      <c r="F1853" t="s">
        <v>4002</v>
      </c>
      <c r="G1853" t="s">
        <v>4006</v>
      </c>
      <c r="H1853" t="s">
        <v>4018</v>
      </c>
      <c r="I1853" t="s">
        <v>4024</v>
      </c>
      <c r="J1853" t="s">
        <v>4028</v>
      </c>
      <c r="K1853" s="2">
        <v>45176</v>
      </c>
      <c r="L1853" s="2">
        <v>45183</v>
      </c>
      <c r="M1853">
        <v>2</v>
      </c>
      <c r="N1853">
        <v>168</v>
      </c>
      <c r="O1853">
        <f>IF(Tickets[[#This Row],[Ticket Priority]]="Critical",24,
IF(Tickets[[#This Row],[Ticket Priority]]="High",48,
IF(Tickets[[#This Row],[Ticket Priority]]="Medium",120,168)))</f>
        <v>168</v>
      </c>
      <c r="P1853" t="str">
        <f>IF(Tickets[[#This Row],[Resolution Duration Hours]] &lt;= Tickets[[#This Row],[SLA_Target_Hours]], "Yes", "No")</f>
        <v>Yes</v>
      </c>
    </row>
    <row r="1854" spans="1:16" hidden="1">
      <c r="A1854">
        <v>1853</v>
      </c>
      <c r="B1854" t="s">
        <v>1843</v>
      </c>
      <c r="C1854" t="s">
        <v>3832</v>
      </c>
      <c r="D1854" t="s">
        <v>3994</v>
      </c>
      <c r="E1854" s="1">
        <v>44672</v>
      </c>
      <c r="F1854" t="s">
        <v>4002</v>
      </c>
      <c r="G1854" t="s">
        <v>4003</v>
      </c>
      <c r="H1854" t="s">
        <v>4020</v>
      </c>
      <c r="I1854" t="s">
        <v>4021</v>
      </c>
      <c r="J1854" t="s">
        <v>4025</v>
      </c>
      <c r="K1854" s="2">
        <v>44858</v>
      </c>
      <c r="L1854" s="2">
        <v>44860</v>
      </c>
      <c r="N1854">
        <v>48</v>
      </c>
      <c r="O1854">
        <f>IF(Tickets[[#This Row],[Ticket Priority]]="Critical",24,
IF(Tickets[[#This Row],[Ticket Priority]]="High",48,
IF(Tickets[[#This Row],[Ticket Priority]]="Medium",120,168)))</f>
        <v>48</v>
      </c>
      <c r="P1854" t="str">
        <f>IF(Tickets[[#This Row],[Resolution Duration Hours]] &lt;= Tickets[[#This Row],[SLA_Target_Hours]], "Yes", "No")</f>
        <v>Yes</v>
      </c>
    </row>
    <row r="1855" spans="1:16" hidden="1">
      <c r="A1855">
        <v>1854</v>
      </c>
      <c r="B1855" t="s">
        <v>1844</v>
      </c>
      <c r="C1855" t="s">
        <v>3833</v>
      </c>
      <c r="D1855" t="s">
        <v>3988</v>
      </c>
      <c r="E1855" s="1">
        <v>44644</v>
      </c>
      <c r="F1855" t="s">
        <v>3999</v>
      </c>
      <c r="G1855" t="s">
        <v>4016</v>
      </c>
      <c r="H1855" t="s">
        <v>4018</v>
      </c>
      <c r="I1855" t="s">
        <v>4024</v>
      </c>
      <c r="J1855" t="s">
        <v>4025</v>
      </c>
      <c r="K1855" s="2">
        <v>45005</v>
      </c>
      <c r="L1855" s="2">
        <v>45012</v>
      </c>
      <c r="M1855">
        <v>4</v>
      </c>
      <c r="N1855">
        <v>168</v>
      </c>
      <c r="O1855">
        <f>IF(Tickets[[#This Row],[Ticket Priority]]="Critical",24,
IF(Tickets[[#This Row],[Ticket Priority]]="High",48,
IF(Tickets[[#This Row],[Ticket Priority]]="Medium",120,168)))</f>
        <v>168</v>
      </c>
      <c r="P1855" t="str">
        <f>IF(Tickets[[#This Row],[Resolution Duration Hours]] &lt;= Tickets[[#This Row],[SLA_Target_Hours]], "Yes", "No")</f>
        <v>Yes</v>
      </c>
    </row>
    <row r="1856" spans="1:16">
      <c r="A1856">
        <v>784</v>
      </c>
      <c r="B1856" t="s">
        <v>793</v>
      </c>
      <c r="C1856" t="s">
        <v>2766</v>
      </c>
      <c r="D1856" t="s">
        <v>3992</v>
      </c>
      <c r="E1856" s="1">
        <v>44542</v>
      </c>
      <c r="F1856" t="s">
        <v>4000</v>
      </c>
      <c r="G1856" t="s">
        <v>4004</v>
      </c>
      <c r="H1856" t="s">
        <v>4017</v>
      </c>
      <c r="I1856" t="s">
        <v>4021</v>
      </c>
      <c r="J1856" t="s">
        <v>4026</v>
      </c>
      <c r="K1856" s="2">
        <v>44859</v>
      </c>
      <c r="L1856" s="2">
        <v>44862</v>
      </c>
      <c r="N1856">
        <v>72</v>
      </c>
      <c r="O1856">
        <f>IF(Tickets[[#This Row],[Ticket Priority]]="Critical",24,
IF(Tickets[[#This Row],[Ticket Priority]]="High",48,
IF(Tickets[[#This Row],[Ticket Priority]]="Medium",120,168)))</f>
        <v>48</v>
      </c>
      <c r="P1856" t="str">
        <f>IF(Tickets[[#This Row],[Resolution Duration Hours]] &lt;= Tickets[[#This Row],[SLA_Target_Hours]], "Yes", "No")</f>
        <v>No</v>
      </c>
    </row>
    <row r="1857" spans="1:16">
      <c r="A1857">
        <v>798</v>
      </c>
      <c r="B1857" t="s">
        <v>806</v>
      </c>
      <c r="C1857" t="s">
        <v>2780</v>
      </c>
      <c r="D1857" t="s">
        <v>3980</v>
      </c>
      <c r="E1857" s="1">
        <v>43966</v>
      </c>
      <c r="F1857" t="s">
        <v>4000</v>
      </c>
      <c r="G1857" t="s">
        <v>4009</v>
      </c>
      <c r="H1857" t="s">
        <v>4018</v>
      </c>
      <c r="I1857" t="s">
        <v>4021</v>
      </c>
      <c r="J1857" t="s">
        <v>4026</v>
      </c>
      <c r="K1857" s="2">
        <v>44298</v>
      </c>
      <c r="L1857" s="2">
        <v>44301</v>
      </c>
      <c r="M1857">
        <v>4</v>
      </c>
      <c r="N1857">
        <v>72</v>
      </c>
      <c r="O1857">
        <f>IF(Tickets[[#This Row],[Ticket Priority]]="Critical",24,
IF(Tickets[[#This Row],[Ticket Priority]]="High",48,
IF(Tickets[[#This Row],[Ticket Priority]]="Medium",120,168)))</f>
        <v>48</v>
      </c>
      <c r="P1857" t="str">
        <f>IF(Tickets[[#This Row],[Resolution Duration Hours]] &lt;= Tickets[[#This Row],[SLA_Target_Hours]], "Yes", "No")</f>
        <v>No</v>
      </c>
    </row>
    <row r="1858" spans="1:16" hidden="1">
      <c r="A1858">
        <v>1857</v>
      </c>
      <c r="B1858" t="s">
        <v>1847</v>
      </c>
      <c r="C1858" t="s">
        <v>3836</v>
      </c>
      <c r="D1858" t="s">
        <v>3997</v>
      </c>
      <c r="E1858" s="1">
        <v>44048</v>
      </c>
      <c r="F1858" t="s">
        <v>3999</v>
      </c>
      <c r="G1858" t="s">
        <v>4010</v>
      </c>
      <c r="H1858" t="s">
        <v>4018</v>
      </c>
      <c r="I1858" t="s">
        <v>4022</v>
      </c>
      <c r="J1858" t="s">
        <v>4026</v>
      </c>
      <c r="K1858" s="2">
        <v>44244</v>
      </c>
      <c r="L1858" s="2">
        <v>44244</v>
      </c>
      <c r="M1858">
        <v>4</v>
      </c>
      <c r="N1858">
        <v>0</v>
      </c>
      <c r="O1858">
        <f>IF(Tickets[[#This Row],[Ticket Priority]]="Critical",24,
IF(Tickets[[#This Row],[Ticket Priority]]="High",48,
IF(Tickets[[#This Row],[Ticket Priority]]="Medium",120,168)))</f>
        <v>24</v>
      </c>
      <c r="P1858" t="str">
        <f>IF(Tickets[[#This Row],[Resolution Duration Hours]] &lt;= Tickets[[#This Row],[SLA_Target_Hours]], "Yes", "No")</f>
        <v>Yes</v>
      </c>
    </row>
    <row r="1859" spans="1:16" hidden="1">
      <c r="A1859">
        <v>1858</v>
      </c>
      <c r="B1859" t="s">
        <v>1848</v>
      </c>
      <c r="C1859" t="s">
        <v>3837</v>
      </c>
      <c r="D1859" t="s">
        <v>3987</v>
      </c>
      <c r="E1859" s="1">
        <v>44587</v>
      </c>
      <c r="F1859" t="s">
        <v>4002</v>
      </c>
      <c r="G1859" t="s">
        <v>4008</v>
      </c>
      <c r="H1859" t="s">
        <v>4018</v>
      </c>
      <c r="I1859" t="s">
        <v>4024</v>
      </c>
      <c r="J1859" t="s">
        <v>4025</v>
      </c>
      <c r="K1859" s="2">
        <v>44880</v>
      </c>
      <c r="L1859" s="2">
        <v>44886</v>
      </c>
      <c r="M1859">
        <v>4</v>
      </c>
      <c r="N1859">
        <v>144</v>
      </c>
      <c r="O1859">
        <f>IF(Tickets[[#This Row],[Ticket Priority]]="Critical",24,
IF(Tickets[[#This Row],[Ticket Priority]]="High",48,
IF(Tickets[[#This Row],[Ticket Priority]]="Medium",120,168)))</f>
        <v>168</v>
      </c>
      <c r="P1859" t="str">
        <f>IF(Tickets[[#This Row],[Resolution Duration Hours]] &lt;= Tickets[[#This Row],[SLA_Target_Hours]], "Yes", "No")</f>
        <v>Yes</v>
      </c>
    </row>
    <row r="1860" spans="1:16" hidden="1">
      <c r="A1860">
        <v>1859</v>
      </c>
      <c r="B1860" t="s">
        <v>1849</v>
      </c>
      <c r="C1860" t="s">
        <v>3838</v>
      </c>
      <c r="D1860" t="s">
        <v>3985</v>
      </c>
      <c r="E1860" s="1">
        <v>44212</v>
      </c>
      <c r="F1860" t="s">
        <v>4002</v>
      </c>
      <c r="G1860" t="s">
        <v>4010</v>
      </c>
      <c r="H1860" t="s">
        <v>4018</v>
      </c>
      <c r="I1860" t="s">
        <v>4023</v>
      </c>
      <c r="J1860" t="s">
        <v>4026</v>
      </c>
      <c r="K1860" s="2">
        <v>44377</v>
      </c>
      <c r="L1860" s="2">
        <v>44380</v>
      </c>
      <c r="M1860">
        <v>4</v>
      </c>
      <c r="N1860">
        <v>72</v>
      </c>
      <c r="O1860">
        <f>IF(Tickets[[#This Row],[Ticket Priority]]="Critical",24,
IF(Tickets[[#This Row],[Ticket Priority]]="High",48,
IF(Tickets[[#This Row],[Ticket Priority]]="Medium",120,168)))</f>
        <v>120</v>
      </c>
      <c r="P1860" t="str">
        <f>IF(Tickets[[#This Row],[Resolution Duration Hours]] &lt;= Tickets[[#This Row],[SLA_Target_Hours]], "Yes", "No")</f>
        <v>Yes</v>
      </c>
    </row>
    <row r="1861" spans="1:16" hidden="1">
      <c r="A1861">
        <v>1860</v>
      </c>
      <c r="B1861" t="s">
        <v>1850</v>
      </c>
      <c r="C1861" t="s">
        <v>3839</v>
      </c>
      <c r="D1861" t="s">
        <v>3990</v>
      </c>
      <c r="E1861" s="1">
        <v>44846</v>
      </c>
      <c r="F1861" t="s">
        <v>4001</v>
      </c>
      <c r="G1861" t="s">
        <v>4006</v>
      </c>
      <c r="H1861" t="s">
        <v>4017</v>
      </c>
      <c r="I1861" t="s">
        <v>4024</v>
      </c>
      <c r="J1861" t="s">
        <v>4026</v>
      </c>
      <c r="K1861" s="2">
        <v>44915</v>
      </c>
      <c r="L1861" s="2">
        <v>44917</v>
      </c>
      <c r="N1861">
        <v>48</v>
      </c>
      <c r="O1861">
        <f>IF(Tickets[[#This Row],[Ticket Priority]]="Critical",24,
IF(Tickets[[#This Row],[Ticket Priority]]="High",48,
IF(Tickets[[#This Row],[Ticket Priority]]="Medium",120,168)))</f>
        <v>168</v>
      </c>
      <c r="P1861" t="str">
        <f>IF(Tickets[[#This Row],[Resolution Duration Hours]] &lt;= Tickets[[#This Row],[SLA_Target_Hours]], "Yes", "No")</f>
        <v>Yes</v>
      </c>
    </row>
    <row r="1862" spans="1:16">
      <c r="A1862">
        <v>844</v>
      </c>
      <c r="B1862" t="s">
        <v>852</v>
      </c>
      <c r="C1862" t="s">
        <v>2826</v>
      </c>
      <c r="D1862" t="s">
        <v>3987</v>
      </c>
      <c r="E1862" s="1">
        <v>44355</v>
      </c>
      <c r="F1862" t="s">
        <v>3998</v>
      </c>
      <c r="G1862" t="s">
        <v>4013</v>
      </c>
      <c r="H1862" t="s">
        <v>4018</v>
      </c>
      <c r="I1862" t="s">
        <v>4021</v>
      </c>
      <c r="J1862" t="s">
        <v>4026</v>
      </c>
      <c r="K1862" s="2">
        <v>44712</v>
      </c>
      <c r="L1862" s="2">
        <v>44715</v>
      </c>
      <c r="M1862">
        <v>5</v>
      </c>
      <c r="N1862">
        <v>72</v>
      </c>
      <c r="O1862">
        <f>IF(Tickets[[#This Row],[Ticket Priority]]="Critical",24,
IF(Tickets[[#This Row],[Ticket Priority]]="High",48,
IF(Tickets[[#This Row],[Ticket Priority]]="Medium",120,168)))</f>
        <v>48</v>
      </c>
      <c r="P1862" t="str">
        <f>IF(Tickets[[#This Row],[Resolution Duration Hours]] &lt;= Tickets[[#This Row],[SLA_Target_Hours]], "Yes", "No")</f>
        <v>No</v>
      </c>
    </row>
    <row r="1863" spans="1:16" hidden="1">
      <c r="A1863">
        <v>1862</v>
      </c>
      <c r="B1863" t="s">
        <v>1852</v>
      </c>
      <c r="C1863" t="s">
        <v>3841</v>
      </c>
      <c r="D1863" t="s">
        <v>3983</v>
      </c>
      <c r="E1863" s="1">
        <v>44703</v>
      </c>
      <c r="F1863" t="s">
        <v>4001</v>
      </c>
      <c r="G1863" t="s">
        <v>4006</v>
      </c>
      <c r="H1863" t="s">
        <v>4018</v>
      </c>
      <c r="I1863" t="s">
        <v>4024</v>
      </c>
      <c r="J1863" t="s">
        <v>4028</v>
      </c>
      <c r="K1863" s="2">
        <v>44861</v>
      </c>
      <c r="L1863" s="2">
        <v>44864</v>
      </c>
      <c r="M1863">
        <v>4</v>
      </c>
      <c r="N1863">
        <v>72</v>
      </c>
      <c r="O1863">
        <f>IF(Tickets[[#This Row],[Ticket Priority]]="Critical",24,
IF(Tickets[[#This Row],[Ticket Priority]]="High",48,
IF(Tickets[[#This Row],[Ticket Priority]]="Medium",120,168)))</f>
        <v>168</v>
      </c>
      <c r="P1863" t="str">
        <f>IF(Tickets[[#This Row],[Resolution Duration Hours]] &lt;= Tickets[[#This Row],[SLA_Target_Hours]], "Yes", "No")</f>
        <v>Yes</v>
      </c>
    </row>
    <row r="1864" spans="1:16">
      <c r="A1864">
        <v>894</v>
      </c>
      <c r="B1864" t="s">
        <v>902</v>
      </c>
      <c r="C1864" t="s">
        <v>2876</v>
      </c>
      <c r="D1864" t="s">
        <v>3983</v>
      </c>
      <c r="E1864" s="1">
        <v>44333</v>
      </c>
      <c r="F1864" t="s">
        <v>4001</v>
      </c>
      <c r="G1864" t="s">
        <v>4015</v>
      </c>
      <c r="H1864" t="s">
        <v>4017</v>
      </c>
      <c r="I1864" t="s">
        <v>4021</v>
      </c>
      <c r="J1864" t="s">
        <v>4028</v>
      </c>
      <c r="K1864" s="2">
        <v>44379</v>
      </c>
      <c r="L1864" s="2">
        <v>44382</v>
      </c>
      <c r="N1864">
        <v>72</v>
      </c>
      <c r="O1864">
        <f>IF(Tickets[[#This Row],[Ticket Priority]]="Critical",24,
IF(Tickets[[#This Row],[Ticket Priority]]="High",48,
IF(Tickets[[#This Row],[Ticket Priority]]="Medium",120,168)))</f>
        <v>48</v>
      </c>
      <c r="P1864" t="str">
        <f>IF(Tickets[[#This Row],[Resolution Duration Hours]] &lt;= Tickets[[#This Row],[SLA_Target_Hours]], "Yes", "No")</f>
        <v>No</v>
      </c>
    </row>
    <row r="1865" spans="1:16" hidden="1">
      <c r="A1865">
        <v>1864</v>
      </c>
      <c r="B1865" t="s">
        <v>1854</v>
      </c>
      <c r="C1865" t="s">
        <v>3843</v>
      </c>
      <c r="D1865" t="s">
        <v>3979</v>
      </c>
      <c r="E1865" s="1">
        <v>45017</v>
      </c>
      <c r="F1865" t="s">
        <v>3999</v>
      </c>
      <c r="G1865" t="s">
        <v>4016</v>
      </c>
      <c r="H1865" t="s">
        <v>4018</v>
      </c>
      <c r="I1865" t="s">
        <v>4023</v>
      </c>
      <c r="J1865" t="s">
        <v>4026</v>
      </c>
      <c r="K1865" s="2">
        <v>45057</v>
      </c>
      <c r="L1865" s="2">
        <v>45060</v>
      </c>
      <c r="N1865">
        <v>72</v>
      </c>
      <c r="O1865">
        <f>IF(Tickets[[#This Row],[Ticket Priority]]="Critical",24,
IF(Tickets[[#This Row],[Ticket Priority]]="High",48,
IF(Tickets[[#This Row],[Ticket Priority]]="Medium",120,168)))</f>
        <v>120</v>
      </c>
      <c r="P1865" t="str">
        <f>IF(Tickets[[#This Row],[Resolution Duration Hours]] &lt;= Tickets[[#This Row],[SLA_Target_Hours]], "Yes", "No")</f>
        <v>Yes</v>
      </c>
    </row>
    <row r="1866" spans="1:16">
      <c r="A1866">
        <v>899</v>
      </c>
      <c r="B1866" t="s">
        <v>907</v>
      </c>
      <c r="C1866" t="s">
        <v>2881</v>
      </c>
      <c r="D1866" t="s">
        <v>3996</v>
      </c>
      <c r="E1866" s="1">
        <v>44974</v>
      </c>
      <c r="F1866" t="s">
        <v>4001</v>
      </c>
      <c r="G1866" t="s">
        <v>4012</v>
      </c>
      <c r="H1866" t="s">
        <v>4018</v>
      </c>
      <c r="I1866" t="s">
        <v>4021</v>
      </c>
      <c r="J1866" t="s">
        <v>4025</v>
      </c>
      <c r="K1866" s="2">
        <v>45061</v>
      </c>
      <c r="L1866" s="2">
        <v>45064</v>
      </c>
      <c r="M1866">
        <v>4</v>
      </c>
      <c r="N1866">
        <v>72</v>
      </c>
      <c r="O1866">
        <f>IF(Tickets[[#This Row],[Ticket Priority]]="Critical",24,
IF(Tickets[[#This Row],[Ticket Priority]]="High",48,
IF(Tickets[[#This Row],[Ticket Priority]]="Medium",120,168)))</f>
        <v>48</v>
      </c>
      <c r="P1866" t="str">
        <f>IF(Tickets[[#This Row],[Resolution Duration Hours]] &lt;= Tickets[[#This Row],[SLA_Target_Hours]], "Yes", "No")</f>
        <v>No</v>
      </c>
    </row>
    <row r="1867" spans="1:16" hidden="1">
      <c r="A1867">
        <v>1866</v>
      </c>
      <c r="B1867" t="s">
        <v>1856</v>
      </c>
      <c r="C1867" t="s">
        <v>3845</v>
      </c>
      <c r="D1867" t="s">
        <v>3979</v>
      </c>
      <c r="E1867" s="1">
        <v>44427</v>
      </c>
      <c r="F1867" t="s">
        <v>4000</v>
      </c>
      <c r="G1867" t="s">
        <v>4008</v>
      </c>
      <c r="H1867" t="s">
        <v>4018</v>
      </c>
      <c r="I1867" t="s">
        <v>4024</v>
      </c>
      <c r="J1867" t="s">
        <v>4028</v>
      </c>
      <c r="K1867" s="2">
        <v>44681</v>
      </c>
      <c r="L1867" s="2">
        <v>44685</v>
      </c>
      <c r="M1867">
        <v>5</v>
      </c>
      <c r="N1867">
        <v>96</v>
      </c>
      <c r="O1867">
        <f>IF(Tickets[[#This Row],[Ticket Priority]]="Critical",24,
IF(Tickets[[#This Row],[Ticket Priority]]="High",48,
IF(Tickets[[#This Row],[Ticket Priority]]="Medium",120,168)))</f>
        <v>168</v>
      </c>
      <c r="P1867" t="str">
        <f>IF(Tickets[[#This Row],[Resolution Duration Hours]] &lt;= Tickets[[#This Row],[SLA_Target_Hours]], "Yes", "No")</f>
        <v>Yes</v>
      </c>
    </row>
    <row r="1868" spans="1:16" hidden="1">
      <c r="A1868">
        <v>1867</v>
      </c>
      <c r="B1868" t="s">
        <v>1857</v>
      </c>
      <c r="C1868" t="s">
        <v>3846</v>
      </c>
      <c r="D1868" t="s">
        <v>3985</v>
      </c>
      <c r="E1868" s="1">
        <v>44131</v>
      </c>
      <c r="F1868" t="s">
        <v>4002</v>
      </c>
      <c r="G1868" t="s">
        <v>4011</v>
      </c>
      <c r="H1868" t="s">
        <v>4018</v>
      </c>
      <c r="I1868" t="s">
        <v>4023</v>
      </c>
      <c r="J1868" t="s">
        <v>4026</v>
      </c>
      <c r="K1868" s="2">
        <v>44244</v>
      </c>
      <c r="L1868" s="2">
        <v>44249</v>
      </c>
      <c r="M1868">
        <v>5</v>
      </c>
      <c r="N1868">
        <v>120</v>
      </c>
      <c r="O1868">
        <f>IF(Tickets[[#This Row],[Ticket Priority]]="Critical",24,
IF(Tickets[[#This Row],[Ticket Priority]]="High",48,
IF(Tickets[[#This Row],[Ticket Priority]]="Medium",120,168)))</f>
        <v>120</v>
      </c>
      <c r="P1868" t="str">
        <f>IF(Tickets[[#This Row],[Resolution Duration Hours]] &lt;= Tickets[[#This Row],[SLA_Target_Hours]], "Yes", "No")</f>
        <v>Yes</v>
      </c>
    </row>
    <row r="1869" spans="1:16" hidden="1">
      <c r="A1869">
        <v>1868</v>
      </c>
      <c r="B1869" t="s">
        <v>1858</v>
      </c>
      <c r="C1869" t="s">
        <v>3847</v>
      </c>
      <c r="D1869" t="s">
        <v>3990</v>
      </c>
      <c r="E1869" s="1">
        <v>44084</v>
      </c>
      <c r="F1869" t="s">
        <v>3998</v>
      </c>
      <c r="G1869" t="s">
        <v>4003</v>
      </c>
      <c r="H1869" t="s">
        <v>4020</v>
      </c>
      <c r="I1869" t="s">
        <v>4022</v>
      </c>
      <c r="J1869" t="s">
        <v>4025</v>
      </c>
      <c r="K1869" s="2">
        <v>44115</v>
      </c>
      <c r="L1869" s="2">
        <v>44115</v>
      </c>
      <c r="N1869">
        <v>0</v>
      </c>
      <c r="O1869">
        <f>IF(Tickets[[#This Row],[Ticket Priority]]="Critical",24,
IF(Tickets[[#This Row],[Ticket Priority]]="High",48,
IF(Tickets[[#This Row],[Ticket Priority]]="Medium",120,168)))</f>
        <v>24</v>
      </c>
      <c r="P1869" t="str">
        <f>IF(Tickets[[#This Row],[Resolution Duration Hours]] &lt;= Tickets[[#This Row],[SLA_Target_Hours]], "Yes", "No")</f>
        <v>Yes</v>
      </c>
    </row>
    <row r="1870" spans="1:16" hidden="1">
      <c r="A1870">
        <v>1869</v>
      </c>
      <c r="B1870" t="s">
        <v>1859</v>
      </c>
      <c r="C1870" t="s">
        <v>3848</v>
      </c>
      <c r="D1870" t="s">
        <v>3987</v>
      </c>
      <c r="E1870" s="1">
        <v>44875</v>
      </c>
      <c r="F1870" t="s">
        <v>4000</v>
      </c>
      <c r="G1870" t="s">
        <v>4016</v>
      </c>
      <c r="H1870" t="s">
        <v>4017</v>
      </c>
      <c r="I1870" t="s">
        <v>4023</v>
      </c>
      <c r="J1870" t="s">
        <v>4027</v>
      </c>
      <c r="K1870" s="2">
        <v>45063</v>
      </c>
      <c r="L1870" s="2">
        <v>45068</v>
      </c>
      <c r="N1870">
        <v>120</v>
      </c>
      <c r="O1870">
        <f>IF(Tickets[[#This Row],[Ticket Priority]]="Critical",24,
IF(Tickets[[#This Row],[Ticket Priority]]="High",48,
IF(Tickets[[#This Row],[Ticket Priority]]="Medium",120,168)))</f>
        <v>120</v>
      </c>
      <c r="P1870" t="str">
        <f>IF(Tickets[[#This Row],[Resolution Duration Hours]] &lt;= Tickets[[#This Row],[SLA_Target_Hours]], "Yes", "No")</f>
        <v>Yes</v>
      </c>
    </row>
    <row r="1871" spans="1:16" hidden="1">
      <c r="A1871">
        <v>1870</v>
      </c>
      <c r="B1871" t="s">
        <v>1860</v>
      </c>
      <c r="C1871" t="s">
        <v>3849</v>
      </c>
      <c r="D1871" t="s">
        <v>3982</v>
      </c>
      <c r="E1871" s="1">
        <v>44682</v>
      </c>
      <c r="F1871" t="s">
        <v>3998</v>
      </c>
      <c r="G1871" t="s">
        <v>4012</v>
      </c>
      <c r="H1871" t="s">
        <v>4018</v>
      </c>
      <c r="I1871" t="s">
        <v>4021</v>
      </c>
      <c r="J1871" t="s">
        <v>4026</v>
      </c>
      <c r="K1871" s="2">
        <v>44747</v>
      </c>
      <c r="L1871" s="2">
        <v>44749</v>
      </c>
      <c r="M1871">
        <v>5</v>
      </c>
      <c r="N1871">
        <v>48</v>
      </c>
      <c r="O1871">
        <f>IF(Tickets[[#This Row],[Ticket Priority]]="Critical",24,
IF(Tickets[[#This Row],[Ticket Priority]]="High",48,
IF(Tickets[[#This Row],[Ticket Priority]]="Medium",120,168)))</f>
        <v>48</v>
      </c>
      <c r="P1871" t="str">
        <f>IF(Tickets[[#This Row],[Resolution Duration Hours]] &lt;= Tickets[[#This Row],[SLA_Target_Hours]], "Yes", "No")</f>
        <v>Yes</v>
      </c>
    </row>
    <row r="1872" spans="1:16" hidden="1">
      <c r="A1872">
        <v>1871</v>
      </c>
      <c r="B1872" t="s">
        <v>1861</v>
      </c>
      <c r="C1872" t="s">
        <v>3850</v>
      </c>
      <c r="D1872" t="s">
        <v>3980</v>
      </c>
      <c r="E1872" s="1">
        <v>44264</v>
      </c>
      <c r="F1872" t="s">
        <v>4000</v>
      </c>
      <c r="G1872" t="s">
        <v>4014</v>
      </c>
      <c r="H1872" t="s">
        <v>4020</v>
      </c>
      <c r="I1872" t="s">
        <v>4024</v>
      </c>
      <c r="J1872" t="s">
        <v>4028</v>
      </c>
      <c r="K1872" s="2">
        <v>44618</v>
      </c>
      <c r="L1872" s="2">
        <v>44622</v>
      </c>
      <c r="N1872">
        <v>96</v>
      </c>
      <c r="O1872">
        <f>IF(Tickets[[#This Row],[Ticket Priority]]="Critical",24,
IF(Tickets[[#This Row],[Ticket Priority]]="High",48,
IF(Tickets[[#This Row],[Ticket Priority]]="Medium",120,168)))</f>
        <v>168</v>
      </c>
      <c r="P1872" t="str">
        <f>IF(Tickets[[#This Row],[Resolution Duration Hours]] &lt;= Tickets[[#This Row],[SLA_Target_Hours]], "Yes", "No")</f>
        <v>Yes</v>
      </c>
    </row>
    <row r="1873" spans="1:16" hidden="1">
      <c r="A1873">
        <v>1872</v>
      </c>
      <c r="B1873" t="s">
        <v>1862</v>
      </c>
      <c r="C1873" t="s">
        <v>3851</v>
      </c>
      <c r="D1873" t="s">
        <v>3994</v>
      </c>
      <c r="E1873" s="1">
        <v>44297</v>
      </c>
      <c r="F1873" t="s">
        <v>4001</v>
      </c>
      <c r="G1873" t="s">
        <v>4009</v>
      </c>
      <c r="H1873" t="s">
        <v>4018</v>
      </c>
      <c r="I1873" t="s">
        <v>4023</v>
      </c>
      <c r="J1873" t="s">
        <v>4026</v>
      </c>
      <c r="K1873" s="2">
        <v>44398</v>
      </c>
      <c r="L1873" s="2">
        <v>44403</v>
      </c>
      <c r="M1873">
        <v>4</v>
      </c>
      <c r="N1873">
        <v>120</v>
      </c>
      <c r="O1873">
        <f>IF(Tickets[[#This Row],[Ticket Priority]]="Critical",24,
IF(Tickets[[#This Row],[Ticket Priority]]="High",48,
IF(Tickets[[#This Row],[Ticket Priority]]="Medium",120,168)))</f>
        <v>120</v>
      </c>
      <c r="P1873" t="str">
        <f>IF(Tickets[[#This Row],[Resolution Duration Hours]] &lt;= Tickets[[#This Row],[SLA_Target_Hours]], "Yes", "No")</f>
        <v>Yes</v>
      </c>
    </row>
    <row r="1874" spans="1:16" hidden="1">
      <c r="A1874">
        <v>1873</v>
      </c>
      <c r="B1874" t="s">
        <v>1863</v>
      </c>
      <c r="C1874" t="s">
        <v>3852</v>
      </c>
      <c r="D1874" t="s">
        <v>3980</v>
      </c>
      <c r="E1874" s="1">
        <v>45048</v>
      </c>
      <c r="F1874" t="s">
        <v>4002</v>
      </c>
      <c r="G1874" t="s">
        <v>4006</v>
      </c>
      <c r="H1874" t="s">
        <v>4019</v>
      </c>
      <c r="I1874" t="s">
        <v>4024</v>
      </c>
      <c r="J1874" t="s">
        <v>4026</v>
      </c>
      <c r="K1874" s="2">
        <v>45371</v>
      </c>
      <c r="L1874" s="2">
        <v>45377</v>
      </c>
      <c r="M1874">
        <v>4</v>
      </c>
      <c r="N1874">
        <v>144</v>
      </c>
      <c r="O1874">
        <f>IF(Tickets[[#This Row],[Ticket Priority]]="Critical",24,
IF(Tickets[[#This Row],[Ticket Priority]]="High",48,
IF(Tickets[[#This Row],[Ticket Priority]]="Medium",120,168)))</f>
        <v>168</v>
      </c>
      <c r="P1874" t="str">
        <f>IF(Tickets[[#This Row],[Resolution Duration Hours]] &lt;= Tickets[[#This Row],[SLA_Target_Hours]], "Yes", "No")</f>
        <v>Yes</v>
      </c>
    </row>
    <row r="1875" spans="1:16" hidden="1">
      <c r="A1875">
        <v>1874</v>
      </c>
      <c r="B1875" t="s">
        <v>1864</v>
      </c>
      <c r="C1875" t="s">
        <v>3853</v>
      </c>
      <c r="D1875" t="s">
        <v>3982</v>
      </c>
      <c r="E1875" s="1">
        <v>44394</v>
      </c>
      <c r="F1875" t="s">
        <v>3998</v>
      </c>
      <c r="G1875" t="s">
        <v>4014</v>
      </c>
      <c r="H1875" t="s">
        <v>4018</v>
      </c>
      <c r="I1875" t="s">
        <v>4024</v>
      </c>
      <c r="J1875" t="s">
        <v>4028</v>
      </c>
      <c r="K1875" s="2">
        <v>44471</v>
      </c>
      <c r="L1875" s="2">
        <v>44478</v>
      </c>
      <c r="M1875">
        <v>4</v>
      </c>
      <c r="N1875">
        <v>168</v>
      </c>
      <c r="O1875">
        <f>IF(Tickets[[#This Row],[Ticket Priority]]="Critical",24,
IF(Tickets[[#This Row],[Ticket Priority]]="High",48,
IF(Tickets[[#This Row],[Ticket Priority]]="Medium",120,168)))</f>
        <v>168</v>
      </c>
      <c r="P1875" t="str">
        <f>IF(Tickets[[#This Row],[Resolution Duration Hours]] &lt;= Tickets[[#This Row],[SLA_Target_Hours]], "Yes", "No")</f>
        <v>Yes</v>
      </c>
    </row>
    <row r="1876" spans="1:16" hidden="1">
      <c r="A1876">
        <v>1875</v>
      </c>
      <c r="B1876" t="s">
        <v>1865</v>
      </c>
      <c r="C1876" t="s">
        <v>3854</v>
      </c>
      <c r="D1876" t="s">
        <v>3981</v>
      </c>
      <c r="E1876" s="1">
        <v>44860</v>
      </c>
      <c r="F1876" t="s">
        <v>4000</v>
      </c>
      <c r="G1876" t="s">
        <v>4000</v>
      </c>
      <c r="H1876" t="s">
        <v>4018</v>
      </c>
      <c r="I1876" t="s">
        <v>4024</v>
      </c>
      <c r="J1876" t="s">
        <v>4026</v>
      </c>
      <c r="K1876" s="2">
        <v>45102</v>
      </c>
      <c r="L1876" s="2">
        <v>45109</v>
      </c>
      <c r="M1876">
        <v>5</v>
      </c>
      <c r="N1876">
        <v>168</v>
      </c>
      <c r="O1876">
        <f>IF(Tickets[[#This Row],[Ticket Priority]]="Critical",24,
IF(Tickets[[#This Row],[Ticket Priority]]="High",48,
IF(Tickets[[#This Row],[Ticket Priority]]="Medium",120,168)))</f>
        <v>168</v>
      </c>
      <c r="P1876" t="str">
        <f>IF(Tickets[[#This Row],[Resolution Duration Hours]] &lt;= Tickets[[#This Row],[SLA_Target_Hours]], "Yes", "No")</f>
        <v>Yes</v>
      </c>
    </row>
    <row r="1877" spans="1:16" hidden="1">
      <c r="A1877">
        <v>1876</v>
      </c>
      <c r="B1877" t="s">
        <v>1866</v>
      </c>
      <c r="C1877" t="s">
        <v>3855</v>
      </c>
      <c r="D1877" t="s">
        <v>3981</v>
      </c>
      <c r="E1877" s="1">
        <v>44474</v>
      </c>
      <c r="F1877" t="s">
        <v>3998</v>
      </c>
      <c r="G1877" t="s">
        <v>4011</v>
      </c>
      <c r="H1877" t="s">
        <v>4017</v>
      </c>
      <c r="I1877" t="s">
        <v>4021</v>
      </c>
      <c r="J1877" t="s">
        <v>4026</v>
      </c>
      <c r="K1877" s="2">
        <v>44491</v>
      </c>
      <c r="L1877" s="2">
        <v>44493</v>
      </c>
      <c r="N1877">
        <v>48</v>
      </c>
      <c r="O1877">
        <f>IF(Tickets[[#This Row],[Ticket Priority]]="Critical",24,
IF(Tickets[[#This Row],[Ticket Priority]]="High",48,
IF(Tickets[[#This Row],[Ticket Priority]]="Medium",120,168)))</f>
        <v>48</v>
      </c>
      <c r="P1877" t="str">
        <f>IF(Tickets[[#This Row],[Resolution Duration Hours]] &lt;= Tickets[[#This Row],[SLA_Target_Hours]], "Yes", "No")</f>
        <v>Yes</v>
      </c>
    </row>
    <row r="1878" spans="1:16">
      <c r="A1878">
        <v>1012</v>
      </c>
      <c r="B1878" t="s">
        <v>1019</v>
      </c>
      <c r="C1878" t="s">
        <v>2994</v>
      </c>
      <c r="D1878" t="s">
        <v>3988</v>
      </c>
      <c r="E1878" s="1">
        <v>44997</v>
      </c>
      <c r="F1878" t="s">
        <v>3999</v>
      </c>
      <c r="G1878" t="s">
        <v>4005</v>
      </c>
      <c r="H1878" t="s">
        <v>4018</v>
      </c>
      <c r="I1878" t="s">
        <v>4022</v>
      </c>
      <c r="J1878" t="s">
        <v>4028</v>
      </c>
      <c r="K1878" s="2">
        <v>45036</v>
      </c>
      <c r="L1878" s="2">
        <v>45039</v>
      </c>
      <c r="M1878">
        <v>5</v>
      </c>
      <c r="N1878">
        <v>72</v>
      </c>
      <c r="O1878">
        <f>IF(Tickets[[#This Row],[Ticket Priority]]="Critical",24,
IF(Tickets[[#This Row],[Ticket Priority]]="High",48,
IF(Tickets[[#This Row],[Ticket Priority]]="Medium",120,168)))</f>
        <v>24</v>
      </c>
      <c r="P1878" t="str">
        <f>IF(Tickets[[#This Row],[Resolution Duration Hours]] &lt;= Tickets[[#This Row],[SLA_Target_Hours]], "Yes", "No")</f>
        <v>No</v>
      </c>
    </row>
    <row r="1879" spans="1:16" hidden="1">
      <c r="A1879">
        <v>1878</v>
      </c>
      <c r="B1879" t="s">
        <v>1868</v>
      </c>
      <c r="C1879" t="s">
        <v>3857</v>
      </c>
      <c r="D1879" t="s">
        <v>3996</v>
      </c>
      <c r="E1879" s="1">
        <v>44759</v>
      </c>
      <c r="F1879" t="s">
        <v>3998</v>
      </c>
      <c r="G1879" t="s">
        <v>4013</v>
      </c>
      <c r="H1879" t="s">
        <v>4020</v>
      </c>
      <c r="I1879" t="s">
        <v>4024</v>
      </c>
      <c r="J1879" t="s">
        <v>4028</v>
      </c>
      <c r="K1879" s="2">
        <v>44810</v>
      </c>
      <c r="L1879" s="2">
        <v>44815</v>
      </c>
      <c r="N1879">
        <v>120</v>
      </c>
      <c r="O1879">
        <f>IF(Tickets[[#This Row],[Ticket Priority]]="Critical",24,
IF(Tickets[[#This Row],[Ticket Priority]]="High",48,
IF(Tickets[[#This Row],[Ticket Priority]]="Medium",120,168)))</f>
        <v>168</v>
      </c>
      <c r="P1879" t="str">
        <f>IF(Tickets[[#This Row],[Resolution Duration Hours]] &lt;= Tickets[[#This Row],[SLA_Target_Hours]], "Yes", "No")</f>
        <v>Yes</v>
      </c>
    </row>
    <row r="1880" spans="1:16" hidden="1">
      <c r="A1880">
        <v>1879</v>
      </c>
      <c r="B1880" t="s">
        <v>705</v>
      </c>
      <c r="C1880" t="s">
        <v>3858</v>
      </c>
      <c r="D1880" t="s">
        <v>3982</v>
      </c>
      <c r="E1880" s="1">
        <v>44670</v>
      </c>
      <c r="F1880" t="s">
        <v>3999</v>
      </c>
      <c r="G1880" t="s">
        <v>4004</v>
      </c>
      <c r="H1880" t="s">
        <v>4018</v>
      </c>
      <c r="I1880" t="s">
        <v>4024</v>
      </c>
      <c r="J1880" t="s">
        <v>4025</v>
      </c>
      <c r="K1880" s="2">
        <v>45031</v>
      </c>
      <c r="L1880" s="2">
        <v>45035</v>
      </c>
      <c r="N1880">
        <v>96</v>
      </c>
      <c r="O1880">
        <f>IF(Tickets[[#This Row],[Ticket Priority]]="Critical",24,
IF(Tickets[[#This Row],[Ticket Priority]]="High",48,
IF(Tickets[[#This Row],[Ticket Priority]]="Medium",120,168)))</f>
        <v>168</v>
      </c>
      <c r="P1880" t="str">
        <f>IF(Tickets[[#This Row],[Resolution Duration Hours]] &lt;= Tickets[[#This Row],[SLA_Target_Hours]], "Yes", "No")</f>
        <v>Yes</v>
      </c>
    </row>
    <row r="1881" spans="1:16" hidden="1">
      <c r="A1881">
        <v>1880</v>
      </c>
      <c r="B1881" t="s">
        <v>1869</v>
      </c>
      <c r="C1881" t="s">
        <v>3859</v>
      </c>
      <c r="D1881" t="s">
        <v>3996</v>
      </c>
      <c r="E1881" s="1">
        <v>43881</v>
      </c>
      <c r="F1881" t="s">
        <v>4002</v>
      </c>
      <c r="G1881" t="s">
        <v>4015</v>
      </c>
      <c r="H1881" t="s">
        <v>4017</v>
      </c>
      <c r="I1881" t="s">
        <v>4023</v>
      </c>
      <c r="J1881" t="s">
        <v>4027</v>
      </c>
      <c r="K1881" s="2">
        <v>44125</v>
      </c>
      <c r="L1881" s="2">
        <v>44130</v>
      </c>
      <c r="N1881">
        <v>120</v>
      </c>
      <c r="O1881">
        <f>IF(Tickets[[#This Row],[Ticket Priority]]="Critical",24,
IF(Tickets[[#This Row],[Ticket Priority]]="High",48,
IF(Tickets[[#This Row],[Ticket Priority]]="Medium",120,168)))</f>
        <v>120</v>
      </c>
      <c r="P1881" t="str">
        <f>IF(Tickets[[#This Row],[Resolution Duration Hours]] &lt;= Tickets[[#This Row],[SLA_Target_Hours]], "Yes", "No")</f>
        <v>Yes</v>
      </c>
    </row>
    <row r="1882" spans="1:16">
      <c r="A1882">
        <v>1015</v>
      </c>
      <c r="B1882" t="s">
        <v>1022</v>
      </c>
      <c r="C1882" t="s">
        <v>2997</v>
      </c>
      <c r="D1882" t="s">
        <v>3979</v>
      </c>
      <c r="E1882" s="1">
        <v>43962</v>
      </c>
      <c r="F1882" t="s">
        <v>3999</v>
      </c>
      <c r="G1882" t="s">
        <v>4010</v>
      </c>
      <c r="H1882" t="s">
        <v>4017</v>
      </c>
      <c r="I1882" t="s">
        <v>4021</v>
      </c>
      <c r="J1882" t="s">
        <v>4028</v>
      </c>
      <c r="K1882" s="2">
        <v>44037</v>
      </c>
      <c r="L1882" s="2">
        <v>44040</v>
      </c>
      <c r="N1882">
        <v>72</v>
      </c>
      <c r="O1882">
        <f>IF(Tickets[[#This Row],[Ticket Priority]]="Critical",24,
IF(Tickets[[#This Row],[Ticket Priority]]="High",48,
IF(Tickets[[#This Row],[Ticket Priority]]="Medium",120,168)))</f>
        <v>48</v>
      </c>
      <c r="P1882" t="str">
        <f>IF(Tickets[[#This Row],[Resolution Duration Hours]] &lt;= Tickets[[#This Row],[SLA_Target_Hours]], "Yes", "No")</f>
        <v>No</v>
      </c>
    </row>
    <row r="1883" spans="1:16">
      <c r="A1883">
        <v>1057</v>
      </c>
      <c r="B1883" t="s">
        <v>1063</v>
      </c>
      <c r="C1883" t="s">
        <v>3038</v>
      </c>
      <c r="D1883" t="s">
        <v>3986</v>
      </c>
      <c r="E1883" s="1">
        <v>44144</v>
      </c>
      <c r="F1883" t="s">
        <v>4001</v>
      </c>
      <c r="G1883" t="s">
        <v>4005</v>
      </c>
      <c r="H1883" t="s">
        <v>4018</v>
      </c>
      <c r="I1883" t="s">
        <v>4021</v>
      </c>
      <c r="J1883" t="s">
        <v>4028</v>
      </c>
      <c r="K1883" s="2">
        <v>44259</v>
      </c>
      <c r="L1883" s="2">
        <v>44262</v>
      </c>
      <c r="M1883">
        <v>3</v>
      </c>
      <c r="N1883">
        <v>72</v>
      </c>
      <c r="O1883">
        <f>IF(Tickets[[#This Row],[Ticket Priority]]="Critical",24,
IF(Tickets[[#This Row],[Ticket Priority]]="High",48,
IF(Tickets[[#This Row],[Ticket Priority]]="Medium",120,168)))</f>
        <v>48</v>
      </c>
      <c r="P1883" t="str">
        <f>IF(Tickets[[#This Row],[Resolution Duration Hours]] &lt;= Tickets[[#This Row],[SLA_Target_Hours]], "Yes", "No")</f>
        <v>No</v>
      </c>
    </row>
    <row r="1884" spans="1:16" hidden="1">
      <c r="A1884">
        <v>1883</v>
      </c>
      <c r="B1884" t="s">
        <v>1872</v>
      </c>
      <c r="C1884" t="s">
        <v>3862</v>
      </c>
      <c r="D1884" t="s">
        <v>3996</v>
      </c>
      <c r="E1884" s="1">
        <v>43942</v>
      </c>
      <c r="F1884" t="s">
        <v>4000</v>
      </c>
      <c r="G1884" t="s">
        <v>4005</v>
      </c>
      <c r="H1884" t="s">
        <v>4018</v>
      </c>
      <c r="I1884" t="s">
        <v>4024</v>
      </c>
      <c r="J1884" t="s">
        <v>4028</v>
      </c>
      <c r="K1884" s="2">
        <v>43971</v>
      </c>
      <c r="L1884" s="2">
        <v>43976</v>
      </c>
      <c r="M1884">
        <v>4</v>
      </c>
      <c r="N1884">
        <v>120</v>
      </c>
      <c r="O1884">
        <f>IF(Tickets[[#This Row],[Ticket Priority]]="Critical",24,
IF(Tickets[[#This Row],[Ticket Priority]]="High",48,
IF(Tickets[[#This Row],[Ticket Priority]]="Medium",120,168)))</f>
        <v>168</v>
      </c>
      <c r="P1884" t="str">
        <f>IF(Tickets[[#This Row],[Resolution Duration Hours]] &lt;= Tickets[[#This Row],[SLA_Target_Hours]], "Yes", "No")</f>
        <v>Yes</v>
      </c>
    </row>
    <row r="1885" spans="1:16" hidden="1">
      <c r="A1885">
        <v>1884</v>
      </c>
      <c r="B1885" t="s">
        <v>1873</v>
      </c>
      <c r="C1885" t="s">
        <v>3863</v>
      </c>
      <c r="D1885" t="s">
        <v>3992</v>
      </c>
      <c r="E1885" s="1">
        <v>44773</v>
      </c>
      <c r="F1885" t="s">
        <v>4001</v>
      </c>
      <c r="G1885" t="s">
        <v>4016</v>
      </c>
      <c r="H1885" t="s">
        <v>4018</v>
      </c>
      <c r="I1885" t="s">
        <v>4023</v>
      </c>
      <c r="J1885" t="s">
        <v>4028</v>
      </c>
      <c r="K1885" s="2">
        <v>44898</v>
      </c>
      <c r="L1885" s="2">
        <v>44899</v>
      </c>
      <c r="M1885">
        <v>4</v>
      </c>
      <c r="N1885">
        <v>24</v>
      </c>
      <c r="O1885">
        <f>IF(Tickets[[#This Row],[Ticket Priority]]="Critical",24,
IF(Tickets[[#This Row],[Ticket Priority]]="High",48,
IF(Tickets[[#This Row],[Ticket Priority]]="Medium",120,168)))</f>
        <v>120</v>
      </c>
      <c r="P1885" t="str">
        <f>IF(Tickets[[#This Row],[Resolution Duration Hours]] &lt;= Tickets[[#This Row],[SLA_Target_Hours]], "Yes", "No")</f>
        <v>Yes</v>
      </c>
    </row>
    <row r="1886" spans="1:16">
      <c r="A1886">
        <v>1070</v>
      </c>
      <c r="B1886" t="s">
        <v>1075</v>
      </c>
      <c r="C1886" t="s">
        <v>3051</v>
      </c>
      <c r="D1886" t="s">
        <v>3987</v>
      </c>
      <c r="E1886" s="1">
        <v>44591</v>
      </c>
      <c r="F1886" t="s">
        <v>4002</v>
      </c>
      <c r="G1886" t="s">
        <v>4012</v>
      </c>
      <c r="H1886" t="s">
        <v>4017</v>
      </c>
      <c r="I1886" t="s">
        <v>4021</v>
      </c>
      <c r="J1886" t="s">
        <v>4026</v>
      </c>
      <c r="K1886" s="2">
        <v>44718</v>
      </c>
      <c r="L1886" s="2">
        <v>44721</v>
      </c>
      <c r="N1886">
        <v>72</v>
      </c>
      <c r="O1886">
        <f>IF(Tickets[[#This Row],[Ticket Priority]]="Critical",24,
IF(Tickets[[#This Row],[Ticket Priority]]="High",48,
IF(Tickets[[#This Row],[Ticket Priority]]="Medium",120,168)))</f>
        <v>48</v>
      </c>
      <c r="P1886" t="str">
        <f>IF(Tickets[[#This Row],[Resolution Duration Hours]] &lt;= Tickets[[#This Row],[SLA_Target_Hours]], "Yes", "No")</f>
        <v>No</v>
      </c>
    </row>
    <row r="1887" spans="1:16">
      <c r="A1887">
        <v>1105</v>
      </c>
      <c r="B1887" t="s">
        <v>1110</v>
      </c>
      <c r="C1887" t="s">
        <v>3086</v>
      </c>
      <c r="D1887" t="s">
        <v>3993</v>
      </c>
      <c r="E1887" s="1">
        <v>44588</v>
      </c>
      <c r="F1887" t="s">
        <v>4001</v>
      </c>
      <c r="G1887" t="s">
        <v>4006</v>
      </c>
      <c r="H1887" t="s">
        <v>4018</v>
      </c>
      <c r="I1887" t="s">
        <v>4021</v>
      </c>
      <c r="J1887" t="s">
        <v>4028</v>
      </c>
      <c r="K1887" s="2">
        <v>44929</v>
      </c>
      <c r="L1887" s="2">
        <v>44932</v>
      </c>
      <c r="M1887">
        <v>4</v>
      </c>
      <c r="N1887">
        <v>72</v>
      </c>
      <c r="O1887">
        <f>IF(Tickets[[#This Row],[Ticket Priority]]="Critical",24,
IF(Tickets[[#This Row],[Ticket Priority]]="High",48,
IF(Tickets[[#This Row],[Ticket Priority]]="Medium",120,168)))</f>
        <v>48</v>
      </c>
      <c r="P1887" t="str">
        <f>IF(Tickets[[#This Row],[Resolution Duration Hours]] &lt;= Tickets[[#This Row],[SLA_Target_Hours]], "Yes", "No")</f>
        <v>No</v>
      </c>
    </row>
    <row r="1888" spans="1:16" hidden="1">
      <c r="A1888">
        <v>1887</v>
      </c>
      <c r="B1888" t="s">
        <v>1876</v>
      </c>
      <c r="C1888" t="s">
        <v>3866</v>
      </c>
      <c r="D1888" t="s">
        <v>3988</v>
      </c>
      <c r="E1888" s="1">
        <v>44060</v>
      </c>
      <c r="F1888" t="s">
        <v>4001</v>
      </c>
      <c r="G1888" t="s">
        <v>4007</v>
      </c>
      <c r="H1888" t="s">
        <v>4018</v>
      </c>
      <c r="I1888" t="s">
        <v>4024</v>
      </c>
      <c r="J1888" t="s">
        <v>4025</v>
      </c>
      <c r="K1888" s="2">
        <v>44220</v>
      </c>
      <c r="L1888" s="2">
        <v>44227</v>
      </c>
      <c r="M1888">
        <v>3</v>
      </c>
      <c r="N1888">
        <v>168</v>
      </c>
      <c r="O1888">
        <f>IF(Tickets[[#This Row],[Ticket Priority]]="Critical",24,
IF(Tickets[[#This Row],[Ticket Priority]]="High",48,
IF(Tickets[[#This Row],[Ticket Priority]]="Medium",120,168)))</f>
        <v>168</v>
      </c>
      <c r="P1888" t="str">
        <f>IF(Tickets[[#This Row],[Resolution Duration Hours]] &lt;= Tickets[[#This Row],[SLA_Target_Hours]], "Yes", "No")</f>
        <v>Yes</v>
      </c>
    </row>
    <row r="1889" spans="1:16" hidden="1">
      <c r="A1889">
        <v>1888</v>
      </c>
      <c r="B1889" t="s">
        <v>1877</v>
      </c>
      <c r="C1889" t="s">
        <v>3867</v>
      </c>
      <c r="D1889" t="s">
        <v>3990</v>
      </c>
      <c r="E1889" s="1">
        <v>44730</v>
      </c>
      <c r="F1889" t="s">
        <v>4001</v>
      </c>
      <c r="G1889" t="s">
        <v>4009</v>
      </c>
      <c r="H1889" t="s">
        <v>4018</v>
      </c>
      <c r="I1889" t="s">
        <v>4024</v>
      </c>
      <c r="J1889" t="s">
        <v>4028</v>
      </c>
      <c r="K1889" s="2">
        <v>44766</v>
      </c>
      <c r="L1889" s="2">
        <v>44773</v>
      </c>
      <c r="M1889">
        <v>2</v>
      </c>
      <c r="N1889">
        <v>168</v>
      </c>
      <c r="O1889">
        <f>IF(Tickets[[#This Row],[Ticket Priority]]="Critical",24,
IF(Tickets[[#This Row],[Ticket Priority]]="High",48,
IF(Tickets[[#This Row],[Ticket Priority]]="Medium",120,168)))</f>
        <v>168</v>
      </c>
      <c r="P1889" t="str">
        <f>IF(Tickets[[#This Row],[Resolution Duration Hours]] &lt;= Tickets[[#This Row],[SLA_Target_Hours]], "Yes", "No")</f>
        <v>Yes</v>
      </c>
    </row>
    <row r="1890" spans="1:16" hidden="1">
      <c r="A1890">
        <v>1889</v>
      </c>
      <c r="B1890" t="s">
        <v>1878</v>
      </c>
      <c r="C1890" t="s">
        <v>3868</v>
      </c>
      <c r="D1890" t="s">
        <v>3980</v>
      </c>
      <c r="E1890" s="1">
        <v>43883</v>
      </c>
      <c r="F1890" t="s">
        <v>4002</v>
      </c>
      <c r="G1890" t="s">
        <v>4010</v>
      </c>
      <c r="H1890" t="s">
        <v>4018</v>
      </c>
      <c r="I1890" t="s">
        <v>4023</v>
      </c>
      <c r="J1890" t="s">
        <v>4025</v>
      </c>
      <c r="K1890" s="2">
        <v>43991</v>
      </c>
      <c r="L1890" s="2">
        <v>43994</v>
      </c>
      <c r="M1890">
        <v>3</v>
      </c>
      <c r="N1890">
        <v>72</v>
      </c>
      <c r="O1890">
        <f>IF(Tickets[[#This Row],[Ticket Priority]]="Critical",24,
IF(Tickets[[#This Row],[Ticket Priority]]="High",48,
IF(Tickets[[#This Row],[Ticket Priority]]="Medium",120,168)))</f>
        <v>120</v>
      </c>
      <c r="P1890" t="str">
        <f>IF(Tickets[[#This Row],[Resolution Duration Hours]] &lt;= Tickets[[#This Row],[SLA_Target_Hours]], "Yes", "No")</f>
        <v>Yes</v>
      </c>
    </row>
    <row r="1891" spans="1:16" hidden="1">
      <c r="A1891">
        <v>1890</v>
      </c>
      <c r="B1891" t="s">
        <v>1879</v>
      </c>
      <c r="C1891" t="s">
        <v>3869</v>
      </c>
      <c r="D1891" t="s">
        <v>3995</v>
      </c>
      <c r="E1891" s="1">
        <v>44436</v>
      </c>
      <c r="F1891" t="s">
        <v>4002</v>
      </c>
      <c r="G1891" t="s">
        <v>4012</v>
      </c>
      <c r="H1891" t="s">
        <v>4018</v>
      </c>
      <c r="I1891" t="s">
        <v>4021</v>
      </c>
      <c r="J1891" t="s">
        <v>4028</v>
      </c>
      <c r="K1891" s="2">
        <v>44517</v>
      </c>
      <c r="L1891" s="2">
        <v>44519</v>
      </c>
      <c r="M1891">
        <v>5</v>
      </c>
      <c r="N1891">
        <v>48</v>
      </c>
      <c r="O1891">
        <f>IF(Tickets[[#This Row],[Ticket Priority]]="Critical",24,
IF(Tickets[[#This Row],[Ticket Priority]]="High",48,
IF(Tickets[[#This Row],[Ticket Priority]]="Medium",120,168)))</f>
        <v>48</v>
      </c>
      <c r="P1891" t="str">
        <f>IF(Tickets[[#This Row],[Resolution Duration Hours]] &lt;= Tickets[[#This Row],[SLA_Target_Hours]], "Yes", "No")</f>
        <v>Yes</v>
      </c>
    </row>
    <row r="1892" spans="1:16">
      <c r="A1892">
        <v>1184</v>
      </c>
      <c r="B1892" t="s">
        <v>1189</v>
      </c>
      <c r="C1892" t="s">
        <v>3164</v>
      </c>
      <c r="D1892" t="s">
        <v>3986</v>
      </c>
      <c r="E1892" s="1">
        <v>44001</v>
      </c>
      <c r="F1892" t="s">
        <v>4000</v>
      </c>
      <c r="G1892" t="s">
        <v>4003</v>
      </c>
      <c r="H1892" t="s">
        <v>4018</v>
      </c>
      <c r="I1892" t="s">
        <v>4021</v>
      </c>
      <c r="J1892" t="s">
        <v>4026</v>
      </c>
      <c r="K1892" s="2">
        <v>44217</v>
      </c>
      <c r="L1892" s="2">
        <v>44220</v>
      </c>
      <c r="M1892">
        <v>3</v>
      </c>
      <c r="N1892">
        <v>72</v>
      </c>
      <c r="O1892">
        <f>IF(Tickets[[#This Row],[Ticket Priority]]="Critical",24,
IF(Tickets[[#This Row],[Ticket Priority]]="High",48,
IF(Tickets[[#This Row],[Ticket Priority]]="Medium",120,168)))</f>
        <v>48</v>
      </c>
      <c r="P1892" t="str">
        <f>IF(Tickets[[#This Row],[Resolution Duration Hours]] &lt;= Tickets[[#This Row],[SLA_Target_Hours]], "Yes", "No")</f>
        <v>No</v>
      </c>
    </row>
    <row r="1893" spans="1:16" hidden="1">
      <c r="A1893">
        <v>1892</v>
      </c>
      <c r="B1893" t="s">
        <v>1881</v>
      </c>
      <c r="C1893" t="s">
        <v>3871</v>
      </c>
      <c r="D1893" t="s">
        <v>3997</v>
      </c>
      <c r="E1893" s="1">
        <v>45047</v>
      </c>
      <c r="F1893" t="s">
        <v>4002</v>
      </c>
      <c r="G1893" t="s">
        <v>4014</v>
      </c>
      <c r="H1893" t="s">
        <v>4018</v>
      </c>
      <c r="I1893" t="s">
        <v>4021</v>
      </c>
      <c r="J1893" t="s">
        <v>4028</v>
      </c>
      <c r="K1893" s="2">
        <v>45289</v>
      </c>
      <c r="L1893" s="2">
        <v>45290</v>
      </c>
      <c r="M1893">
        <v>5</v>
      </c>
      <c r="N1893">
        <v>24</v>
      </c>
      <c r="O1893">
        <f>IF(Tickets[[#This Row],[Ticket Priority]]="Critical",24,
IF(Tickets[[#This Row],[Ticket Priority]]="High",48,
IF(Tickets[[#This Row],[Ticket Priority]]="Medium",120,168)))</f>
        <v>48</v>
      </c>
      <c r="P1893" t="str">
        <f>IF(Tickets[[#This Row],[Resolution Duration Hours]] &lt;= Tickets[[#This Row],[SLA_Target_Hours]], "Yes", "No")</f>
        <v>Yes</v>
      </c>
    </row>
    <row r="1894" spans="1:16" hidden="1">
      <c r="A1894">
        <v>1893</v>
      </c>
      <c r="B1894" t="s">
        <v>1882</v>
      </c>
      <c r="C1894" t="s">
        <v>3872</v>
      </c>
      <c r="D1894" t="s">
        <v>3996</v>
      </c>
      <c r="E1894" s="1">
        <v>44769</v>
      </c>
      <c r="F1894" t="s">
        <v>3998</v>
      </c>
      <c r="G1894" t="s">
        <v>4000</v>
      </c>
      <c r="H1894" t="s">
        <v>4018</v>
      </c>
      <c r="I1894" t="s">
        <v>4023</v>
      </c>
      <c r="J1894" t="s">
        <v>4028</v>
      </c>
      <c r="K1894" s="2">
        <v>45114</v>
      </c>
      <c r="L1894" s="2">
        <v>45119</v>
      </c>
      <c r="M1894">
        <v>4</v>
      </c>
      <c r="N1894">
        <v>120</v>
      </c>
      <c r="O1894">
        <f>IF(Tickets[[#This Row],[Ticket Priority]]="Critical",24,
IF(Tickets[[#This Row],[Ticket Priority]]="High",48,
IF(Tickets[[#This Row],[Ticket Priority]]="Medium",120,168)))</f>
        <v>120</v>
      </c>
      <c r="P1894" t="str">
        <f>IF(Tickets[[#This Row],[Resolution Duration Hours]] &lt;= Tickets[[#This Row],[SLA_Target_Hours]], "Yes", "No")</f>
        <v>Yes</v>
      </c>
    </row>
    <row r="1895" spans="1:16">
      <c r="A1895">
        <v>1199</v>
      </c>
      <c r="B1895" t="s">
        <v>1204</v>
      </c>
      <c r="C1895" t="s">
        <v>3179</v>
      </c>
      <c r="D1895" t="s">
        <v>3996</v>
      </c>
      <c r="E1895" s="1">
        <v>44393</v>
      </c>
      <c r="F1895" t="s">
        <v>4000</v>
      </c>
      <c r="G1895" t="s">
        <v>4006</v>
      </c>
      <c r="H1895" t="s">
        <v>4018</v>
      </c>
      <c r="I1895" t="s">
        <v>4021</v>
      </c>
      <c r="J1895" t="s">
        <v>4026</v>
      </c>
      <c r="K1895" s="2">
        <v>44675</v>
      </c>
      <c r="L1895" s="2">
        <v>44678</v>
      </c>
      <c r="M1895">
        <v>4</v>
      </c>
      <c r="N1895">
        <v>72</v>
      </c>
      <c r="O1895">
        <f>IF(Tickets[[#This Row],[Ticket Priority]]="Critical",24,
IF(Tickets[[#This Row],[Ticket Priority]]="High",48,
IF(Tickets[[#This Row],[Ticket Priority]]="Medium",120,168)))</f>
        <v>48</v>
      </c>
      <c r="P1895" t="str">
        <f>IF(Tickets[[#This Row],[Resolution Duration Hours]] &lt;= Tickets[[#This Row],[SLA_Target_Hours]], "Yes", "No")</f>
        <v>No</v>
      </c>
    </row>
    <row r="1896" spans="1:16" hidden="1">
      <c r="A1896">
        <v>1895</v>
      </c>
      <c r="B1896" t="s">
        <v>1884</v>
      </c>
      <c r="C1896" t="s">
        <v>3874</v>
      </c>
      <c r="D1896" t="s">
        <v>3987</v>
      </c>
      <c r="E1896" s="1">
        <v>44158</v>
      </c>
      <c r="F1896" t="s">
        <v>4001</v>
      </c>
      <c r="G1896" t="s">
        <v>4009</v>
      </c>
      <c r="H1896" t="s">
        <v>4018</v>
      </c>
      <c r="I1896" t="s">
        <v>4024</v>
      </c>
      <c r="J1896" t="s">
        <v>4026</v>
      </c>
      <c r="K1896" s="2">
        <v>44420</v>
      </c>
      <c r="L1896" s="2">
        <v>44424</v>
      </c>
      <c r="M1896">
        <v>4</v>
      </c>
      <c r="N1896">
        <v>96</v>
      </c>
      <c r="O1896">
        <f>IF(Tickets[[#This Row],[Ticket Priority]]="Critical",24,
IF(Tickets[[#This Row],[Ticket Priority]]="High",48,
IF(Tickets[[#This Row],[Ticket Priority]]="Medium",120,168)))</f>
        <v>168</v>
      </c>
      <c r="P1896" t="str">
        <f>IF(Tickets[[#This Row],[Resolution Duration Hours]] &lt;= Tickets[[#This Row],[SLA_Target_Hours]], "Yes", "No")</f>
        <v>Yes</v>
      </c>
    </row>
    <row r="1897" spans="1:16" hidden="1">
      <c r="A1897">
        <v>1896</v>
      </c>
      <c r="B1897" t="s">
        <v>1885</v>
      </c>
      <c r="C1897" t="s">
        <v>3875</v>
      </c>
      <c r="D1897" t="s">
        <v>3987</v>
      </c>
      <c r="E1897" s="1">
        <v>44782</v>
      </c>
      <c r="F1897" t="s">
        <v>4000</v>
      </c>
      <c r="G1897" t="s">
        <v>4010</v>
      </c>
      <c r="H1897" t="s">
        <v>4018</v>
      </c>
      <c r="I1897" t="s">
        <v>4023</v>
      </c>
      <c r="J1897" t="s">
        <v>4027</v>
      </c>
      <c r="K1897" s="2">
        <v>44960</v>
      </c>
      <c r="L1897" s="2">
        <v>44963</v>
      </c>
      <c r="M1897">
        <v>3</v>
      </c>
      <c r="N1897">
        <v>72</v>
      </c>
      <c r="O1897">
        <f>IF(Tickets[[#This Row],[Ticket Priority]]="Critical",24,
IF(Tickets[[#This Row],[Ticket Priority]]="High",48,
IF(Tickets[[#This Row],[Ticket Priority]]="Medium",120,168)))</f>
        <v>120</v>
      </c>
      <c r="P1897" t="str">
        <f>IF(Tickets[[#This Row],[Resolution Duration Hours]] &lt;= Tickets[[#This Row],[SLA_Target_Hours]], "Yes", "No")</f>
        <v>Yes</v>
      </c>
    </row>
    <row r="1898" spans="1:16" hidden="1">
      <c r="A1898">
        <v>1897</v>
      </c>
      <c r="B1898" t="s">
        <v>1886</v>
      </c>
      <c r="C1898" t="s">
        <v>3876</v>
      </c>
      <c r="D1898" t="s">
        <v>3987</v>
      </c>
      <c r="E1898" s="1">
        <v>44281</v>
      </c>
      <c r="F1898" t="s">
        <v>4000</v>
      </c>
      <c r="G1898" t="s">
        <v>4012</v>
      </c>
      <c r="H1898" t="s">
        <v>4018</v>
      </c>
      <c r="I1898" t="s">
        <v>4023</v>
      </c>
      <c r="J1898" t="s">
        <v>4026</v>
      </c>
      <c r="K1898" s="2">
        <v>44352</v>
      </c>
      <c r="L1898" s="2">
        <v>44357</v>
      </c>
      <c r="M1898">
        <v>4</v>
      </c>
      <c r="N1898">
        <v>120</v>
      </c>
      <c r="O1898">
        <f>IF(Tickets[[#This Row],[Ticket Priority]]="Critical",24,
IF(Tickets[[#This Row],[Ticket Priority]]="High",48,
IF(Tickets[[#This Row],[Ticket Priority]]="Medium",120,168)))</f>
        <v>120</v>
      </c>
      <c r="P1898" t="str">
        <f>IF(Tickets[[#This Row],[Resolution Duration Hours]] &lt;= Tickets[[#This Row],[SLA_Target_Hours]], "Yes", "No")</f>
        <v>Yes</v>
      </c>
    </row>
    <row r="1899" spans="1:16" hidden="1">
      <c r="A1899">
        <v>1898</v>
      </c>
      <c r="B1899" t="s">
        <v>1887</v>
      </c>
      <c r="C1899" t="s">
        <v>3877</v>
      </c>
      <c r="D1899" t="s">
        <v>3980</v>
      </c>
      <c r="E1899" s="1">
        <v>44479</v>
      </c>
      <c r="F1899" t="s">
        <v>4001</v>
      </c>
      <c r="G1899" t="s">
        <v>4012</v>
      </c>
      <c r="H1899" t="s">
        <v>4018</v>
      </c>
      <c r="I1899" t="s">
        <v>4024</v>
      </c>
      <c r="J1899" t="s">
        <v>4026</v>
      </c>
      <c r="K1899" s="2">
        <v>44709</v>
      </c>
      <c r="L1899" s="2">
        <v>44716</v>
      </c>
      <c r="N1899">
        <v>168</v>
      </c>
      <c r="O1899">
        <f>IF(Tickets[[#This Row],[Ticket Priority]]="Critical",24,
IF(Tickets[[#This Row],[Ticket Priority]]="High",48,
IF(Tickets[[#This Row],[Ticket Priority]]="Medium",120,168)))</f>
        <v>168</v>
      </c>
      <c r="P1899" t="str">
        <f>IF(Tickets[[#This Row],[Resolution Duration Hours]] &lt;= Tickets[[#This Row],[SLA_Target_Hours]], "Yes", "No")</f>
        <v>Yes</v>
      </c>
    </row>
    <row r="1900" spans="1:16" hidden="1">
      <c r="A1900">
        <v>1899</v>
      </c>
      <c r="B1900" t="s">
        <v>1888</v>
      </c>
      <c r="C1900" t="s">
        <v>3878</v>
      </c>
      <c r="D1900" t="s">
        <v>3994</v>
      </c>
      <c r="E1900" s="1">
        <v>44528</v>
      </c>
      <c r="F1900" t="s">
        <v>3999</v>
      </c>
      <c r="G1900" t="s">
        <v>4009</v>
      </c>
      <c r="H1900" t="s">
        <v>4017</v>
      </c>
      <c r="I1900" t="s">
        <v>4023</v>
      </c>
      <c r="J1900" t="s">
        <v>4025</v>
      </c>
      <c r="K1900" s="2">
        <v>44539</v>
      </c>
      <c r="L1900" s="2">
        <v>44542</v>
      </c>
      <c r="N1900">
        <v>72</v>
      </c>
      <c r="O1900">
        <f>IF(Tickets[[#This Row],[Ticket Priority]]="Critical",24,
IF(Tickets[[#This Row],[Ticket Priority]]="High",48,
IF(Tickets[[#This Row],[Ticket Priority]]="Medium",120,168)))</f>
        <v>120</v>
      </c>
      <c r="P1900" t="str">
        <f>IF(Tickets[[#This Row],[Resolution Duration Hours]] &lt;= Tickets[[#This Row],[SLA_Target_Hours]], "Yes", "No")</f>
        <v>Yes</v>
      </c>
    </row>
    <row r="1901" spans="1:16" hidden="1">
      <c r="A1901">
        <v>1900</v>
      </c>
      <c r="B1901" t="s">
        <v>1889</v>
      </c>
      <c r="C1901" t="s">
        <v>3879</v>
      </c>
      <c r="D1901" t="s">
        <v>3995</v>
      </c>
      <c r="E1901" s="1">
        <v>44243</v>
      </c>
      <c r="F1901" t="s">
        <v>3998</v>
      </c>
      <c r="G1901" t="s">
        <v>4015</v>
      </c>
      <c r="H1901" t="s">
        <v>4018</v>
      </c>
      <c r="I1901" t="s">
        <v>4023</v>
      </c>
      <c r="J1901" t="s">
        <v>4026</v>
      </c>
      <c r="K1901" s="2">
        <v>44558</v>
      </c>
      <c r="L1901" s="2">
        <v>44559</v>
      </c>
      <c r="M1901">
        <v>4</v>
      </c>
      <c r="N1901">
        <v>24</v>
      </c>
      <c r="O1901">
        <f>IF(Tickets[[#This Row],[Ticket Priority]]="Critical",24,
IF(Tickets[[#This Row],[Ticket Priority]]="High",48,
IF(Tickets[[#This Row],[Ticket Priority]]="Medium",120,168)))</f>
        <v>120</v>
      </c>
      <c r="P1901" t="str">
        <f>IF(Tickets[[#This Row],[Resolution Duration Hours]] &lt;= Tickets[[#This Row],[SLA_Target_Hours]], "Yes", "No")</f>
        <v>Yes</v>
      </c>
    </row>
    <row r="1902" spans="1:16" hidden="1">
      <c r="A1902">
        <v>1901</v>
      </c>
      <c r="B1902" t="s">
        <v>1890</v>
      </c>
      <c r="C1902" t="s">
        <v>3880</v>
      </c>
      <c r="D1902" t="s">
        <v>3983</v>
      </c>
      <c r="E1902" s="1">
        <v>43905</v>
      </c>
      <c r="F1902" t="s">
        <v>4001</v>
      </c>
      <c r="G1902" t="s">
        <v>4014</v>
      </c>
      <c r="H1902" t="s">
        <v>4017</v>
      </c>
      <c r="I1902" t="s">
        <v>4023</v>
      </c>
      <c r="J1902" t="s">
        <v>4026</v>
      </c>
      <c r="K1902" s="2">
        <v>44010</v>
      </c>
      <c r="L1902" s="2">
        <v>44010</v>
      </c>
      <c r="N1902">
        <v>0</v>
      </c>
      <c r="O1902">
        <f>IF(Tickets[[#This Row],[Ticket Priority]]="Critical",24,
IF(Tickets[[#This Row],[Ticket Priority]]="High",48,
IF(Tickets[[#This Row],[Ticket Priority]]="Medium",120,168)))</f>
        <v>120</v>
      </c>
      <c r="P1902" t="str">
        <f>IF(Tickets[[#This Row],[Resolution Duration Hours]] &lt;= Tickets[[#This Row],[SLA_Target_Hours]], "Yes", "No")</f>
        <v>Yes</v>
      </c>
    </row>
    <row r="1903" spans="1:16" hidden="1">
      <c r="A1903">
        <v>1902</v>
      </c>
      <c r="B1903" t="s">
        <v>1891</v>
      </c>
      <c r="C1903" t="s">
        <v>3881</v>
      </c>
      <c r="D1903" t="s">
        <v>3997</v>
      </c>
      <c r="E1903" s="1">
        <v>45055</v>
      </c>
      <c r="F1903" t="s">
        <v>3999</v>
      </c>
      <c r="G1903" t="s">
        <v>4006</v>
      </c>
      <c r="H1903" t="s">
        <v>4018</v>
      </c>
      <c r="I1903" t="s">
        <v>4024</v>
      </c>
      <c r="J1903" t="s">
        <v>4026</v>
      </c>
      <c r="K1903" s="2">
        <v>45137</v>
      </c>
      <c r="L1903" s="2">
        <v>45143</v>
      </c>
      <c r="M1903">
        <v>3</v>
      </c>
      <c r="N1903">
        <v>144</v>
      </c>
      <c r="O1903">
        <f>IF(Tickets[[#This Row],[Ticket Priority]]="Critical",24,
IF(Tickets[[#This Row],[Ticket Priority]]="High",48,
IF(Tickets[[#This Row],[Ticket Priority]]="Medium",120,168)))</f>
        <v>168</v>
      </c>
      <c r="P1903" t="str">
        <f>IF(Tickets[[#This Row],[Resolution Duration Hours]] &lt;= Tickets[[#This Row],[SLA_Target_Hours]], "Yes", "No")</f>
        <v>Yes</v>
      </c>
    </row>
    <row r="1904" spans="1:16">
      <c r="A1904">
        <v>1222</v>
      </c>
      <c r="B1904" t="s">
        <v>1225</v>
      </c>
      <c r="C1904" t="s">
        <v>3202</v>
      </c>
      <c r="D1904" t="s">
        <v>3997</v>
      </c>
      <c r="E1904" s="1">
        <v>44231</v>
      </c>
      <c r="F1904" t="s">
        <v>3999</v>
      </c>
      <c r="G1904" t="s">
        <v>4013</v>
      </c>
      <c r="H1904" t="s">
        <v>4018</v>
      </c>
      <c r="I1904" t="s">
        <v>4021</v>
      </c>
      <c r="J1904" t="s">
        <v>4027</v>
      </c>
      <c r="K1904" s="2">
        <v>44471</v>
      </c>
      <c r="L1904" s="2">
        <v>44474</v>
      </c>
      <c r="M1904">
        <v>5</v>
      </c>
      <c r="N1904">
        <v>72</v>
      </c>
      <c r="O1904">
        <f>IF(Tickets[[#This Row],[Ticket Priority]]="Critical",24,
IF(Tickets[[#This Row],[Ticket Priority]]="High",48,
IF(Tickets[[#This Row],[Ticket Priority]]="Medium",120,168)))</f>
        <v>48</v>
      </c>
      <c r="P1904" t="str">
        <f>IF(Tickets[[#This Row],[Resolution Duration Hours]] &lt;= Tickets[[#This Row],[SLA_Target_Hours]], "Yes", "No")</f>
        <v>No</v>
      </c>
    </row>
    <row r="1905" spans="1:16" hidden="1">
      <c r="A1905">
        <v>1904</v>
      </c>
      <c r="B1905" t="s">
        <v>1892</v>
      </c>
      <c r="C1905" t="s">
        <v>3883</v>
      </c>
      <c r="D1905" t="s">
        <v>3986</v>
      </c>
      <c r="E1905" s="1">
        <v>44498</v>
      </c>
      <c r="F1905" t="s">
        <v>3998</v>
      </c>
      <c r="G1905" t="s">
        <v>4009</v>
      </c>
      <c r="H1905" t="s">
        <v>4018</v>
      </c>
      <c r="I1905" t="s">
        <v>4023</v>
      </c>
      <c r="J1905" t="s">
        <v>4026</v>
      </c>
      <c r="K1905" s="2">
        <v>44611</v>
      </c>
      <c r="L1905" s="2">
        <v>44615</v>
      </c>
      <c r="M1905">
        <v>5</v>
      </c>
      <c r="N1905">
        <v>96</v>
      </c>
      <c r="O1905">
        <f>IF(Tickets[[#This Row],[Ticket Priority]]="Critical",24,
IF(Tickets[[#This Row],[Ticket Priority]]="High",48,
IF(Tickets[[#This Row],[Ticket Priority]]="Medium",120,168)))</f>
        <v>120</v>
      </c>
      <c r="P1905" t="str">
        <f>IF(Tickets[[#This Row],[Resolution Duration Hours]] &lt;= Tickets[[#This Row],[SLA_Target_Hours]], "Yes", "No")</f>
        <v>Yes</v>
      </c>
    </row>
    <row r="1906" spans="1:16" hidden="1">
      <c r="A1906">
        <v>1905</v>
      </c>
      <c r="B1906" t="s">
        <v>1893</v>
      </c>
      <c r="C1906" t="s">
        <v>3884</v>
      </c>
      <c r="D1906" t="s">
        <v>3993</v>
      </c>
      <c r="E1906" s="1">
        <v>44232</v>
      </c>
      <c r="F1906" t="s">
        <v>4000</v>
      </c>
      <c r="G1906" t="s">
        <v>4012</v>
      </c>
      <c r="H1906" t="s">
        <v>4018</v>
      </c>
      <c r="I1906" t="s">
        <v>4023</v>
      </c>
      <c r="J1906" t="s">
        <v>4026</v>
      </c>
      <c r="K1906" s="2">
        <v>44593</v>
      </c>
      <c r="L1906" s="2">
        <v>44595</v>
      </c>
      <c r="M1906">
        <v>4</v>
      </c>
      <c r="N1906">
        <v>48</v>
      </c>
      <c r="O1906">
        <f>IF(Tickets[[#This Row],[Ticket Priority]]="Critical",24,
IF(Tickets[[#This Row],[Ticket Priority]]="High",48,
IF(Tickets[[#This Row],[Ticket Priority]]="Medium",120,168)))</f>
        <v>120</v>
      </c>
      <c r="P1906" t="str">
        <f>IF(Tickets[[#This Row],[Resolution Duration Hours]] &lt;= Tickets[[#This Row],[SLA_Target_Hours]], "Yes", "No")</f>
        <v>Yes</v>
      </c>
    </row>
    <row r="1907" spans="1:16" hidden="1">
      <c r="A1907">
        <v>1906</v>
      </c>
      <c r="B1907" t="s">
        <v>1894</v>
      </c>
      <c r="C1907" t="s">
        <v>3885</v>
      </c>
      <c r="D1907" t="s">
        <v>3991</v>
      </c>
      <c r="E1907" s="1">
        <v>44392</v>
      </c>
      <c r="F1907" t="s">
        <v>4002</v>
      </c>
      <c r="G1907" t="s">
        <v>4009</v>
      </c>
      <c r="H1907" t="s">
        <v>4018</v>
      </c>
      <c r="I1907" t="s">
        <v>4022</v>
      </c>
      <c r="J1907" t="s">
        <v>4028</v>
      </c>
      <c r="K1907" s="2">
        <v>44479</v>
      </c>
      <c r="L1907" s="2">
        <v>44480</v>
      </c>
      <c r="M1907">
        <v>4</v>
      </c>
      <c r="N1907">
        <v>24</v>
      </c>
      <c r="O1907">
        <f>IF(Tickets[[#This Row],[Ticket Priority]]="Critical",24,
IF(Tickets[[#This Row],[Ticket Priority]]="High",48,
IF(Tickets[[#This Row],[Ticket Priority]]="Medium",120,168)))</f>
        <v>24</v>
      </c>
      <c r="P1907" t="str">
        <f>IF(Tickets[[#This Row],[Resolution Duration Hours]] &lt;= Tickets[[#This Row],[SLA_Target_Hours]], "Yes", "No")</f>
        <v>Yes</v>
      </c>
    </row>
    <row r="1908" spans="1:16">
      <c r="A1908">
        <v>1234</v>
      </c>
      <c r="B1908" t="s">
        <v>1236</v>
      </c>
      <c r="C1908" t="s">
        <v>3214</v>
      </c>
      <c r="D1908" t="s">
        <v>3989</v>
      </c>
      <c r="E1908" s="1">
        <v>44086</v>
      </c>
      <c r="F1908" t="s">
        <v>3998</v>
      </c>
      <c r="G1908" t="s">
        <v>4015</v>
      </c>
      <c r="H1908" t="s">
        <v>4019</v>
      </c>
      <c r="I1908" t="s">
        <v>4021</v>
      </c>
      <c r="J1908" t="s">
        <v>4026</v>
      </c>
      <c r="K1908" s="2">
        <v>44180</v>
      </c>
      <c r="L1908" s="2">
        <v>44183</v>
      </c>
      <c r="N1908">
        <v>72</v>
      </c>
      <c r="O1908">
        <f>IF(Tickets[[#This Row],[Ticket Priority]]="Critical",24,
IF(Tickets[[#This Row],[Ticket Priority]]="High",48,
IF(Tickets[[#This Row],[Ticket Priority]]="Medium",120,168)))</f>
        <v>48</v>
      </c>
      <c r="P1908" t="str">
        <f>IF(Tickets[[#This Row],[Resolution Duration Hours]] &lt;= Tickets[[#This Row],[SLA_Target_Hours]], "Yes", "No")</f>
        <v>No</v>
      </c>
    </row>
    <row r="1909" spans="1:16" hidden="1">
      <c r="A1909">
        <v>1908</v>
      </c>
      <c r="B1909" t="s">
        <v>1896</v>
      </c>
      <c r="C1909" t="s">
        <v>3887</v>
      </c>
      <c r="D1909" t="s">
        <v>3984</v>
      </c>
      <c r="E1909" s="1">
        <v>44019</v>
      </c>
      <c r="F1909" t="s">
        <v>3998</v>
      </c>
      <c r="G1909" t="s">
        <v>4007</v>
      </c>
      <c r="H1909" t="s">
        <v>4018</v>
      </c>
      <c r="I1909" t="s">
        <v>4021</v>
      </c>
      <c r="J1909" t="s">
        <v>4026</v>
      </c>
      <c r="K1909" s="2">
        <v>44085</v>
      </c>
      <c r="L1909" s="2">
        <v>44087</v>
      </c>
      <c r="M1909">
        <v>3</v>
      </c>
      <c r="N1909">
        <v>48</v>
      </c>
      <c r="O1909">
        <f>IF(Tickets[[#This Row],[Ticket Priority]]="Critical",24,
IF(Tickets[[#This Row],[Ticket Priority]]="High",48,
IF(Tickets[[#This Row],[Ticket Priority]]="Medium",120,168)))</f>
        <v>48</v>
      </c>
      <c r="P1909" t="str">
        <f>IF(Tickets[[#This Row],[Resolution Duration Hours]] &lt;= Tickets[[#This Row],[SLA_Target_Hours]], "Yes", "No")</f>
        <v>Yes</v>
      </c>
    </row>
    <row r="1910" spans="1:16" hidden="1">
      <c r="A1910">
        <v>1909</v>
      </c>
      <c r="B1910" t="s">
        <v>1897</v>
      </c>
      <c r="C1910" t="s">
        <v>3888</v>
      </c>
      <c r="D1910" t="s">
        <v>3995</v>
      </c>
      <c r="E1910" s="1">
        <v>44384</v>
      </c>
      <c r="F1910" t="s">
        <v>3999</v>
      </c>
      <c r="G1910" t="s">
        <v>4012</v>
      </c>
      <c r="H1910" t="s">
        <v>4017</v>
      </c>
      <c r="I1910" t="s">
        <v>4024</v>
      </c>
      <c r="J1910" t="s">
        <v>4026</v>
      </c>
      <c r="K1910" s="2">
        <v>44573</v>
      </c>
      <c r="L1910" s="2">
        <v>44577</v>
      </c>
      <c r="N1910">
        <v>96</v>
      </c>
      <c r="O1910">
        <f>IF(Tickets[[#This Row],[Ticket Priority]]="Critical",24,
IF(Tickets[[#This Row],[Ticket Priority]]="High",48,
IF(Tickets[[#This Row],[Ticket Priority]]="Medium",120,168)))</f>
        <v>168</v>
      </c>
      <c r="P1910" t="str">
        <f>IF(Tickets[[#This Row],[Resolution Duration Hours]] &lt;= Tickets[[#This Row],[SLA_Target_Hours]], "Yes", "No")</f>
        <v>Yes</v>
      </c>
    </row>
    <row r="1911" spans="1:16" hidden="1">
      <c r="A1911">
        <v>1910</v>
      </c>
      <c r="B1911" t="s">
        <v>1898</v>
      </c>
      <c r="C1911" t="s">
        <v>3889</v>
      </c>
      <c r="D1911" t="s">
        <v>3980</v>
      </c>
      <c r="E1911" s="1">
        <v>44794</v>
      </c>
      <c r="F1911" t="s">
        <v>4001</v>
      </c>
      <c r="G1911" t="s">
        <v>4014</v>
      </c>
      <c r="H1911" t="s">
        <v>4018</v>
      </c>
      <c r="I1911" t="s">
        <v>4023</v>
      </c>
      <c r="J1911" t="s">
        <v>4026</v>
      </c>
      <c r="K1911" s="2">
        <v>45015</v>
      </c>
      <c r="L1911" s="2">
        <v>45018</v>
      </c>
      <c r="N1911">
        <v>72</v>
      </c>
      <c r="O1911">
        <f>IF(Tickets[[#This Row],[Ticket Priority]]="Critical",24,
IF(Tickets[[#This Row],[Ticket Priority]]="High",48,
IF(Tickets[[#This Row],[Ticket Priority]]="Medium",120,168)))</f>
        <v>120</v>
      </c>
      <c r="P1911" t="str">
        <f>IF(Tickets[[#This Row],[Resolution Duration Hours]] &lt;= Tickets[[#This Row],[SLA_Target_Hours]], "Yes", "No")</f>
        <v>Yes</v>
      </c>
    </row>
    <row r="1912" spans="1:16" hidden="1">
      <c r="A1912">
        <v>1911</v>
      </c>
      <c r="B1912" t="s">
        <v>1899</v>
      </c>
      <c r="C1912" t="s">
        <v>3890</v>
      </c>
      <c r="D1912" t="s">
        <v>3981</v>
      </c>
      <c r="E1912" s="1">
        <v>44902</v>
      </c>
      <c r="F1912" t="s">
        <v>3998</v>
      </c>
      <c r="G1912" t="s">
        <v>4015</v>
      </c>
      <c r="H1912" t="s">
        <v>4020</v>
      </c>
      <c r="I1912" t="s">
        <v>4021</v>
      </c>
      <c r="J1912" t="s">
        <v>4027</v>
      </c>
      <c r="K1912" s="2">
        <v>44956</v>
      </c>
      <c r="L1912" s="2">
        <v>44958</v>
      </c>
      <c r="N1912">
        <v>48</v>
      </c>
      <c r="O1912">
        <f>IF(Tickets[[#This Row],[Ticket Priority]]="Critical",24,
IF(Tickets[[#This Row],[Ticket Priority]]="High",48,
IF(Tickets[[#This Row],[Ticket Priority]]="Medium",120,168)))</f>
        <v>48</v>
      </c>
      <c r="P1912" t="str">
        <f>IF(Tickets[[#This Row],[Resolution Duration Hours]] &lt;= Tickets[[#This Row],[SLA_Target_Hours]], "Yes", "No")</f>
        <v>Yes</v>
      </c>
    </row>
    <row r="1913" spans="1:16" hidden="1">
      <c r="A1913">
        <v>1912</v>
      </c>
      <c r="B1913" t="s">
        <v>1900</v>
      </c>
      <c r="C1913" t="s">
        <v>3891</v>
      </c>
      <c r="D1913" t="s">
        <v>3996</v>
      </c>
      <c r="E1913" s="1">
        <v>44627</v>
      </c>
      <c r="F1913" t="s">
        <v>4001</v>
      </c>
      <c r="G1913" t="s">
        <v>4006</v>
      </c>
      <c r="H1913" t="s">
        <v>4017</v>
      </c>
      <c r="I1913" t="s">
        <v>4023</v>
      </c>
      <c r="J1913" t="s">
        <v>4027</v>
      </c>
      <c r="K1913" s="2">
        <v>44724</v>
      </c>
      <c r="L1913" s="2">
        <v>44726</v>
      </c>
      <c r="N1913">
        <v>48</v>
      </c>
      <c r="O1913">
        <f>IF(Tickets[[#This Row],[Ticket Priority]]="Critical",24,
IF(Tickets[[#This Row],[Ticket Priority]]="High",48,
IF(Tickets[[#This Row],[Ticket Priority]]="Medium",120,168)))</f>
        <v>120</v>
      </c>
      <c r="P1913" t="str">
        <f>IF(Tickets[[#This Row],[Resolution Duration Hours]] &lt;= Tickets[[#This Row],[SLA_Target_Hours]], "Yes", "No")</f>
        <v>Yes</v>
      </c>
    </row>
    <row r="1914" spans="1:16" hidden="1">
      <c r="A1914">
        <v>1913</v>
      </c>
      <c r="B1914" t="s">
        <v>1901</v>
      </c>
      <c r="C1914" t="s">
        <v>3892</v>
      </c>
      <c r="D1914" t="s">
        <v>3980</v>
      </c>
      <c r="E1914" s="1">
        <v>43934</v>
      </c>
      <c r="F1914" t="s">
        <v>4000</v>
      </c>
      <c r="G1914" t="s">
        <v>4000</v>
      </c>
      <c r="H1914" t="s">
        <v>4018</v>
      </c>
      <c r="I1914" t="s">
        <v>4022</v>
      </c>
      <c r="J1914" t="s">
        <v>4028</v>
      </c>
      <c r="K1914" s="2">
        <v>44246</v>
      </c>
      <c r="L1914" s="2">
        <v>44247</v>
      </c>
      <c r="M1914">
        <v>5</v>
      </c>
      <c r="N1914">
        <v>24</v>
      </c>
      <c r="O1914">
        <f>IF(Tickets[[#This Row],[Ticket Priority]]="Critical",24,
IF(Tickets[[#This Row],[Ticket Priority]]="High",48,
IF(Tickets[[#This Row],[Ticket Priority]]="Medium",120,168)))</f>
        <v>24</v>
      </c>
      <c r="P1914" t="str">
        <f>IF(Tickets[[#This Row],[Resolution Duration Hours]] &lt;= Tickets[[#This Row],[SLA_Target_Hours]], "Yes", "No")</f>
        <v>Yes</v>
      </c>
    </row>
    <row r="1915" spans="1:16" hidden="1">
      <c r="A1915">
        <v>1914</v>
      </c>
      <c r="B1915" t="s">
        <v>1902</v>
      </c>
      <c r="C1915" t="s">
        <v>3893</v>
      </c>
      <c r="D1915" t="s">
        <v>3988</v>
      </c>
      <c r="E1915" s="1">
        <v>44331</v>
      </c>
      <c r="F1915" t="s">
        <v>4000</v>
      </c>
      <c r="G1915" t="s">
        <v>4014</v>
      </c>
      <c r="H1915" t="s">
        <v>4020</v>
      </c>
      <c r="I1915" t="s">
        <v>4023</v>
      </c>
      <c r="J1915" t="s">
        <v>4026</v>
      </c>
      <c r="K1915" s="2">
        <v>44445</v>
      </c>
      <c r="L1915" s="2">
        <v>44449</v>
      </c>
      <c r="N1915">
        <v>96</v>
      </c>
      <c r="O1915">
        <f>IF(Tickets[[#This Row],[Ticket Priority]]="Critical",24,
IF(Tickets[[#This Row],[Ticket Priority]]="High",48,
IF(Tickets[[#This Row],[Ticket Priority]]="Medium",120,168)))</f>
        <v>120</v>
      </c>
      <c r="P1915" t="str">
        <f>IF(Tickets[[#This Row],[Resolution Duration Hours]] &lt;= Tickets[[#This Row],[SLA_Target_Hours]], "Yes", "No")</f>
        <v>Yes</v>
      </c>
    </row>
    <row r="1916" spans="1:16" hidden="1">
      <c r="A1916">
        <v>1915</v>
      </c>
      <c r="B1916" t="s">
        <v>1903</v>
      </c>
      <c r="C1916" t="s">
        <v>3894</v>
      </c>
      <c r="D1916" t="s">
        <v>3985</v>
      </c>
      <c r="E1916" s="1">
        <v>43857</v>
      </c>
      <c r="F1916" t="s">
        <v>4001</v>
      </c>
      <c r="G1916" t="s">
        <v>4012</v>
      </c>
      <c r="H1916" t="s">
        <v>4018</v>
      </c>
      <c r="I1916" t="s">
        <v>4021</v>
      </c>
      <c r="J1916" t="s">
        <v>4028</v>
      </c>
      <c r="K1916" s="2">
        <v>43874</v>
      </c>
      <c r="L1916" s="2">
        <v>43876</v>
      </c>
      <c r="M1916">
        <v>4</v>
      </c>
      <c r="N1916">
        <v>48</v>
      </c>
      <c r="O1916">
        <f>IF(Tickets[[#This Row],[Ticket Priority]]="Critical",24,
IF(Tickets[[#This Row],[Ticket Priority]]="High",48,
IF(Tickets[[#This Row],[Ticket Priority]]="Medium",120,168)))</f>
        <v>48</v>
      </c>
      <c r="P1916" t="str">
        <f>IF(Tickets[[#This Row],[Resolution Duration Hours]] &lt;= Tickets[[#This Row],[SLA_Target_Hours]], "Yes", "No")</f>
        <v>Yes</v>
      </c>
    </row>
    <row r="1917" spans="1:16" hidden="1">
      <c r="A1917">
        <v>1916</v>
      </c>
      <c r="B1917" t="s">
        <v>1904</v>
      </c>
      <c r="C1917" t="s">
        <v>3895</v>
      </c>
      <c r="D1917" t="s">
        <v>3984</v>
      </c>
      <c r="E1917" s="1">
        <v>44039</v>
      </c>
      <c r="F1917" t="s">
        <v>4001</v>
      </c>
      <c r="G1917" t="s">
        <v>4010</v>
      </c>
      <c r="H1917" t="s">
        <v>4018</v>
      </c>
      <c r="I1917" t="s">
        <v>4023</v>
      </c>
      <c r="J1917" t="s">
        <v>4025</v>
      </c>
      <c r="K1917" s="2">
        <v>44404</v>
      </c>
      <c r="L1917" s="2">
        <v>44406</v>
      </c>
      <c r="M1917">
        <v>4</v>
      </c>
      <c r="N1917">
        <v>48</v>
      </c>
      <c r="O1917">
        <f>IF(Tickets[[#This Row],[Ticket Priority]]="Critical",24,
IF(Tickets[[#This Row],[Ticket Priority]]="High",48,
IF(Tickets[[#This Row],[Ticket Priority]]="Medium",120,168)))</f>
        <v>120</v>
      </c>
      <c r="P1917" t="str">
        <f>IF(Tickets[[#This Row],[Resolution Duration Hours]] &lt;= Tickets[[#This Row],[SLA_Target_Hours]], "Yes", "No")</f>
        <v>Yes</v>
      </c>
    </row>
    <row r="1918" spans="1:16" hidden="1">
      <c r="A1918">
        <v>1917</v>
      </c>
      <c r="B1918" t="s">
        <v>1905</v>
      </c>
      <c r="C1918" t="s">
        <v>3896</v>
      </c>
      <c r="D1918" t="s">
        <v>3983</v>
      </c>
      <c r="E1918" s="1">
        <v>44687</v>
      </c>
      <c r="F1918" t="s">
        <v>4001</v>
      </c>
      <c r="G1918" t="s">
        <v>4013</v>
      </c>
      <c r="H1918" t="s">
        <v>4018</v>
      </c>
      <c r="I1918" t="s">
        <v>4021</v>
      </c>
      <c r="J1918" t="s">
        <v>4026</v>
      </c>
      <c r="K1918" s="2">
        <v>45050</v>
      </c>
      <c r="L1918" s="2">
        <v>45052</v>
      </c>
      <c r="M1918">
        <v>3</v>
      </c>
      <c r="N1918">
        <v>48</v>
      </c>
      <c r="O1918">
        <f>IF(Tickets[[#This Row],[Ticket Priority]]="Critical",24,
IF(Tickets[[#This Row],[Ticket Priority]]="High",48,
IF(Tickets[[#This Row],[Ticket Priority]]="Medium",120,168)))</f>
        <v>48</v>
      </c>
      <c r="P1918" t="str">
        <f>IF(Tickets[[#This Row],[Resolution Duration Hours]] &lt;= Tickets[[#This Row],[SLA_Target_Hours]], "Yes", "No")</f>
        <v>Yes</v>
      </c>
    </row>
    <row r="1919" spans="1:16" hidden="1">
      <c r="A1919">
        <v>1918</v>
      </c>
      <c r="B1919" t="s">
        <v>1906</v>
      </c>
      <c r="C1919" t="s">
        <v>3897</v>
      </c>
      <c r="D1919" t="s">
        <v>3992</v>
      </c>
      <c r="E1919" s="1">
        <v>44315</v>
      </c>
      <c r="F1919" t="s">
        <v>4001</v>
      </c>
      <c r="G1919" t="s">
        <v>4014</v>
      </c>
      <c r="H1919" t="s">
        <v>4018</v>
      </c>
      <c r="I1919" t="s">
        <v>4022</v>
      </c>
      <c r="J1919" t="s">
        <v>4025</v>
      </c>
      <c r="K1919" s="2">
        <v>44539</v>
      </c>
      <c r="L1919" s="2">
        <v>44540</v>
      </c>
      <c r="M1919">
        <v>4</v>
      </c>
      <c r="N1919">
        <v>24</v>
      </c>
      <c r="O1919">
        <f>IF(Tickets[[#This Row],[Ticket Priority]]="Critical",24,
IF(Tickets[[#This Row],[Ticket Priority]]="High",48,
IF(Tickets[[#This Row],[Ticket Priority]]="Medium",120,168)))</f>
        <v>24</v>
      </c>
      <c r="P1919" t="str">
        <f>IF(Tickets[[#This Row],[Resolution Duration Hours]] &lt;= Tickets[[#This Row],[SLA_Target_Hours]], "Yes", "No")</f>
        <v>Yes</v>
      </c>
    </row>
    <row r="1920" spans="1:16" hidden="1">
      <c r="A1920">
        <v>1919</v>
      </c>
      <c r="B1920" t="s">
        <v>1907</v>
      </c>
      <c r="C1920" t="s">
        <v>3898</v>
      </c>
      <c r="D1920" t="s">
        <v>3981</v>
      </c>
      <c r="E1920" s="1">
        <v>44912</v>
      </c>
      <c r="F1920" t="s">
        <v>3999</v>
      </c>
      <c r="G1920" t="s">
        <v>4015</v>
      </c>
      <c r="H1920" t="s">
        <v>4018</v>
      </c>
      <c r="I1920" t="s">
        <v>4024</v>
      </c>
      <c r="J1920" t="s">
        <v>4026</v>
      </c>
      <c r="K1920" s="2">
        <v>44936</v>
      </c>
      <c r="L1920" s="2">
        <v>44937</v>
      </c>
      <c r="N1920">
        <v>24</v>
      </c>
      <c r="O1920">
        <f>IF(Tickets[[#This Row],[Ticket Priority]]="Critical",24,
IF(Tickets[[#This Row],[Ticket Priority]]="High",48,
IF(Tickets[[#This Row],[Ticket Priority]]="Medium",120,168)))</f>
        <v>168</v>
      </c>
      <c r="P1920" t="str">
        <f>IF(Tickets[[#This Row],[Resolution Duration Hours]] &lt;= Tickets[[#This Row],[SLA_Target_Hours]], "Yes", "No")</f>
        <v>Yes</v>
      </c>
    </row>
    <row r="1921" spans="1:16" hidden="1">
      <c r="A1921">
        <v>1920</v>
      </c>
      <c r="B1921" t="s">
        <v>1908</v>
      </c>
      <c r="C1921" t="s">
        <v>3899</v>
      </c>
      <c r="D1921" t="s">
        <v>3982</v>
      </c>
      <c r="E1921" s="1">
        <v>43947</v>
      </c>
      <c r="F1921" t="s">
        <v>3999</v>
      </c>
      <c r="G1921" t="s">
        <v>4000</v>
      </c>
      <c r="H1921" t="s">
        <v>4017</v>
      </c>
      <c r="I1921" t="s">
        <v>4023</v>
      </c>
      <c r="J1921" t="s">
        <v>4026</v>
      </c>
      <c r="K1921" s="2">
        <v>44048</v>
      </c>
      <c r="L1921" s="2">
        <v>44050</v>
      </c>
      <c r="N1921">
        <v>48</v>
      </c>
      <c r="O1921">
        <f>IF(Tickets[[#This Row],[Ticket Priority]]="Critical",24,
IF(Tickets[[#This Row],[Ticket Priority]]="High",48,
IF(Tickets[[#This Row],[Ticket Priority]]="Medium",120,168)))</f>
        <v>120</v>
      </c>
      <c r="P1921" t="str">
        <f>IF(Tickets[[#This Row],[Resolution Duration Hours]] &lt;= Tickets[[#This Row],[SLA_Target_Hours]], "Yes", "No")</f>
        <v>Yes</v>
      </c>
    </row>
    <row r="1922" spans="1:16" hidden="1">
      <c r="A1922">
        <v>1921</v>
      </c>
      <c r="B1922" t="s">
        <v>1909</v>
      </c>
      <c r="C1922" t="s">
        <v>3900</v>
      </c>
      <c r="D1922" t="s">
        <v>3980</v>
      </c>
      <c r="E1922" s="1">
        <v>44767</v>
      </c>
      <c r="F1922" t="s">
        <v>4001</v>
      </c>
      <c r="G1922" t="s">
        <v>4015</v>
      </c>
      <c r="H1922" t="s">
        <v>4018</v>
      </c>
      <c r="I1922" t="s">
        <v>4024</v>
      </c>
      <c r="J1922" t="s">
        <v>4028</v>
      </c>
      <c r="K1922" s="2">
        <v>44822</v>
      </c>
      <c r="L1922" s="2">
        <v>44827</v>
      </c>
      <c r="M1922">
        <v>5</v>
      </c>
      <c r="N1922">
        <v>120</v>
      </c>
      <c r="O1922">
        <f>IF(Tickets[[#This Row],[Ticket Priority]]="Critical",24,
IF(Tickets[[#This Row],[Ticket Priority]]="High",48,
IF(Tickets[[#This Row],[Ticket Priority]]="Medium",120,168)))</f>
        <v>168</v>
      </c>
      <c r="P1922" t="str">
        <f>IF(Tickets[[#This Row],[Resolution Duration Hours]] &lt;= Tickets[[#This Row],[SLA_Target_Hours]], "Yes", "No")</f>
        <v>Yes</v>
      </c>
    </row>
    <row r="1923" spans="1:16">
      <c r="A1923">
        <v>1251</v>
      </c>
      <c r="B1923" t="s">
        <v>1253</v>
      </c>
      <c r="C1923" t="s">
        <v>3231</v>
      </c>
      <c r="D1923" t="s">
        <v>3979</v>
      </c>
      <c r="E1923" s="1">
        <v>44819</v>
      </c>
      <c r="F1923" t="s">
        <v>4001</v>
      </c>
      <c r="G1923" t="s">
        <v>4008</v>
      </c>
      <c r="H1923" t="s">
        <v>4020</v>
      </c>
      <c r="I1923" t="s">
        <v>4021</v>
      </c>
      <c r="J1923" t="s">
        <v>4028</v>
      </c>
      <c r="K1923" s="2">
        <v>44902</v>
      </c>
      <c r="L1923" s="2">
        <v>44905</v>
      </c>
      <c r="N1923">
        <v>72</v>
      </c>
      <c r="O1923">
        <f>IF(Tickets[[#This Row],[Ticket Priority]]="Critical",24,
IF(Tickets[[#This Row],[Ticket Priority]]="High",48,
IF(Tickets[[#This Row],[Ticket Priority]]="Medium",120,168)))</f>
        <v>48</v>
      </c>
      <c r="P1923" t="str">
        <f>IF(Tickets[[#This Row],[Resolution Duration Hours]] &lt;= Tickets[[#This Row],[SLA_Target_Hours]], "Yes", "No")</f>
        <v>No</v>
      </c>
    </row>
    <row r="1924" spans="1:16" hidden="1">
      <c r="A1924">
        <v>1923</v>
      </c>
      <c r="B1924" t="s">
        <v>1911</v>
      </c>
      <c r="C1924" t="s">
        <v>3902</v>
      </c>
      <c r="D1924" t="s">
        <v>3983</v>
      </c>
      <c r="E1924" s="1">
        <v>44938</v>
      </c>
      <c r="F1924" t="s">
        <v>4002</v>
      </c>
      <c r="G1924" t="s">
        <v>4006</v>
      </c>
      <c r="H1924" t="s">
        <v>4018</v>
      </c>
      <c r="I1924" t="s">
        <v>4022</v>
      </c>
      <c r="J1924" t="s">
        <v>4027</v>
      </c>
      <c r="K1924" s="2">
        <v>45065</v>
      </c>
      <c r="L1924" s="2">
        <v>45065</v>
      </c>
      <c r="M1924">
        <v>4</v>
      </c>
      <c r="N1924">
        <v>0</v>
      </c>
      <c r="O1924">
        <f>IF(Tickets[[#This Row],[Ticket Priority]]="Critical",24,
IF(Tickets[[#This Row],[Ticket Priority]]="High",48,
IF(Tickets[[#This Row],[Ticket Priority]]="Medium",120,168)))</f>
        <v>24</v>
      </c>
      <c r="P1924" t="str">
        <f>IF(Tickets[[#This Row],[Resolution Duration Hours]] &lt;= Tickets[[#This Row],[SLA_Target_Hours]], "Yes", "No")</f>
        <v>Yes</v>
      </c>
    </row>
    <row r="1925" spans="1:16" hidden="1">
      <c r="A1925">
        <v>1924</v>
      </c>
      <c r="B1925" t="s">
        <v>1912</v>
      </c>
      <c r="C1925" t="s">
        <v>3903</v>
      </c>
      <c r="D1925" t="s">
        <v>3980</v>
      </c>
      <c r="E1925" s="1">
        <v>44999</v>
      </c>
      <c r="F1925" t="s">
        <v>4002</v>
      </c>
      <c r="G1925" t="s">
        <v>4010</v>
      </c>
      <c r="H1925" t="s">
        <v>4017</v>
      </c>
      <c r="I1925" t="s">
        <v>4024</v>
      </c>
      <c r="J1925" t="s">
        <v>4026</v>
      </c>
      <c r="K1925" s="2">
        <v>45283</v>
      </c>
      <c r="L1925" s="2">
        <v>45285</v>
      </c>
      <c r="N1925">
        <v>48</v>
      </c>
      <c r="O1925">
        <f>IF(Tickets[[#This Row],[Ticket Priority]]="Critical",24,
IF(Tickets[[#This Row],[Ticket Priority]]="High",48,
IF(Tickets[[#This Row],[Ticket Priority]]="Medium",120,168)))</f>
        <v>168</v>
      </c>
      <c r="P1925" t="str">
        <f>IF(Tickets[[#This Row],[Resolution Duration Hours]] &lt;= Tickets[[#This Row],[SLA_Target_Hours]], "Yes", "No")</f>
        <v>Yes</v>
      </c>
    </row>
    <row r="1926" spans="1:16" hidden="1">
      <c r="A1926">
        <v>1925</v>
      </c>
      <c r="B1926" t="s">
        <v>1913</v>
      </c>
      <c r="C1926" t="s">
        <v>3904</v>
      </c>
      <c r="D1926" t="s">
        <v>3985</v>
      </c>
      <c r="E1926" s="1">
        <v>44043</v>
      </c>
      <c r="F1926" t="s">
        <v>4001</v>
      </c>
      <c r="G1926" t="s">
        <v>4003</v>
      </c>
      <c r="H1926" t="s">
        <v>4018</v>
      </c>
      <c r="I1926" t="s">
        <v>4022</v>
      </c>
      <c r="J1926" t="s">
        <v>4027</v>
      </c>
      <c r="K1926" s="2">
        <v>44319</v>
      </c>
      <c r="L1926" s="2">
        <v>44320</v>
      </c>
      <c r="M1926">
        <v>4</v>
      </c>
      <c r="N1926">
        <v>24</v>
      </c>
      <c r="O1926">
        <f>IF(Tickets[[#This Row],[Ticket Priority]]="Critical",24,
IF(Tickets[[#This Row],[Ticket Priority]]="High",48,
IF(Tickets[[#This Row],[Ticket Priority]]="Medium",120,168)))</f>
        <v>24</v>
      </c>
      <c r="P1926" t="str">
        <f>IF(Tickets[[#This Row],[Resolution Duration Hours]] &lt;= Tickets[[#This Row],[SLA_Target_Hours]], "Yes", "No")</f>
        <v>Yes</v>
      </c>
    </row>
    <row r="1927" spans="1:16" hidden="1">
      <c r="A1927">
        <v>1926</v>
      </c>
      <c r="B1927" t="s">
        <v>1914</v>
      </c>
      <c r="C1927" t="s">
        <v>3905</v>
      </c>
      <c r="D1927" t="s">
        <v>3982</v>
      </c>
      <c r="E1927" s="1">
        <v>44461</v>
      </c>
      <c r="F1927" t="s">
        <v>4000</v>
      </c>
      <c r="G1927" t="s">
        <v>4006</v>
      </c>
      <c r="H1927" t="s">
        <v>4018</v>
      </c>
      <c r="I1927" t="s">
        <v>4021</v>
      </c>
      <c r="J1927" t="s">
        <v>4027</v>
      </c>
      <c r="K1927" s="2">
        <v>44544</v>
      </c>
      <c r="L1927" s="2">
        <v>44545</v>
      </c>
      <c r="M1927">
        <v>5</v>
      </c>
      <c r="N1927">
        <v>24</v>
      </c>
      <c r="O1927">
        <f>IF(Tickets[[#This Row],[Ticket Priority]]="Critical",24,
IF(Tickets[[#This Row],[Ticket Priority]]="High",48,
IF(Tickets[[#This Row],[Ticket Priority]]="Medium",120,168)))</f>
        <v>48</v>
      </c>
      <c r="P1927" t="str">
        <f>IF(Tickets[[#This Row],[Resolution Duration Hours]] &lt;= Tickets[[#This Row],[SLA_Target_Hours]], "Yes", "No")</f>
        <v>Yes</v>
      </c>
    </row>
    <row r="1928" spans="1:16" hidden="1">
      <c r="A1928">
        <v>1927</v>
      </c>
      <c r="B1928" t="s">
        <v>1915</v>
      </c>
      <c r="C1928" t="s">
        <v>3906</v>
      </c>
      <c r="D1928" t="s">
        <v>3991</v>
      </c>
      <c r="E1928" s="1">
        <v>44714</v>
      </c>
      <c r="F1928" t="s">
        <v>3999</v>
      </c>
      <c r="G1928" t="s">
        <v>4000</v>
      </c>
      <c r="H1928" t="s">
        <v>4018</v>
      </c>
      <c r="I1928" t="s">
        <v>4024</v>
      </c>
      <c r="J1928" t="s">
        <v>4028</v>
      </c>
      <c r="K1928" s="2">
        <v>44950</v>
      </c>
      <c r="L1928" s="2">
        <v>44953</v>
      </c>
      <c r="M1928">
        <v>3</v>
      </c>
      <c r="N1928">
        <v>72</v>
      </c>
      <c r="O1928">
        <f>IF(Tickets[[#This Row],[Ticket Priority]]="Critical",24,
IF(Tickets[[#This Row],[Ticket Priority]]="High",48,
IF(Tickets[[#This Row],[Ticket Priority]]="Medium",120,168)))</f>
        <v>168</v>
      </c>
      <c r="P1928" t="str">
        <f>IF(Tickets[[#This Row],[Resolution Duration Hours]] &lt;= Tickets[[#This Row],[SLA_Target_Hours]], "Yes", "No")</f>
        <v>Yes</v>
      </c>
    </row>
    <row r="1929" spans="1:16" hidden="1">
      <c r="A1929">
        <v>1928</v>
      </c>
      <c r="B1929" t="s">
        <v>1916</v>
      </c>
      <c r="C1929" t="s">
        <v>3907</v>
      </c>
      <c r="D1929" t="s">
        <v>3982</v>
      </c>
      <c r="E1929" s="1">
        <v>44094</v>
      </c>
      <c r="F1929" t="s">
        <v>4000</v>
      </c>
      <c r="G1929" t="s">
        <v>4013</v>
      </c>
      <c r="H1929" t="s">
        <v>4020</v>
      </c>
      <c r="I1929" t="s">
        <v>4023</v>
      </c>
      <c r="J1929" t="s">
        <v>4026</v>
      </c>
      <c r="K1929" s="2">
        <v>44229</v>
      </c>
      <c r="L1929" s="2">
        <v>44232</v>
      </c>
      <c r="N1929">
        <v>72</v>
      </c>
      <c r="O1929">
        <f>IF(Tickets[[#This Row],[Ticket Priority]]="Critical",24,
IF(Tickets[[#This Row],[Ticket Priority]]="High",48,
IF(Tickets[[#This Row],[Ticket Priority]]="Medium",120,168)))</f>
        <v>120</v>
      </c>
      <c r="P1929" t="str">
        <f>IF(Tickets[[#This Row],[Resolution Duration Hours]] &lt;= Tickets[[#This Row],[SLA_Target_Hours]], "Yes", "No")</f>
        <v>Yes</v>
      </c>
    </row>
    <row r="1930" spans="1:16">
      <c r="A1930">
        <v>1321</v>
      </c>
      <c r="B1930" t="s">
        <v>1322</v>
      </c>
      <c r="C1930" t="s">
        <v>3301</v>
      </c>
      <c r="D1930" t="s">
        <v>3994</v>
      </c>
      <c r="E1930" s="1">
        <v>44871</v>
      </c>
      <c r="F1930" t="s">
        <v>4001</v>
      </c>
      <c r="G1930" t="s">
        <v>4005</v>
      </c>
      <c r="H1930" t="s">
        <v>4018</v>
      </c>
      <c r="I1930" t="s">
        <v>4021</v>
      </c>
      <c r="J1930" t="s">
        <v>4028</v>
      </c>
      <c r="K1930" s="2">
        <v>45111</v>
      </c>
      <c r="L1930" s="2">
        <v>45114</v>
      </c>
      <c r="M1930">
        <v>5</v>
      </c>
      <c r="N1930">
        <v>72</v>
      </c>
      <c r="O1930">
        <f>IF(Tickets[[#This Row],[Ticket Priority]]="Critical",24,
IF(Tickets[[#This Row],[Ticket Priority]]="High",48,
IF(Tickets[[#This Row],[Ticket Priority]]="Medium",120,168)))</f>
        <v>48</v>
      </c>
      <c r="P1930" t="str">
        <f>IF(Tickets[[#This Row],[Resolution Duration Hours]] &lt;= Tickets[[#This Row],[SLA_Target_Hours]], "Yes", "No")</f>
        <v>No</v>
      </c>
    </row>
    <row r="1931" spans="1:16" hidden="1">
      <c r="A1931">
        <v>1930</v>
      </c>
      <c r="B1931" t="s">
        <v>1918</v>
      </c>
      <c r="C1931" t="s">
        <v>3909</v>
      </c>
      <c r="D1931" t="s">
        <v>3996</v>
      </c>
      <c r="E1931" s="1">
        <v>44158</v>
      </c>
      <c r="F1931" t="s">
        <v>4002</v>
      </c>
      <c r="G1931" t="s">
        <v>4011</v>
      </c>
      <c r="H1931" t="s">
        <v>4019</v>
      </c>
      <c r="I1931" t="s">
        <v>4023</v>
      </c>
      <c r="J1931" t="s">
        <v>4028</v>
      </c>
      <c r="K1931" s="2">
        <v>44431</v>
      </c>
      <c r="L1931" s="2">
        <v>44432</v>
      </c>
      <c r="M1931">
        <v>2</v>
      </c>
      <c r="N1931">
        <v>24</v>
      </c>
      <c r="O1931">
        <f>IF(Tickets[[#This Row],[Ticket Priority]]="Critical",24,
IF(Tickets[[#This Row],[Ticket Priority]]="High",48,
IF(Tickets[[#This Row],[Ticket Priority]]="Medium",120,168)))</f>
        <v>120</v>
      </c>
      <c r="P1931" t="str">
        <f>IF(Tickets[[#This Row],[Resolution Duration Hours]] &lt;= Tickets[[#This Row],[SLA_Target_Hours]], "Yes", "No")</f>
        <v>Yes</v>
      </c>
    </row>
    <row r="1932" spans="1:16" hidden="1">
      <c r="A1932">
        <v>1931</v>
      </c>
      <c r="B1932" t="s">
        <v>1919</v>
      </c>
      <c r="C1932" t="s">
        <v>3910</v>
      </c>
      <c r="D1932" t="s">
        <v>3988</v>
      </c>
      <c r="E1932" s="1">
        <v>44729</v>
      </c>
      <c r="F1932" t="s">
        <v>3998</v>
      </c>
      <c r="G1932" t="s">
        <v>4010</v>
      </c>
      <c r="H1932" t="s">
        <v>4017</v>
      </c>
      <c r="I1932" t="s">
        <v>4021</v>
      </c>
      <c r="J1932" t="s">
        <v>4028</v>
      </c>
      <c r="K1932" s="2">
        <v>44824</v>
      </c>
      <c r="L1932" s="2">
        <v>44825</v>
      </c>
      <c r="N1932">
        <v>24</v>
      </c>
      <c r="O1932">
        <f>IF(Tickets[[#This Row],[Ticket Priority]]="Critical",24,
IF(Tickets[[#This Row],[Ticket Priority]]="High",48,
IF(Tickets[[#This Row],[Ticket Priority]]="Medium",120,168)))</f>
        <v>48</v>
      </c>
      <c r="P1932" t="str">
        <f>IF(Tickets[[#This Row],[Resolution Duration Hours]] &lt;= Tickets[[#This Row],[SLA_Target_Hours]], "Yes", "No")</f>
        <v>Yes</v>
      </c>
    </row>
    <row r="1933" spans="1:16">
      <c r="A1933">
        <v>1377</v>
      </c>
      <c r="B1933" t="s">
        <v>1378</v>
      </c>
      <c r="C1933" t="s">
        <v>3357</v>
      </c>
      <c r="D1933" t="s">
        <v>3984</v>
      </c>
      <c r="E1933" s="1">
        <v>44234</v>
      </c>
      <c r="F1933" t="s">
        <v>3998</v>
      </c>
      <c r="G1933" t="s">
        <v>4011</v>
      </c>
      <c r="H1933" t="s">
        <v>4017</v>
      </c>
      <c r="I1933" t="s">
        <v>4021</v>
      </c>
      <c r="J1933" t="s">
        <v>4027</v>
      </c>
      <c r="K1933" s="2">
        <v>44379</v>
      </c>
      <c r="L1933" s="2">
        <v>44382</v>
      </c>
      <c r="N1933">
        <v>72</v>
      </c>
      <c r="O1933">
        <f>IF(Tickets[[#This Row],[Ticket Priority]]="Critical",24,
IF(Tickets[[#This Row],[Ticket Priority]]="High",48,
IF(Tickets[[#This Row],[Ticket Priority]]="Medium",120,168)))</f>
        <v>48</v>
      </c>
      <c r="P1933" t="str">
        <f>IF(Tickets[[#This Row],[Resolution Duration Hours]] &lt;= Tickets[[#This Row],[SLA_Target_Hours]], "Yes", "No")</f>
        <v>No</v>
      </c>
    </row>
    <row r="1934" spans="1:16">
      <c r="A1934">
        <v>1408</v>
      </c>
      <c r="B1934" t="s">
        <v>1409</v>
      </c>
      <c r="C1934" t="s">
        <v>3388</v>
      </c>
      <c r="D1934" t="s">
        <v>3979</v>
      </c>
      <c r="E1934" s="1">
        <v>44339</v>
      </c>
      <c r="F1934" t="s">
        <v>3998</v>
      </c>
      <c r="G1934" t="s">
        <v>4013</v>
      </c>
      <c r="H1934" t="s">
        <v>4018</v>
      </c>
      <c r="I1934" t="s">
        <v>4021</v>
      </c>
      <c r="J1934" t="s">
        <v>4025</v>
      </c>
      <c r="K1934" s="2">
        <v>44592</v>
      </c>
      <c r="L1934" s="2">
        <v>44595</v>
      </c>
      <c r="M1934">
        <v>4</v>
      </c>
      <c r="N1934">
        <v>72</v>
      </c>
      <c r="O1934">
        <f>IF(Tickets[[#This Row],[Ticket Priority]]="Critical",24,
IF(Tickets[[#This Row],[Ticket Priority]]="High",48,
IF(Tickets[[#This Row],[Ticket Priority]]="Medium",120,168)))</f>
        <v>48</v>
      </c>
      <c r="P1934" t="str">
        <f>IF(Tickets[[#This Row],[Resolution Duration Hours]] &lt;= Tickets[[#This Row],[SLA_Target_Hours]], "Yes", "No")</f>
        <v>No</v>
      </c>
    </row>
    <row r="1935" spans="1:16" hidden="1">
      <c r="A1935">
        <v>1934</v>
      </c>
      <c r="B1935" t="s">
        <v>1708</v>
      </c>
      <c r="C1935" t="s">
        <v>3913</v>
      </c>
      <c r="D1935" t="s">
        <v>3981</v>
      </c>
      <c r="E1935" s="1">
        <v>44966</v>
      </c>
      <c r="F1935" t="s">
        <v>4002</v>
      </c>
      <c r="G1935" t="s">
        <v>4014</v>
      </c>
      <c r="H1935" t="s">
        <v>4017</v>
      </c>
      <c r="I1935" t="s">
        <v>4024</v>
      </c>
      <c r="J1935" t="s">
        <v>4026</v>
      </c>
      <c r="K1935" s="2">
        <v>45057</v>
      </c>
      <c r="L1935" s="2">
        <v>45062</v>
      </c>
      <c r="N1935">
        <v>120</v>
      </c>
      <c r="O1935">
        <f>IF(Tickets[[#This Row],[Ticket Priority]]="Critical",24,
IF(Tickets[[#This Row],[Ticket Priority]]="High",48,
IF(Tickets[[#This Row],[Ticket Priority]]="Medium",120,168)))</f>
        <v>168</v>
      </c>
      <c r="P1935" t="str">
        <f>IF(Tickets[[#This Row],[Resolution Duration Hours]] &lt;= Tickets[[#This Row],[SLA_Target_Hours]], "Yes", "No")</f>
        <v>Yes</v>
      </c>
    </row>
    <row r="1936" spans="1:16" hidden="1">
      <c r="A1936">
        <v>1935</v>
      </c>
      <c r="B1936" t="s">
        <v>1922</v>
      </c>
      <c r="C1936" t="s">
        <v>3914</v>
      </c>
      <c r="D1936" t="s">
        <v>3992</v>
      </c>
      <c r="E1936" s="1">
        <v>44157</v>
      </c>
      <c r="F1936" t="s">
        <v>4002</v>
      </c>
      <c r="G1936" t="s">
        <v>4014</v>
      </c>
      <c r="H1936" t="s">
        <v>4017</v>
      </c>
      <c r="I1936" t="s">
        <v>4021</v>
      </c>
      <c r="J1936" t="s">
        <v>4027</v>
      </c>
      <c r="K1936" s="2">
        <v>44355</v>
      </c>
      <c r="L1936" s="2">
        <v>44357</v>
      </c>
      <c r="N1936">
        <v>48</v>
      </c>
      <c r="O1936">
        <f>IF(Tickets[[#This Row],[Ticket Priority]]="Critical",24,
IF(Tickets[[#This Row],[Ticket Priority]]="High",48,
IF(Tickets[[#This Row],[Ticket Priority]]="Medium",120,168)))</f>
        <v>48</v>
      </c>
      <c r="P1936" t="str">
        <f>IF(Tickets[[#This Row],[Resolution Duration Hours]] &lt;= Tickets[[#This Row],[SLA_Target_Hours]], "Yes", "No")</f>
        <v>Yes</v>
      </c>
    </row>
    <row r="1937" spans="1:16" hidden="1">
      <c r="A1937">
        <v>1936</v>
      </c>
      <c r="B1937" t="s">
        <v>743</v>
      </c>
      <c r="C1937" t="s">
        <v>3915</v>
      </c>
      <c r="D1937" t="s">
        <v>3979</v>
      </c>
      <c r="E1937" s="1">
        <v>44956</v>
      </c>
      <c r="F1937" t="s">
        <v>4002</v>
      </c>
      <c r="G1937" t="s">
        <v>4006</v>
      </c>
      <c r="H1937" t="s">
        <v>4020</v>
      </c>
      <c r="I1937" t="s">
        <v>4024</v>
      </c>
      <c r="J1937" t="s">
        <v>4026</v>
      </c>
      <c r="K1937" s="2">
        <v>45148</v>
      </c>
      <c r="L1937" s="2">
        <v>45149</v>
      </c>
      <c r="N1937">
        <v>24</v>
      </c>
      <c r="O1937">
        <f>IF(Tickets[[#This Row],[Ticket Priority]]="Critical",24,
IF(Tickets[[#This Row],[Ticket Priority]]="High",48,
IF(Tickets[[#This Row],[Ticket Priority]]="Medium",120,168)))</f>
        <v>168</v>
      </c>
      <c r="P1937" t="str">
        <f>IF(Tickets[[#This Row],[Resolution Duration Hours]] &lt;= Tickets[[#This Row],[SLA_Target_Hours]], "Yes", "No")</f>
        <v>Yes</v>
      </c>
    </row>
    <row r="1938" spans="1:16" hidden="1">
      <c r="A1938">
        <v>1937</v>
      </c>
      <c r="B1938" t="s">
        <v>1923</v>
      </c>
      <c r="C1938" t="s">
        <v>3916</v>
      </c>
      <c r="D1938" t="s">
        <v>3989</v>
      </c>
      <c r="E1938" s="1">
        <v>44258</v>
      </c>
      <c r="F1938" t="s">
        <v>4001</v>
      </c>
      <c r="G1938" t="s">
        <v>4012</v>
      </c>
      <c r="H1938" t="s">
        <v>4018</v>
      </c>
      <c r="I1938" t="s">
        <v>4024</v>
      </c>
      <c r="J1938" t="s">
        <v>4027</v>
      </c>
      <c r="K1938" s="2">
        <v>44258</v>
      </c>
      <c r="L1938" s="2">
        <v>44263</v>
      </c>
      <c r="M1938">
        <v>4</v>
      </c>
      <c r="N1938">
        <v>120</v>
      </c>
      <c r="O1938">
        <f>IF(Tickets[[#This Row],[Ticket Priority]]="Critical",24,
IF(Tickets[[#This Row],[Ticket Priority]]="High",48,
IF(Tickets[[#This Row],[Ticket Priority]]="Medium",120,168)))</f>
        <v>168</v>
      </c>
      <c r="P1938" t="str">
        <f>IF(Tickets[[#This Row],[Resolution Duration Hours]] &lt;= Tickets[[#This Row],[SLA_Target_Hours]], "Yes", "No")</f>
        <v>Yes</v>
      </c>
    </row>
    <row r="1939" spans="1:16" hidden="1">
      <c r="A1939">
        <v>1938</v>
      </c>
      <c r="B1939" t="s">
        <v>1924</v>
      </c>
      <c r="C1939" t="s">
        <v>3917</v>
      </c>
      <c r="D1939" t="s">
        <v>3997</v>
      </c>
      <c r="E1939" s="1">
        <v>44859</v>
      </c>
      <c r="F1939" t="s">
        <v>3999</v>
      </c>
      <c r="G1939" t="s">
        <v>4009</v>
      </c>
      <c r="H1939" t="s">
        <v>4017</v>
      </c>
      <c r="I1939" t="s">
        <v>4023</v>
      </c>
      <c r="J1939" t="s">
        <v>4026</v>
      </c>
      <c r="K1939" s="2">
        <v>45114</v>
      </c>
      <c r="L1939" s="2">
        <v>45118</v>
      </c>
      <c r="N1939">
        <v>96</v>
      </c>
      <c r="O1939">
        <f>IF(Tickets[[#This Row],[Ticket Priority]]="Critical",24,
IF(Tickets[[#This Row],[Ticket Priority]]="High",48,
IF(Tickets[[#This Row],[Ticket Priority]]="Medium",120,168)))</f>
        <v>120</v>
      </c>
      <c r="P1939" t="str">
        <f>IF(Tickets[[#This Row],[Resolution Duration Hours]] &lt;= Tickets[[#This Row],[SLA_Target_Hours]], "Yes", "No")</f>
        <v>Yes</v>
      </c>
    </row>
    <row r="1940" spans="1:16" hidden="1">
      <c r="A1940">
        <v>1939</v>
      </c>
      <c r="B1940" t="s">
        <v>1925</v>
      </c>
      <c r="C1940" t="s">
        <v>3918</v>
      </c>
      <c r="D1940" t="s">
        <v>3996</v>
      </c>
      <c r="E1940" s="1">
        <v>43926</v>
      </c>
      <c r="F1940" t="s">
        <v>3999</v>
      </c>
      <c r="G1940" t="s">
        <v>4009</v>
      </c>
      <c r="H1940" t="s">
        <v>4020</v>
      </c>
      <c r="I1940" t="s">
        <v>4021</v>
      </c>
      <c r="J1940" t="s">
        <v>4026</v>
      </c>
      <c r="K1940" s="2">
        <v>44185</v>
      </c>
      <c r="L1940" s="2">
        <v>44186</v>
      </c>
      <c r="N1940">
        <v>24</v>
      </c>
      <c r="O1940">
        <f>IF(Tickets[[#This Row],[Ticket Priority]]="Critical",24,
IF(Tickets[[#This Row],[Ticket Priority]]="High",48,
IF(Tickets[[#This Row],[Ticket Priority]]="Medium",120,168)))</f>
        <v>48</v>
      </c>
      <c r="P1940" t="str">
        <f>IF(Tickets[[#This Row],[Resolution Duration Hours]] &lt;= Tickets[[#This Row],[SLA_Target_Hours]], "Yes", "No")</f>
        <v>Yes</v>
      </c>
    </row>
    <row r="1941" spans="1:16" hidden="1">
      <c r="A1941">
        <v>1940</v>
      </c>
      <c r="B1941" t="s">
        <v>1926</v>
      </c>
      <c r="C1941" t="s">
        <v>3919</v>
      </c>
      <c r="D1941" t="s">
        <v>3982</v>
      </c>
      <c r="E1941" s="1">
        <v>44271</v>
      </c>
      <c r="F1941" t="s">
        <v>3999</v>
      </c>
      <c r="G1941" t="s">
        <v>4014</v>
      </c>
      <c r="H1941" t="s">
        <v>4018</v>
      </c>
      <c r="I1941" t="s">
        <v>4024</v>
      </c>
      <c r="J1941" t="s">
        <v>4026</v>
      </c>
      <c r="K1941" s="2">
        <v>44474</v>
      </c>
      <c r="L1941" s="2">
        <v>44481</v>
      </c>
      <c r="M1941">
        <v>2</v>
      </c>
      <c r="N1941">
        <v>168</v>
      </c>
      <c r="O1941">
        <f>IF(Tickets[[#This Row],[Ticket Priority]]="Critical",24,
IF(Tickets[[#This Row],[Ticket Priority]]="High",48,
IF(Tickets[[#This Row],[Ticket Priority]]="Medium",120,168)))</f>
        <v>168</v>
      </c>
      <c r="P1941" t="str">
        <f>IF(Tickets[[#This Row],[Resolution Duration Hours]] &lt;= Tickets[[#This Row],[SLA_Target_Hours]], "Yes", "No")</f>
        <v>Yes</v>
      </c>
    </row>
    <row r="1942" spans="1:16" hidden="1">
      <c r="A1942">
        <v>1941</v>
      </c>
      <c r="B1942" t="s">
        <v>1927</v>
      </c>
      <c r="C1942" t="s">
        <v>3920</v>
      </c>
      <c r="D1942" t="s">
        <v>3992</v>
      </c>
      <c r="E1942" s="1">
        <v>44179</v>
      </c>
      <c r="F1942" t="s">
        <v>4000</v>
      </c>
      <c r="G1942" t="s">
        <v>4007</v>
      </c>
      <c r="H1942" t="s">
        <v>4017</v>
      </c>
      <c r="I1942" t="s">
        <v>4021</v>
      </c>
      <c r="J1942" t="s">
        <v>4026</v>
      </c>
      <c r="K1942" s="2">
        <v>44421</v>
      </c>
      <c r="L1942" s="2">
        <v>44422</v>
      </c>
      <c r="N1942">
        <v>24</v>
      </c>
      <c r="O1942">
        <f>IF(Tickets[[#This Row],[Ticket Priority]]="Critical",24,
IF(Tickets[[#This Row],[Ticket Priority]]="High",48,
IF(Tickets[[#This Row],[Ticket Priority]]="Medium",120,168)))</f>
        <v>48</v>
      </c>
      <c r="P1942" t="str">
        <f>IF(Tickets[[#This Row],[Resolution Duration Hours]] &lt;= Tickets[[#This Row],[SLA_Target_Hours]], "Yes", "No")</f>
        <v>Yes</v>
      </c>
    </row>
    <row r="1943" spans="1:16" hidden="1">
      <c r="A1943">
        <v>1942</v>
      </c>
      <c r="B1943" t="s">
        <v>1374</v>
      </c>
      <c r="C1943" t="s">
        <v>3921</v>
      </c>
      <c r="D1943" t="s">
        <v>3991</v>
      </c>
      <c r="E1943" s="1">
        <v>44577</v>
      </c>
      <c r="F1943" t="s">
        <v>3998</v>
      </c>
      <c r="G1943" t="s">
        <v>4012</v>
      </c>
      <c r="H1943" t="s">
        <v>4018</v>
      </c>
      <c r="I1943" t="s">
        <v>4023</v>
      </c>
      <c r="J1943" t="s">
        <v>4026</v>
      </c>
      <c r="K1943" s="2">
        <v>44619</v>
      </c>
      <c r="L1943" s="2">
        <v>44623</v>
      </c>
      <c r="M1943">
        <v>3</v>
      </c>
      <c r="N1943">
        <v>96</v>
      </c>
      <c r="O1943">
        <f>IF(Tickets[[#This Row],[Ticket Priority]]="Critical",24,
IF(Tickets[[#This Row],[Ticket Priority]]="High",48,
IF(Tickets[[#This Row],[Ticket Priority]]="Medium",120,168)))</f>
        <v>120</v>
      </c>
      <c r="P1943" t="str">
        <f>IF(Tickets[[#This Row],[Resolution Duration Hours]] &lt;= Tickets[[#This Row],[SLA_Target_Hours]], "Yes", "No")</f>
        <v>Yes</v>
      </c>
    </row>
    <row r="1944" spans="1:16" hidden="1">
      <c r="A1944">
        <v>1943</v>
      </c>
      <c r="B1944" t="s">
        <v>1928</v>
      </c>
      <c r="C1944" t="s">
        <v>3922</v>
      </c>
      <c r="D1944" t="s">
        <v>3983</v>
      </c>
      <c r="E1944" s="1">
        <v>44622</v>
      </c>
      <c r="F1944" t="s">
        <v>4000</v>
      </c>
      <c r="G1944" t="s">
        <v>4005</v>
      </c>
      <c r="H1944" t="s">
        <v>4018</v>
      </c>
      <c r="I1944" t="s">
        <v>4021</v>
      </c>
      <c r="J1944" t="s">
        <v>4026</v>
      </c>
      <c r="K1944" s="2">
        <v>44832</v>
      </c>
      <c r="L1944" s="2">
        <v>44834</v>
      </c>
      <c r="M1944">
        <v>4</v>
      </c>
      <c r="N1944">
        <v>48</v>
      </c>
      <c r="O1944">
        <f>IF(Tickets[[#This Row],[Ticket Priority]]="Critical",24,
IF(Tickets[[#This Row],[Ticket Priority]]="High",48,
IF(Tickets[[#This Row],[Ticket Priority]]="Medium",120,168)))</f>
        <v>48</v>
      </c>
      <c r="P1944" t="str">
        <f>IF(Tickets[[#This Row],[Resolution Duration Hours]] &lt;= Tickets[[#This Row],[SLA_Target_Hours]], "Yes", "No")</f>
        <v>Yes</v>
      </c>
    </row>
    <row r="1945" spans="1:16" hidden="1">
      <c r="A1945">
        <v>1944</v>
      </c>
      <c r="B1945" t="s">
        <v>1929</v>
      </c>
      <c r="C1945" t="s">
        <v>3923</v>
      </c>
      <c r="D1945" t="s">
        <v>3985</v>
      </c>
      <c r="E1945" s="1">
        <v>44633</v>
      </c>
      <c r="F1945" t="s">
        <v>4000</v>
      </c>
      <c r="G1945" t="s">
        <v>4003</v>
      </c>
      <c r="H1945" t="s">
        <v>4019</v>
      </c>
      <c r="I1945" t="s">
        <v>4024</v>
      </c>
      <c r="J1945" t="s">
        <v>4026</v>
      </c>
      <c r="K1945" s="2">
        <v>44963</v>
      </c>
      <c r="L1945" s="2">
        <v>44969</v>
      </c>
      <c r="M1945">
        <v>4</v>
      </c>
      <c r="N1945">
        <v>144</v>
      </c>
      <c r="O1945">
        <f>IF(Tickets[[#This Row],[Ticket Priority]]="Critical",24,
IF(Tickets[[#This Row],[Ticket Priority]]="High",48,
IF(Tickets[[#This Row],[Ticket Priority]]="Medium",120,168)))</f>
        <v>168</v>
      </c>
      <c r="P1945" t="str">
        <f>IF(Tickets[[#This Row],[Resolution Duration Hours]] &lt;= Tickets[[#This Row],[SLA_Target_Hours]], "Yes", "No")</f>
        <v>Yes</v>
      </c>
    </row>
    <row r="1946" spans="1:16" hidden="1">
      <c r="A1946">
        <v>1945</v>
      </c>
      <c r="B1946" t="s">
        <v>1930</v>
      </c>
      <c r="C1946" t="s">
        <v>3924</v>
      </c>
      <c r="D1946" t="s">
        <v>3990</v>
      </c>
      <c r="E1946" s="1">
        <v>45008</v>
      </c>
      <c r="F1946" t="s">
        <v>4001</v>
      </c>
      <c r="G1946" t="s">
        <v>4005</v>
      </c>
      <c r="H1946" t="s">
        <v>4017</v>
      </c>
      <c r="I1946" t="s">
        <v>4023</v>
      </c>
      <c r="J1946" t="s">
        <v>4026</v>
      </c>
      <c r="K1946" s="2">
        <v>45327</v>
      </c>
      <c r="L1946" s="2">
        <v>45329</v>
      </c>
      <c r="N1946">
        <v>48</v>
      </c>
      <c r="O1946">
        <f>IF(Tickets[[#This Row],[Ticket Priority]]="Critical",24,
IF(Tickets[[#This Row],[Ticket Priority]]="High",48,
IF(Tickets[[#This Row],[Ticket Priority]]="Medium",120,168)))</f>
        <v>120</v>
      </c>
      <c r="P1946" t="str">
        <f>IF(Tickets[[#This Row],[Resolution Duration Hours]] &lt;= Tickets[[#This Row],[SLA_Target_Hours]], "Yes", "No")</f>
        <v>Yes</v>
      </c>
    </row>
    <row r="1947" spans="1:16" hidden="1">
      <c r="A1947">
        <v>1946</v>
      </c>
      <c r="B1947" t="s">
        <v>1931</v>
      </c>
      <c r="C1947" t="s">
        <v>3925</v>
      </c>
      <c r="D1947" t="s">
        <v>3991</v>
      </c>
      <c r="E1947" s="1">
        <v>44062</v>
      </c>
      <c r="F1947" t="s">
        <v>4001</v>
      </c>
      <c r="G1947" t="s">
        <v>4014</v>
      </c>
      <c r="H1947" t="s">
        <v>4020</v>
      </c>
      <c r="I1947" t="s">
        <v>4023</v>
      </c>
      <c r="J1947" t="s">
        <v>4026</v>
      </c>
      <c r="K1947" s="2">
        <v>44082</v>
      </c>
      <c r="L1947" s="2">
        <v>44085</v>
      </c>
      <c r="N1947">
        <v>72</v>
      </c>
      <c r="O1947">
        <f>IF(Tickets[[#This Row],[Ticket Priority]]="Critical",24,
IF(Tickets[[#This Row],[Ticket Priority]]="High",48,
IF(Tickets[[#This Row],[Ticket Priority]]="Medium",120,168)))</f>
        <v>120</v>
      </c>
      <c r="P1947" t="str">
        <f>IF(Tickets[[#This Row],[Resolution Duration Hours]] &lt;= Tickets[[#This Row],[SLA_Target_Hours]], "Yes", "No")</f>
        <v>Yes</v>
      </c>
    </row>
    <row r="1948" spans="1:16" hidden="1">
      <c r="A1948">
        <v>1947</v>
      </c>
      <c r="B1948" t="s">
        <v>1932</v>
      </c>
      <c r="C1948" t="s">
        <v>2827</v>
      </c>
      <c r="D1948" t="s">
        <v>3985</v>
      </c>
      <c r="E1948" s="1">
        <v>44131</v>
      </c>
      <c r="F1948" t="s">
        <v>4001</v>
      </c>
      <c r="G1948" t="s">
        <v>4015</v>
      </c>
      <c r="H1948" t="s">
        <v>4018</v>
      </c>
      <c r="I1948" t="s">
        <v>4021</v>
      </c>
      <c r="J1948" t="s">
        <v>4027</v>
      </c>
      <c r="K1948" s="2">
        <v>44179</v>
      </c>
      <c r="L1948" s="2">
        <v>44181</v>
      </c>
      <c r="M1948">
        <v>4</v>
      </c>
      <c r="N1948">
        <v>48</v>
      </c>
      <c r="O1948">
        <f>IF(Tickets[[#This Row],[Ticket Priority]]="Critical",24,
IF(Tickets[[#This Row],[Ticket Priority]]="High",48,
IF(Tickets[[#This Row],[Ticket Priority]]="Medium",120,168)))</f>
        <v>48</v>
      </c>
      <c r="P1948" t="str">
        <f>IF(Tickets[[#This Row],[Resolution Duration Hours]] &lt;= Tickets[[#This Row],[SLA_Target_Hours]], "Yes", "No")</f>
        <v>Yes</v>
      </c>
    </row>
    <row r="1949" spans="1:16" hidden="1">
      <c r="A1949">
        <v>1948</v>
      </c>
      <c r="B1949" t="s">
        <v>1933</v>
      </c>
      <c r="C1949" t="s">
        <v>3926</v>
      </c>
      <c r="D1949" t="s">
        <v>3985</v>
      </c>
      <c r="E1949" s="1">
        <v>44741</v>
      </c>
      <c r="F1949" t="s">
        <v>4001</v>
      </c>
      <c r="G1949" t="s">
        <v>4004</v>
      </c>
      <c r="H1949" t="s">
        <v>4017</v>
      </c>
      <c r="I1949" t="s">
        <v>4023</v>
      </c>
      <c r="J1949" t="s">
        <v>4025</v>
      </c>
      <c r="K1949" s="2">
        <v>44963</v>
      </c>
      <c r="L1949" s="2">
        <v>44966</v>
      </c>
      <c r="N1949">
        <v>72</v>
      </c>
      <c r="O1949">
        <f>IF(Tickets[[#This Row],[Ticket Priority]]="Critical",24,
IF(Tickets[[#This Row],[Ticket Priority]]="High",48,
IF(Tickets[[#This Row],[Ticket Priority]]="Medium",120,168)))</f>
        <v>120</v>
      </c>
      <c r="P1949" t="str">
        <f>IF(Tickets[[#This Row],[Resolution Duration Hours]] &lt;= Tickets[[#This Row],[SLA_Target_Hours]], "Yes", "No")</f>
        <v>Yes</v>
      </c>
    </row>
    <row r="1950" spans="1:16" hidden="1">
      <c r="A1950">
        <v>1949</v>
      </c>
      <c r="B1950" t="s">
        <v>1934</v>
      </c>
      <c r="C1950" t="s">
        <v>3927</v>
      </c>
      <c r="D1950" t="s">
        <v>3983</v>
      </c>
      <c r="E1950" s="1">
        <v>44211</v>
      </c>
      <c r="F1950" t="s">
        <v>4001</v>
      </c>
      <c r="G1950" t="s">
        <v>4010</v>
      </c>
      <c r="H1950" t="s">
        <v>4018</v>
      </c>
      <c r="I1950" t="s">
        <v>4022</v>
      </c>
      <c r="J1950" t="s">
        <v>4025</v>
      </c>
      <c r="K1950" s="2">
        <v>44345</v>
      </c>
      <c r="L1950" s="2">
        <v>44346</v>
      </c>
      <c r="M1950">
        <v>5</v>
      </c>
      <c r="N1950">
        <v>24</v>
      </c>
      <c r="O1950">
        <f>IF(Tickets[[#This Row],[Ticket Priority]]="Critical",24,
IF(Tickets[[#This Row],[Ticket Priority]]="High",48,
IF(Tickets[[#This Row],[Ticket Priority]]="Medium",120,168)))</f>
        <v>24</v>
      </c>
      <c r="P1950" t="str">
        <f>IF(Tickets[[#This Row],[Resolution Duration Hours]] &lt;= Tickets[[#This Row],[SLA_Target_Hours]], "Yes", "No")</f>
        <v>Yes</v>
      </c>
    </row>
    <row r="1951" spans="1:16" hidden="1">
      <c r="A1951">
        <v>1950</v>
      </c>
      <c r="B1951" t="s">
        <v>1935</v>
      </c>
      <c r="C1951" t="s">
        <v>3928</v>
      </c>
      <c r="D1951" t="s">
        <v>3982</v>
      </c>
      <c r="E1951" s="1">
        <v>44704</v>
      </c>
      <c r="F1951" t="s">
        <v>3998</v>
      </c>
      <c r="G1951" t="s">
        <v>4007</v>
      </c>
      <c r="H1951" t="s">
        <v>4018</v>
      </c>
      <c r="I1951" t="s">
        <v>4024</v>
      </c>
      <c r="J1951" t="s">
        <v>4025</v>
      </c>
      <c r="K1951" s="2">
        <v>44995</v>
      </c>
      <c r="L1951" s="2">
        <v>44996</v>
      </c>
      <c r="M1951">
        <v>5</v>
      </c>
      <c r="N1951">
        <v>24</v>
      </c>
      <c r="O1951">
        <f>IF(Tickets[[#This Row],[Ticket Priority]]="Critical",24,
IF(Tickets[[#This Row],[Ticket Priority]]="High",48,
IF(Tickets[[#This Row],[Ticket Priority]]="Medium",120,168)))</f>
        <v>168</v>
      </c>
      <c r="P1951" t="str">
        <f>IF(Tickets[[#This Row],[Resolution Duration Hours]] &lt;= Tickets[[#This Row],[SLA_Target_Hours]], "Yes", "No")</f>
        <v>Yes</v>
      </c>
    </row>
    <row r="1952" spans="1:16" hidden="1">
      <c r="A1952">
        <v>1951</v>
      </c>
      <c r="B1952" t="s">
        <v>1936</v>
      </c>
      <c r="C1952" t="s">
        <v>3929</v>
      </c>
      <c r="D1952" t="s">
        <v>3996</v>
      </c>
      <c r="E1952" s="1">
        <v>44556</v>
      </c>
      <c r="F1952" t="s">
        <v>4002</v>
      </c>
      <c r="G1952" t="s">
        <v>4005</v>
      </c>
      <c r="H1952" t="s">
        <v>4018</v>
      </c>
      <c r="I1952" t="s">
        <v>4024</v>
      </c>
      <c r="J1952" t="s">
        <v>4028</v>
      </c>
      <c r="K1952" s="2">
        <v>44882</v>
      </c>
      <c r="L1952" s="2">
        <v>44888</v>
      </c>
      <c r="M1952">
        <v>4</v>
      </c>
      <c r="N1952">
        <v>144</v>
      </c>
      <c r="O1952">
        <f>IF(Tickets[[#This Row],[Ticket Priority]]="Critical",24,
IF(Tickets[[#This Row],[Ticket Priority]]="High",48,
IF(Tickets[[#This Row],[Ticket Priority]]="Medium",120,168)))</f>
        <v>168</v>
      </c>
      <c r="P1952" t="str">
        <f>IF(Tickets[[#This Row],[Resolution Duration Hours]] &lt;= Tickets[[#This Row],[SLA_Target_Hours]], "Yes", "No")</f>
        <v>Yes</v>
      </c>
    </row>
    <row r="1953" spans="1:16">
      <c r="A1953">
        <v>1439</v>
      </c>
      <c r="B1953" t="s">
        <v>1167</v>
      </c>
      <c r="C1953" t="s">
        <v>3419</v>
      </c>
      <c r="D1953" t="s">
        <v>3981</v>
      </c>
      <c r="E1953" s="1">
        <v>43957</v>
      </c>
      <c r="F1953" t="s">
        <v>4000</v>
      </c>
      <c r="G1953" t="s">
        <v>4005</v>
      </c>
      <c r="H1953" t="s">
        <v>4018</v>
      </c>
      <c r="I1953" t="s">
        <v>4021</v>
      </c>
      <c r="J1953" t="s">
        <v>4026</v>
      </c>
      <c r="K1953" s="2">
        <v>43984</v>
      </c>
      <c r="L1953" s="2">
        <v>43987</v>
      </c>
      <c r="M1953">
        <v>3</v>
      </c>
      <c r="N1953">
        <v>72</v>
      </c>
      <c r="O1953">
        <f>IF(Tickets[[#This Row],[Ticket Priority]]="Critical",24,
IF(Tickets[[#This Row],[Ticket Priority]]="High",48,
IF(Tickets[[#This Row],[Ticket Priority]]="Medium",120,168)))</f>
        <v>48</v>
      </c>
      <c r="P1953" t="str">
        <f>IF(Tickets[[#This Row],[Resolution Duration Hours]] &lt;= Tickets[[#This Row],[SLA_Target_Hours]], "Yes", "No")</f>
        <v>No</v>
      </c>
    </row>
    <row r="1954" spans="1:16" hidden="1">
      <c r="A1954">
        <v>1953</v>
      </c>
      <c r="B1954" t="s">
        <v>1938</v>
      </c>
      <c r="C1954" t="s">
        <v>3931</v>
      </c>
      <c r="D1954" t="s">
        <v>3986</v>
      </c>
      <c r="E1954" s="1">
        <v>44745</v>
      </c>
      <c r="F1954" t="s">
        <v>4000</v>
      </c>
      <c r="G1954" t="s">
        <v>4004</v>
      </c>
      <c r="H1954" t="s">
        <v>4020</v>
      </c>
      <c r="I1954" t="s">
        <v>4023</v>
      </c>
      <c r="J1954" t="s">
        <v>4026</v>
      </c>
      <c r="K1954" s="2">
        <v>45098</v>
      </c>
      <c r="L1954" s="2">
        <v>45099</v>
      </c>
      <c r="N1954">
        <v>24</v>
      </c>
      <c r="O1954">
        <f>IF(Tickets[[#This Row],[Ticket Priority]]="Critical",24,
IF(Tickets[[#This Row],[Ticket Priority]]="High",48,
IF(Tickets[[#This Row],[Ticket Priority]]="Medium",120,168)))</f>
        <v>120</v>
      </c>
      <c r="P1954" t="str">
        <f>IF(Tickets[[#This Row],[Resolution Duration Hours]] &lt;= Tickets[[#This Row],[SLA_Target_Hours]], "Yes", "No")</f>
        <v>Yes</v>
      </c>
    </row>
    <row r="1955" spans="1:16" hidden="1">
      <c r="A1955">
        <v>1954</v>
      </c>
      <c r="B1955" t="s">
        <v>421</v>
      </c>
      <c r="C1955" t="s">
        <v>3932</v>
      </c>
      <c r="D1955" t="s">
        <v>3980</v>
      </c>
      <c r="E1955" s="1">
        <v>45059</v>
      </c>
      <c r="F1955" t="s">
        <v>3998</v>
      </c>
      <c r="G1955" t="s">
        <v>4009</v>
      </c>
      <c r="H1955" t="s">
        <v>4020</v>
      </c>
      <c r="I1955" t="s">
        <v>4021</v>
      </c>
      <c r="J1955" t="s">
        <v>4026</v>
      </c>
      <c r="K1955" s="2">
        <v>45417</v>
      </c>
      <c r="L1955" s="2">
        <v>45418</v>
      </c>
      <c r="N1955">
        <v>24</v>
      </c>
      <c r="O1955">
        <f>IF(Tickets[[#This Row],[Ticket Priority]]="Critical",24,
IF(Tickets[[#This Row],[Ticket Priority]]="High",48,
IF(Tickets[[#This Row],[Ticket Priority]]="Medium",120,168)))</f>
        <v>48</v>
      </c>
      <c r="P1955" t="str">
        <f>IF(Tickets[[#This Row],[Resolution Duration Hours]] &lt;= Tickets[[#This Row],[SLA_Target_Hours]], "Yes", "No")</f>
        <v>Yes</v>
      </c>
    </row>
    <row r="1956" spans="1:16" hidden="1">
      <c r="A1956">
        <v>1955</v>
      </c>
      <c r="B1956" t="s">
        <v>1939</v>
      </c>
      <c r="C1956" t="s">
        <v>3933</v>
      </c>
      <c r="D1956" t="s">
        <v>3990</v>
      </c>
      <c r="E1956" s="1">
        <v>44090</v>
      </c>
      <c r="F1956" t="s">
        <v>4001</v>
      </c>
      <c r="G1956" t="s">
        <v>4005</v>
      </c>
      <c r="H1956" t="s">
        <v>4018</v>
      </c>
      <c r="I1956" t="s">
        <v>4021</v>
      </c>
      <c r="J1956" t="s">
        <v>4028</v>
      </c>
      <c r="K1956" s="2">
        <v>44384</v>
      </c>
      <c r="L1956" s="2">
        <v>44385</v>
      </c>
      <c r="N1956">
        <v>24</v>
      </c>
      <c r="O1956">
        <f>IF(Tickets[[#This Row],[Ticket Priority]]="Critical",24,
IF(Tickets[[#This Row],[Ticket Priority]]="High",48,
IF(Tickets[[#This Row],[Ticket Priority]]="Medium",120,168)))</f>
        <v>48</v>
      </c>
      <c r="P1956" t="str">
        <f>IF(Tickets[[#This Row],[Resolution Duration Hours]] &lt;= Tickets[[#This Row],[SLA_Target_Hours]], "Yes", "No")</f>
        <v>Yes</v>
      </c>
    </row>
    <row r="1957" spans="1:16" hidden="1">
      <c r="A1957">
        <v>1956</v>
      </c>
      <c r="B1957" t="s">
        <v>1940</v>
      </c>
      <c r="C1957" t="s">
        <v>3934</v>
      </c>
      <c r="D1957" t="s">
        <v>3995</v>
      </c>
      <c r="E1957" s="1">
        <v>44344</v>
      </c>
      <c r="F1957" t="s">
        <v>4002</v>
      </c>
      <c r="G1957" t="s">
        <v>4015</v>
      </c>
      <c r="H1957" t="s">
        <v>4017</v>
      </c>
      <c r="I1957" t="s">
        <v>4024</v>
      </c>
      <c r="J1957" t="s">
        <v>4026</v>
      </c>
      <c r="K1957" s="2">
        <v>44553</v>
      </c>
      <c r="L1957" s="2">
        <v>44557</v>
      </c>
      <c r="N1957">
        <v>96</v>
      </c>
      <c r="O1957">
        <f>IF(Tickets[[#This Row],[Ticket Priority]]="Critical",24,
IF(Tickets[[#This Row],[Ticket Priority]]="High",48,
IF(Tickets[[#This Row],[Ticket Priority]]="Medium",120,168)))</f>
        <v>168</v>
      </c>
      <c r="P1957" t="str">
        <f>IF(Tickets[[#This Row],[Resolution Duration Hours]] &lt;= Tickets[[#This Row],[SLA_Target_Hours]], "Yes", "No")</f>
        <v>Yes</v>
      </c>
    </row>
    <row r="1958" spans="1:16">
      <c r="A1958">
        <v>1560</v>
      </c>
      <c r="B1958" t="s">
        <v>1556</v>
      </c>
      <c r="C1958" t="s">
        <v>3540</v>
      </c>
      <c r="D1958" t="s">
        <v>3994</v>
      </c>
      <c r="E1958" s="1">
        <v>44944</v>
      </c>
      <c r="F1958" t="s">
        <v>4000</v>
      </c>
      <c r="G1958" t="s">
        <v>4010</v>
      </c>
      <c r="H1958" t="s">
        <v>4018</v>
      </c>
      <c r="I1958" t="s">
        <v>4021</v>
      </c>
      <c r="J1958" t="s">
        <v>4026</v>
      </c>
      <c r="K1958" s="2">
        <v>45131</v>
      </c>
      <c r="L1958" s="2">
        <v>45134</v>
      </c>
      <c r="M1958">
        <v>3</v>
      </c>
      <c r="N1958">
        <v>72</v>
      </c>
      <c r="O1958">
        <f>IF(Tickets[[#This Row],[Ticket Priority]]="Critical",24,
IF(Tickets[[#This Row],[Ticket Priority]]="High",48,
IF(Tickets[[#This Row],[Ticket Priority]]="Medium",120,168)))</f>
        <v>48</v>
      </c>
      <c r="P1958" t="str">
        <f>IF(Tickets[[#This Row],[Resolution Duration Hours]] &lt;= Tickets[[#This Row],[SLA_Target_Hours]], "Yes", "No")</f>
        <v>No</v>
      </c>
    </row>
    <row r="1959" spans="1:16" hidden="1">
      <c r="A1959">
        <v>1958</v>
      </c>
      <c r="B1959" t="s">
        <v>1942</v>
      </c>
      <c r="C1959" t="s">
        <v>3936</v>
      </c>
      <c r="D1959" t="s">
        <v>3982</v>
      </c>
      <c r="E1959" s="1">
        <v>44194</v>
      </c>
      <c r="F1959" t="s">
        <v>4002</v>
      </c>
      <c r="G1959" t="s">
        <v>4006</v>
      </c>
      <c r="H1959" t="s">
        <v>4019</v>
      </c>
      <c r="I1959" t="s">
        <v>4023</v>
      </c>
      <c r="J1959" t="s">
        <v>4028</v>
      </c>
      <c r="K1959" s="2">
        <v>44332</v>
      </c>
      <c r="L1959" s="2">
        <v>44334</v>
      </c>
      <c r="M1959">
        <v>4</v>
      </c>
      <c r="N1959">
        <v>48</v>
      </c>
      <c r="O1959">
        <f>IF(Tickets[[#This Row],[Ticket Priority]]="Critical",24,
IF(Tickets[[#This Row],[Ticket Priority]]="High",48,
IF(Tickets[[#This Row],[Ticket Priority]]="Medium",120,168)))</f>
        <v>120</v>
      </c>
      <c r="P1959" t="str">
        <f>IF(Tickets[[#This Row],[Resolution Duration Hours]] &lt;= Tickets[[#This Row],[SLA_Target_Hours]], "Yes", "No")</f>
        <v>Yes</v>
      </c>
    </row>
    <row r="1960" spans="1:16" hidden="1">
      <c r="A1960">
        <v>1959</v>
      </c>
      <c r="B1960" t="s">
        <v>1943</v>
      </c>
      <c r="C1960" t="s">
        <v>3937</v>
      </c>
      <c r="D1960" t="s">
        <v>3982</v>
      </c>
      <c r="E1960" s="1">
        <v>44858</v>
      </c>
      <c r="F1960" t="s">
        <v>4000</v>
      </c>
      <c r="G1960" t="s">
        <v>4008</v>
      </c>
      <c r="H1960" t="s">
        <v>4018</v>
      </c>
      <c r="I1960" t="s">
        <v>4024</v>
      </c>
      <c r="J1960" t="s">
        <v>4026</v>
      </c>
      <c r="K1960" s="2">
        <v>45195</v>
      </c>
      <c r="L1960" s="2">
        <v>45202</v>
      </c>
      <c r="M1960">
        <v>3</v>
      </c>
      <c r="N1960">
        <v>168</v>
      </c>
      <c r="O1960">
        <f>IF(Tickets[[#This Row],[Ticket Priority]]="Critical",24,
IF(Tickets[[#This Row],[Ticket Priority]]="High",48,
IF(Tickets[[#This Row],[Ticket Priority]]="Medium",120,168)))</f>
        <v>168</v>
      </c>
      <c r="P1960" t="str">
        <f>IF(Tickets[[#This Row],[Resolution Duration Hours]] &lt;= Tickets[[#This Row],[SLA_Target_Hours]], "Yes", "No")</f>
        <v>Yes</v>
      </c>
    </row>
    <row r="1961" spans="1:16" hidden="1">
      <c r="A1961">
        <v>1960</v>
      </c>
      <c r="B1961" t="s">
        <v>1944</v>
      </c>
      <c r="C1961" t="s">
        <v>3938</v>
      </c>
      <c r="D1961" t="s">
        <v>3993</v>
      </c>
      <c r="E1961" s="1">
        <v>44897</v>
      </c>
      <c r="F1961" t="s">
        <v>4002</v>
      </c>
      <c r="G1961" t="s">
        <v>4005</v>
      </c>
      <c r="H1961" t="s">
        <v>4018</v>
      </c>
      <c r="I1961" t="s">
        <v>4023</v>
      </c>
      <c r="J1961" t="s">
        <v>4027</v>
      </c>
      <c r="K1961" s="2">
        <v>45013</v>
      </c>
      <c r="L1961" s="2">
        <v>45016</v>
      </c>
      <c r="M1961">
        <v>4</v>
      </c>
      <c r="N1961">
        <v>72</v>
      </c>
      <c r="O1961">
        <f>IF(Tickets[[#This Row],[Ticket Priority]]="Critical",24,
IF(Tickets[[#This Row],[Ticket Priority]]="High",48,
IF(Tickets[[#This Row],[Ticket Priority]]="Medium",120,168)))</f>
        <v>120</v>
      </c>
      <c r="P1961" t="str">
        <f>IF(Tickets[[#This Row],[Resolution Duration Hours]] &lt;= Tickets[[#This Row],[SLA_Target_Hours]], "Yes", "No")</f>
        <v>Yes</v>
      </c>
    </row>
    <row r="1962" spans="1:16" hidden="1">
      <c r="A1962">
        <v>1961</v>
      </c>
      <c r="B1962" t="s">
        <v>1945</v>
      </c>
      <c r="C1962" t="s">
        <v>3939</v>
      </c>
      <c r="D1962" t="s">
        <v>3995</v>
      </c>
      <c r="E1962" s="1">
        <v>43885</v>
      </c>
      <c r="F1962" t="s">
        <v>4000</v>
      </c>
      <c r="G1962" t="s">
        <v>4014</v>
      </c>
      <c r="H1962" t="s">
        <v>4020</v>
      </c>
      <c r="I1962" t="s">
        <v>4023</v>
      </c>
      <c r="J1962" t="s">
        <v>4025</v>
      </c>
      <c r="K1962" s="2">
        <v>43927</v>
      </c>
      <c r="L1962" s="2">
        <v>43930</v>
      </c>
      <c r="N1962">
        <v>72</v>
      </c>
      <c r="O1962">
        <f>IF(Tickets[[#This Row],[Ticket Priority]]="Critical",24,
IF(Tickets[[#This Row],[Ticket Priority]]="High",48,
IF(Tickets[[#This Row],[Ticket Priority]]="Medium",120,168)))</f>
        <v>120</v>
      </c>
      <c r="P1962" t="str">
        <f>IF(Tickets[[#This Row],[Resolution Duration Hours]] &lt;= Tickets[[#This Row],[SLA_Target_Hours]], "Yes", "No")</f>
        <v>Yes</v>
      </c>
    </row>
    <row r="1963" spans="1:16" hidden="1">
      <c r="A1963">
        <v>1962</v>
      </c>
      <c r="B1963" t="s">
        <v>1946</v>
      </c>
      <c r="C1963" t="s">
        <v>3940</v>
      </c>
      <c r="D1963" t="s">
        <v>3996</v>
      </c>
      <c r="E1963" s="1">
        <v>44069</v>
      </c>
      <c r="F1963" t="s">
        <v>4002</v>
      </c>
      <c r="G1963" t="s">
        <v>4013</v>
      </c>
      <c r="H1963" t="s">
        <v>4017</v>
      </c>
      <c r="I1963" t="s">
        <v>4023</v>
      </c>
      <c r="J1963" t="s">
        <v>4026</v>
      </c>
      <c r="K1963" s="2">
        <v>44301</v>
      </c>
      <c r="L1963" s="2">
        <v>44304</v>
      </c>
      <c r="N1963">
        <v>72</v>
      </c>
      <c r="O1963">
        <f>IF(Tickets[[#This Row],[Ticket Priority]]="Critical",24,
IF(Tickets[[#This Row],[Ticket Priority]]="High",48,
IF(Tickets[[#This Row],[Ticket Priority]]="Medium",120,168)))</f>
        <v>120</v>
      </c>
      <c r="P1963" t="str">
        <f>IF(Tickets[[#This Row],[Resolution Duration Hours]] &lt;= Tickets[[#This Row],[SLA_Target_Hours]], "Yes", "No")</f>
        <v>Yes</v>
      </c>
    </row>
    <row r="1964" spans="1:16" hidden="1">
      <c r="A1964">
        <v>1963</v>
      </c>
      <c r="B1964" t="s">
        <v>1947</v>
      </c>
      <c r="C1964" t="s">
        <v>3941</v>
      </c>
      <c r="D1964" t="s">
        <v>3997</v>
      </c>
      <c r="E1964" s="1">
        <v>44882</v>
      </c>
      <c r="F1964" t="s">
        <v>3998</v>
      </c>
      <c r="G1964" t="s">
        <v>4015</v>
      </c>
      <c r="H1964" t="s">
        <v>4017</v>
      </c>
      <c r="I1964" t="s">
        <v>4021</v>
      </c>
      <c r="J1964" t="s">
        <v>4028</v>
      </c>
      <c r="K1964" s="2">
        <v>44962</v>
      </c>
      <c r="L1964" s="2">
        <v>44963</v>
      </c>
      <c r="N1964">
        <v>24</v>
      </c>
      <c r="O1964">
        <f>IF(Tickets[[#This Row],[Ticket Priority]]="Critical",24,
IF(Tickets[[#This Row],[Ticket Priority]]="High",48,
IF(Tickets[[#This Row],[Ticket Priority]]="Medium",120,168)))</f>
        <v>48</v>
      </c>
      <c r="P1964" t="str">
        <f>IF(Tickets[[#This Row],[Resolution Duration Hours]] &lt;= Tickets[[#This Row],[SLA_Target_Hours]], "Yes", "No")</f>
        <v>Yes</v>
      </c>
    </row>
    <row r="1965" spans="1:16" hidden="1">
      <c r="A1965">
        <v>1964</v>
      </c>
      <c r="B1965" t="s">
        <v>1948</v>
      </c>
      <c r="C1965" t="s">
        <v>3942</v>
      </c>
      <c r="D1965" t="s">
        <v>3993</v>
      </c>
      <c r="E1965" s="1">
        <v>44857</v>
      </c>
      <c r="F1965" t="s">
        <v>4001</v>
      </c>
      <c r="G1965" t="s">
        <v>4000</v>
      </c>
      <c r="H1965" t="s">
        <v>4018</v>
      </c>
      <c r="I1965" t="s">
        <v>4023</v>
      </c>
      <c r="J1965" t="s">
        <v>4026</v>
      </c>
      <c r="K1965" s="2">
        <v>45035</v>
      </c>
      <c r="L1965" s="2">
        <v>45036</v>
      </c>
      <c r="N1965">
        <v>24</v>
      </c>
      <c r="O1965">
        <f>IF(Tickets[[#This Row],[Ticket Priority]]="Critical",24,
IF(Tickets[[#This Row],[Ticket Priority]]="High",48,
IF(Tickets[[#This Row],[Ticket Priority]]="Medium",120,168)))</f>
        <v>120</v>
      </c>
      <c r="P1965" t="str">
        <f>IF(Tickets[[#This Row],[Resolution Duration Hours]] &lt;= Tickets[[#This Row],[SLA_Target_Hours]], "Yes", "No")</f>
        <v>Yes</v>
      </c>
    </row>
    <row r="1966" spans="1:16" hidden="1">
      <c r="A1966">
        <v>1965</v>
      </c>
      <c r="B1966" t="s">
        <v>1949</v>
      </c>
      <c r="C1966" t="s">
        <v>3943</v>
      </c>
      <c r="D1966" t="s">
        <v>3992</v>
      </c>
      <c r="E1966" s="1">
        <v>44163</v>
      </c>
      <c r="F1966" t="s">
        <v>4001</v>
      </c>
      <c r="G1966" t="s">
        <v>4013</v>
      </c>
      <c r="H1966" t="s">
        <v>4018</v>
      </c>
      <c r="I1966" t="s">
        <v>4024</v>
      </c>
      <c r="J1966" t="s">
        <v>4028</v>
      </c>
      <c r="K1966" s="2">
        <v>44415</v>
      </c>
      <c r="L1966" s="2">
        <v>44422</v>
      </c>
      <c r="N1966">
        <v>168</v>
      </c>
      <c r="O1966">
        <f>IF(Tickets[[#This Row],[Ticket Priority]]="Critical",24,
IF(Tickets[[#This Row],[Ticket Priority]]="High",48,
IF(Tickets[[#This Row],[Ticket Priority]]="Medium",120,168)))</f>
        <v>168</v>
      </c>
      <c r="P1966" t="str">
        <f>IF(Tickets[[#This Row],[Resolution Duration Hours]] &lt;= Tickets[[#This Row],[SLA_Target_Hours]], "Yes", "No")</f>
        <v>Yes</v>
      </c>
    </row>
    <row r="1967" spans="1:16">
      <c r="A1967">
        <v>1617</v>
      </c>
      <c r="B1967" t="s">
        <v>1613</v>
      </c>
      <c r="C1967" t="s">
        <v>3596</v>
      </c>
      <c r="D1967" t="s">
        <v>3980</v>
      </c>
      <c r="E1967" s="1">
        <v>44006</v>
      </c>
      <c r="F1967" t="s">
        <v>3998</v>
      </c>
      <c r="G1967" t="s">
        <v>4007</v>
      </c>
      <c r="H1967" t="s">
        <v>4019</v>
      </c>
      <c r="I1967" t="s">
        <v>4021</v>
      </c>
      <c r="J1967" t="s">
        <v>4026</v>
      </c>
      <c r="K1967" s="2">
        <v>44280</v>
      </c>
      <c r="L1967" s="2">
        <v>44283</v>
      </c>
      <c r="M1967">
        <v>3</v>
      </c>
      <c r="N1967">
        <v>72</v>
      </c>
      <c r="O1967">
        <f>IF(Tickets[[#This Row],[Ticket Priority]]="Critical",24,
IF(Tickets[[#This Row],[Ticket Priority]]="High",48,
IF(Tickets[[#This Row],[Ticket Priority]]="Medium",120,168)))</f>
        <v>48</v>
      </c>
      <c r="P1967" t="str">
        <f>IF(Tickets[[#This Row],[Resolution Duration Hours]] &lt;= Tickets[[#This Row],[SLA_Target_Hours]], "Yes", "No")</f>
        <v>No</v>
      </c>
    </row>
    <row r="1968" spans="1:16" hidden="1">
      <c r="A1968">
        <v>1967</v>
      </c>
      <c r="B1968" t="s">
        <v>1951</v>
      </c>
      <c r="C1968" t="s">
        <v>3945</v>
      </c>
      <c r="D1968" t="s">
        <v>3997</v>
      </c>
      <c r="E1968" s="1">
        <v>44659</v>
      </c>
      <c r="F1968" t="s">
        <v>3999</v>
      </c>
      <c r="G1968" t="s">
        <v>4007</v>
      </c>
      <c r="H1968" t="s">
        <v>4018</v>
      </c>
      <c r="I1968" t="s">
        <v>4024</v>
      </c>
      <c r="J1968" t="s">
        <v>4028</v>
      </c>
      <c r="K1968" s="2">
        <v>45014</v>
      </c>
      <c r="L1968" s="2">
        <v>45021</v>
      </c>
      <c r="M1968">
        <v>5</v>
      </c>
      <c r="N1968">
        <v>168</v>
      </c>
      <c r="O1968">
        <f>IF(Tickets[[#This Row],[Ticket Priority]]="Critical",24,
IF(Tickets[[#This Row],[Ticket Priority]]="High",48,
IF(Tickets[[#This Row],[Ticket Priority]]="Medium",120,168)))</f>
        <v>168</v>
      </c>
      <c r="P1968" t="str">
        <f>IF(Tickets[[#This Row],[Resolution Duration Hours]] &lt;= Tickets[[#This Row],[SLA_Target_Hours]], "Yes", "No")</f>
        <v>Yes</v>
      </c>
    </row>
    <row r="1969" spans="1:16" hidden="1">
      <c r="A1969">
        <v>1968</v>
      </c>
      <c r="B1969" t="s">
        <v>1952</v>
      </c>
      <c r="C1969" t="s">
        <v>3946</v>
      </c>
      <c r="D1969" t="s">
        <v>3982</v>
      </c>
      <c r="E1969" s="1">
        <v>45072</v>
      </c>
      <c r="F1969" t="s">
        <v>4000</v>
      </c>
      <c r="G1969" t="s">
        <v>4004</v>
      </c>
      <c r="H1969" t="s">
        <v>4018</v>
      </c>
      <c r="I1969" t="s">
        <v>4024</v>
      </c>
      <c r="J1969" t="s">
        <v>4028</v>
      </c>
      <c r="K1969" s="2">
        <v>45417</v>
      </c>
      <c r="L1969" s="2">
        <v>45420</v>
      </c>
      <c r="M1969">
        <v>5</v>
      </c>
      <c r="N1969">
        <v>72</v>
      </c>
      <c r="O1969">
        <f>IF(Tickets[[#This Row],[Ticket Priority]]="Critical",24,
IF(Tickets[[#This Row],[Ticket Priority]]="High",48,
IF(Tickets[[#This Row],[Ticket Priority]]="Medium",120,168)))</f>
        <v>168</v>
      </c>
      <c r="P1969" t="str">
        <f>IF(Tickets[[#This Row],[Resolution Duration Hours]] &lt;= Tickets[[#This Row],[SLA_Target_Hours]], "Yes", "No")</f>
        <v>Yes</v>
      </c>
    </row>
    <row r="1970" spans="1:16" hidden="1">
      <c r="A1970">
        <v>1969</v>
      </c>
      <c r="B1970" t="s">
        <v>1953</v>
      </c>
      <c r="C1970" t="s">
        <v>3947</v>
      </c>
      <c r="D1970" t="s">
        <v>3982</v>
      </c>
      <c r="E1970" s="1">
        <v>44646</v>
      </c>
      <c r="F1970" t="s">
        <v>3998</v>
      </c>
      <c r="G1970" t="s">
        <v>4009</v>
      </c>
      <c r="H1970" t="s">
        <v>4018</v>
      </c>
      <c r="I1970" t="s">
        <v>4023</v>
      </c>
      <c r="J1970" t="s">
        <v>4028</v>
      </c>
      <c r="K1970" s="2">
        <v>44959</v>
      </c>
      <c r="L1970" s="2">
        <v>44963</v>
      </c>
      <c r="N1970">
        <v>96</v>
      </c>
      <c r="O1970">
        <f>IF(Tickets[[#This Row],[Ticket Priority]]="Critical",24,
IF(Tickets[[#This Row],[Ticket Priority]]="High",48,
IF(Tickets[[#This Row],[Ticket Priority]]="Medium",120,168)))</f>
        <v>120</v>
      </c>
      <c r="P1970" t="str">
        <f>IF(Tickets[[#This Row],[Resolution Duration Hours]] &lt;= Tickets[[#This Row],[SLA_Target_Hours]], "Yes", "No")</f>
        <v>Yes</v>
      </c>
    </row>
    <row r="1971" spans="1:16">
      <c r="A1971">
        <v>1678</v>
      </c>
      <c r="B1971" t="s">
        <v>1673</v>
      </c>
      <c r="C1971" t="s">
        <v>3657</v>
      </c>
      <c r="D1971" t="s">
        <v>3985</v>
      </c>
      <c r="E1971" s="1">
        <v>44052</v>
      </c>
      <c r="F1971" t="s">
        <v>4002</v>
      </c>
      <c r="G1971" t="s">
        <v>4010</v>
      </c>
      <c r="H1971" t="s">
        <v>4019</v>
      </c>
      <c r="I1971" t="s">
        <v>4021</v>
      </c>
      <c r="J1971" t="s">
        <v>4026</v>
      </c>
      <c r="K1971" s="2">
        <v>44129</v>
      </c>
      <c r="L1971" s="2">
        <v>44132</v>
      </c>
      <c r="M1971">
        <v>4</v>
      </c>
      <c r="N1971">
        <v>72</v>
      </c>
      <c r="O1971">
        <f>IF(Tickets[[#This Row],[Ticket Priority]]="Critical",24,
IF(Tickets[[#This Row],[Ticket Priority]]="High",48,
IF(Tickets[[#This Row],[Ticket Priority]]="Medium",120,168)))</f>
        <v>48</v>
      </c>
      <c r="P1971" t="str">
        <f>IF(Tickets[[#This Row],[Resolution Duration Hours]] &lt;= Tickets[[#This Row],[SLA_Target_Hours]], "Yes", "No")</f>
        <v>No</v>
      </c>
    </row>
    <row r="1972" spans="1:16" hidden="1">
      <c r="A1972">
        <v>1971</v>
      </c>
      <c r="B1972" t="s">
        <v>1955</v>
      </c>
      <c r="C1972" t="s">
        <v>3949</v>
      </c>
      <c r="D1972" t="s">
        <v>3985</v>
      </c>
      <c r="E1972" s="1">
        <v>44486</v>
      </c>
      <c r="F1972" t="s">
        <v>3998</v>
      </c>
      <c r="G1972" t="s">
        <v>4012</v>
      </c>
      <c r="H1972" t="s">
        <v>4020</v>
      </c>
      <c r="I1972" t="s">
        <v>4022</v>
      </c>
      <c r="J1972" t="s">
        <v>4026</v>
      </c>
      <c r="K1972" s="2">
        <v>44782</v>
      </c>
      <c r="L1972" s="2">
        <v>44782</v>
      </c>
      <c r="N1972">
        <v>0</v>
      </c>
      <c r="O1972">
        <f>IF(Tickets[[#This Row],[Ticket Priority]]="Critical",24,
IF(Tickets[[#This Row],[Ticket Priority]]="High",48,
IF(Tickets[[#This Row],[Ticket Priority]]="Medium",120,168)))</f>
        <v>24</v>
      </c>
      <c r="P1972" t="str">
        <f>IF(Tickets[[#This Row],[Resolution Duration Hours]] &lt;= Tickets[[#This Row],[SLA_Target_Hours]], "Yes", "No")</f>
        <v>Yes</v>
      </c>
    </row>
    <row r="1973" spans="1:16">
      <c r="A1973">
        <v>1749</v>
      </c>
      <c r="B1973" t="s">
        <v>1742</v>
      </c>
      <c r="C1973" t="s">
        <v>3728</v>
      </c>
      <c r="D1973" t="s">
        <v>3995</v>
      </c>
      <c r="E1973" s="1">
        <v>44950</v>
      </c>
      <c r="F1973" t="s">
        <v>4000</v>
      </c>
      <c r="G1973" t="s">
        <v>4007</v>
      </c>
      <c r="H1973" t="s">
        <v>4018</v>
      </c>
      <c r="I1973" t="s">
        <v>4021</v>
      </c>
      <c r="J1973" t="s">
        <v>4025</v>
      </c>
      <c r="K1973" s="2">
        <v>44988</v>
      </c>
      <c r="L1973" s="2">
        <v>44991</v>
      </c>
      <c r="M1973">
        <v>4</v>
      </c>
      <c r="N1973">
        <v>72</v>
      </c>
      <c r="O1973">
        <f>IF(Tickets[[#This Row],[Ticket Priority]]="Critical",24,
IF(Tickets[[#This Row],[Ticket Priority]]="High",48,
IF(Tickets[[#This Row],[Ticket Priority]]="Medium",120,168)))</f>
        <v>48</v>
      </c>
      <c r="P1973" t="str">
        <f>IF(Tickets[[#This Row],[Resolution Duration Hours]] &lt;= Tickets[[#This Row],[SLA_Target_Hours]], "Yes", "No")</f>
        <v>No</v>
      </c>
    </row>
    <row r="1974" spans="1:16">
      <c r="A1974">
        <v>1803</v>
      </c>
      <c r="B1974" t="s">
        <v>1795</v>
      </c>
      <c r="C1974" t="s">
        <v>3782</v>
      </c>
      <c r="D1974" t="s">
        <v>3988</v>
      </c>
      <c r="E1974" s="1">
        <v>43966</v>
      </c>
      <c r="F1974" t="s">
        <v>3999</v>
      </c>
      <c r="G1974" t="s">
        <v>4006</v>
      </c>
      <c r="H1974" t="s">
        <v>4017</v>
      </c>
      <c r="I1974" t="s">
        <v>4021</v>
      </c>
      <c r="J1974" t="s">
        <v>4026</v>
      </c>
      <c r="K1974" s="2">
        <v>44153</v>
      </c>
      <c r="L1974" s="2">
        <v>44156</v>
      </c>
      <c r="N1974">
        <v>72</v>
      </c>
      <c r="O1974">
        <f>IF(Tickets[[#This Row],[Ticket Priority]]="Critical",24,
IF(Tickets[[#This Row],[Ticket Priority]]="High",48,
IF(Tickets[[#This Row],[Ticket Priority]]="Medium",120,168)))</f>
        <v>48</v>
      </c>
      <c r="P1974" t="str">
        <f>IF(Tickets[[#This Row],[Resolution Duration Hours]] &lt;= Tickets[[#This Row],[SLA_Target_Hours]], "Yes", "No")</f>
        <v>No</v>
      </c>
    </row>
    <row r="1975" spans="1:16" hidden="1">
      <c r="A1975">
        <v>1974</v>
      </c>
      <c r="B1975" t="s">
        <v>1958</v>
      </c>
      <c r="C1975" t="s">
        <v>3952</v>
      </c>
      <c r="D1975" t="s">
        <v>3997</v>
      </c>
      <c r="E1975" s="1">
        <v>44512</v>
      </c>
      <c r="F1975" t="s">
        <v>4000</v>
      </c>
      <c r="G1975" t="s">
        <v>4015</v>
      </c>
      <c r="H1975" t="s">
        <v>4019</v>
      </c>
      <c r="I1975" t="s">
        <v>4023</v>
      </c>
      <c r="J1975" t="s">
        <v>4026</v>
      </c>
      <c r="K1975" s="2">
        <v>44666</v>
      </c>
      <c r="L1975" s="2">
        <v>44670</v>
      </c>
      <c r="M1975">
        <v>4</v>
      </c>
      <c r="N1975">
        <v>96</v>
      </c>
      <c r="O1975">
        <f>IF(Tickets[[#This Row],[Ticket Priority]]="Critical",24,
IF(Tickets[[#This Row],[Ticket Priority]]="High",48,
IF(Tickets[[#This Row],[Ticket Priority]]="Medium",120,168)))</f>
        <v>120</v>
      </c>
      <c r="P1975" t="str">
        <f>IF(Tickets[[#This Row],[Resolution Duration Hours]] &lt;= Tickets[[#This Row],[SLA_Target_Hours]], "Yes", "No")</f>
        <v>Yes</v>
      </c>
    </row>
    <row r="1976" spans="1:16" hidden="1">
      <c r="A1976">
        <v>1975</v>
      </c>
      <c r="B1976" t="s">
        <v>1959</v>
      </c>
      <c r="C1976" t="s">
        <v>3953</v>
      </c>
      <c r="D1976" t="s">
        <v>3991</v>
      </c>
      <c r="E1976" s="1">
        <v>44419</v>
      </c>
      <c r="F1976" t="s">
        <v>4001</v>
      </c>
      <c r="G1976" t="s">
        <v>4008</v>
      </c>
      <c r="H1976" t="s">
        <v>4017</v>
      </c>
      <c r="I1976" t="s">
        <v>4023</v>
      </c>
      <c r="J1976" t="s">
        <v>4026</v>
      </c>
      <c r="K1976" s="2">
        <v>44474</v>
      </c>
      <c r="L1976" s="2">
        <v>44479</v>
      </c>
      <c r="N1976">
        <v>120</v>
      </c>
      <c r="O1976">
        <f>IF(Tickets[[#This Row],[Ticket Priority]]="Critical",24,
IF(Tickets[[#This Row],[Ticket Priority]]="High",48,
IF(Tickets[[#This Row],[Ticket Priority]]="Medium",120,168)))</f>
        <v>120</v>
      </c>
      <c r="P1976" t="str">
        <f>IF(Tickets[[#This Row],[Resolution Duration Hours]] &lt;= Tickets[[#This Row],[SLA_Target_Hours]], "Yes", "No")</f>
        <v>Yes</v>
      </c>
    </row>
    <row r="1977" spans="1:16" hidden="1">
      <c r="A1977">
        <v>1976</v>
      </c>
      <c r="B1977" t="s">
        <v>1960</v>
      </c>
      <c r="C1977" t="s">
        <v>3954</v>
      </c>
      <c r="D1977" t="s">
        <v>3982</v>
      </c>
      <c r="E1977" s="1">
        <v>44678</v>
      </c>
      <c r="F1977" t="s">
        <v>4001</v>
      </c>
      <c r="G1977" t="s">
        <v>4014</v>
      </c>
      <c r="H1977" t="s">
        <v>4018</v>
      </c>
      <c r="I1977" t="s">
        <v>4024</v>
      </c>
      <c r="J1977" t="s">
        <v>4025</v>
      </c>
      <c r="K1977" s="2">
        <v>45017</v>
      </c>
      <c r="L1977" s="2">
        <v>45024</v>
      </c>
      <c r="M1977">
        <v>2</v>
      </c>
      <c r="N1977">
        <v>168</v>
      </c>
      <c r="O1977">
        <f>IF(Tickets[[#This Row],[Ticket Priority]]="Critical",24,
IF(Tickets[[#This Row],[Ticket Priority]]="High",48,
IF(Tickets[[#This Row],[Ticket Priority]]="Medium",120,168)))</f>
        <v>168</v>
      </c>
      <c r="P1977" t="str">
        <f>IF(Tickets[[#This Row],[Resolution Duration Hours]] &lt;= Tickets[[#This Row],[SLA_Target_Hours]], "Yes", "No")</f>
        <v>Yes</v>
      </c>
    </row>
    <row r="1978" spans="1:16" hidden="1">
      <c r="A1978">
        <v>1977</v>
      </c>
      <c r="B1978" t="s">
        <v>1961</v>
      </c>
      <c r="C1978" t="s">
        <v>3955</v>
      </c>
      <c r="D1978" t="s">
        <v>3984</v>
      </c>
      <c r="E1978" s="1">
        <v>44064</v>
      </c>
      <c r="F1978" t="s">
        <v>4002</v>
      </c>
      <c r="G1978" t="s">
        <v>4012</v>
      </c>
      <c r="H1978" t="s">
        <v>4017</v>
      </c>
      <c r="I1978" t="s">
        <v>4023</v>
      </c>
      <c r="J1978" t="s">
        <v>4025</v>
      </c>
      <c r="K1978" s="2">
        <v>44084</v>
      </c>
      <c r="L1978" s="2">
        <v>44086</v>
      </c>
      <c r="N1978">
        <v>48</v>
      </c>
      <c r="O1978">
        <f>IF(Tickets[[#This Row],[Ticket Priority]]="Critical",24,
IF(Tickets[[#This Row],[Ticket Priority]]="High",48,
IF(Tickets[[#This Row],[Ticket Priority]]="Medium",120,168)))</f>
        <v>120</v>
      </c>
      <c r="P1978" t="str">
        <f>IF(Tickets[[#This Row],[Resolution Duration Hours]] &lt;= Tickets[[#This Row],[SLA_Target_Hours]], "Yes", "No")</f>
        <v>Yes</v>
      </c>
    </row>
    <row r="1979" spans="1:16" hidden="1">
      <c r="A1979">
        <v>1978</v>
      </c>
      <c r="B1979" t="s">
        <v>1962</v>
      </c>
      <c r="C1979" t="s">
        <v>3956</v>
      </c>
      <c r="D1979" t="s">
        <v>3991</v>
      </c>
      <c r="E1979" s="1">
        <v>44506</v>
      </c>
      <c r="F1979" t="s">
        <v>4001</v>
      </c>
      <c r="G1979" t="s">
        <v>4007</v>
      </c>
      <c r="H1979" t="s">
        <v>4018</v>
      </c>
      <c r="I1979" t="s">
        <v>4021</v>
      </c>
      <c r="J1979" t="s">
        <v>4028</v>
      </c>
      <c r="K1979" s="2">
        <v>44635</v>
      </c>
      <c r="L1979" s="2">
        <v>44636</v>
      </c>
      <c r="M1979">
        <v>4</v>
      </c>
      <c r="N1979">
        <v>24</v>
      </c>
      <c r="O1979">
        <f>IF(Tickets[[#This Row],[Ticket Priority]]="Critical",24,
IF(Tickets[[#This Row],[Ticket Priority]]="High",48,
IF(Tickets[[#This Row],[Ticket Priority]]="Medium",120,168)))</f>
        <v>48</v>
      </c>
      <c r="P1979" t="str">
        <f>IF(Tickets[[#This Row],[Resolution Duration Hours]] &lt;= Tickets[[#This Row],[SLA_Target_Hours]], "Yes", "No")</f>
        <v>Yes</v>
      </c>
    </row>
    <row r="1980" spans="1:16" hidden="1">
      <c r="A1980">
        <v>1979</v>
      </c>
      <c r="B1980" t="s">
        <v>1963</v>
      </c>
      <c r="C1980" t="s">
        <v>3957</v>
      </c>
      <c r="D1980" t="s">
        <v>3991</v>
      </c>
      <c r="E1980" s="1">
        <v>44361</v>
      </c>
      <c r="F1980" t="s">
        <v>3999</v>
      </c>
      <c r="G1980" t="s">
        <v>4000</v>
      </c>
      <c r="H1980" t="s">
        <v>4018</v>
      </c>
      <c r="I1980" t="s">
        <v>4023</v>
      </c>
      <c r="J1980" t="s">
        <v>4026</v>
      </c>
      <c r="K1980" s="2">
        <v>44643</v>
      </c>
      <c r="L1980" s="2">
        <v>44646</v>
      </c>
      <c r="N1980">
        <v>72</v>
      </c>
      <c r="O1980">
        <f>IF(Tickets[[#This Row],[Ticket Priority]]="Critical",24,
IF(Tickets[[#This Row],[Ticket Priority]]="High",48,
IF(Tickets[[#This Row],[Ticket Priority]]="Medium",120,168)))</f>
        <v>120</v>
      </c>
      <c r="P1980" t="str">
        <f>IF(Tickets[[#This Row],[Resolution Duration Hours]] &lt;= Tickets[[#This Row],[SLA_Target_Hours]], "Yes", "No")</f>
        <v>Yes</v>
      </c>
    </row>
    <row r="1981" spans="1:16">
      <c r="A1981">
        <v>1856</v>
      </c>
      <c r="B1981" t="s">
        <v>1846</v>
      </c>
      <c r="C1981" t="s">
        <v>3835</v>
      </c>
      <c r="D1981" t="s">
        <v>3983</v>
      </c>
      <c r="E1981" s="1">
        <v>44319</v>
      </c>
      <c r="F1981" t="s">
        <v>3998</v>
      </c>
      <c r="G1981" t="s">
        <v>4008</v>
      </c>
      <c r="H1981" t="s">
        <v>4020</v>
      </c>
      <c r="I1981" t="s">
        <v>4021</v>
      </c>
      <c r="J1981" t="s">
        <v>4026</v>
      </c>
      <c r="K1981" s="2">
        <v>44421</v>
      </c>
      <c r="L1981" s="2">
        <v>44424</v>
      </c>
      <c r="N1981">
        <v>72</v>
      </c>
      <c r="O1981">
        <f>IF(Tickets[[#This Row],[Ticket Priority]]="Critical",24,
IF(Tickets[[#This Row],[Ticket Priority]]="High",48,
IF(Tickets[[#This Row],[Ticket Priority]]="Medium",120,168)))</f>
        <v>48</v>
      </c>
      <c r="P1981" t="str">
        <f>IF(Tickets[[#This Row],[Resolution Duration Hours]] &lt;= Tickets[[#This Row],[SLA_Target_Hours]], "Yes", "No")</f>
        <v>No</v>
      </c>
    </row>
    <row r="1982" spans="1:16" hidden="1">
      <c r="A1982">
        <v>1981</v>
      </c>
      <c r="B1982" t="s">
        <v>1965</v>
      </c>
      <c r="C1982" t="s">
        <v>3959</v>
      </c>
      <c r="D1982" t="s">
        <v>3996</v>
      </c>
      <c r="E1982" s="1">
        <v>44095</v>
      </c>
      <c r="F1982" t="s">
        <v>3999</v>
      </c>
      <c r="G1982" t="s">
        <v>4000</v>
      </c>
      <c r="H1982" t="s">
        <v>4018</v>
      </c>
      <c r="I1982" t="s">
        <v>4023</v>
      </c>
      <c r="J1982" t="s">
        <v>4026</v>
      </c>
      <c r="K1982" s="2">
        <v>44442</v>
      </c>
      <c r="L1982" s="2">
        <v>44442</v>
      </c>
      <c r="M1982">
        <v>4</v>
      </c>
      <c r="N1982">
        <v>0</v>
      </c>
      <c r="O1982">
        <f>IF(Tickets[[#This Row],[Ticket Priority]]="Critical",24,
IF(Tickets[[#This Row],[Ticket Priority]]="High",48,
IF(Tickets[[#This Row],[Ticket Priority]]="Medium",120,168)))</f>
        <v>120</v>
      </c>
      <c r="P1982" t="str">
        <f>IF(Tickets[[#This Row],[Resolution Duration Hours]] &lt;= Tickets[[#This Row],[SLA_Target_Hours]], "Yes", "No")</f>
        <v>Yes</v>
      </c>
    </row>
    <row r="1983" spans="1:16" hidden="1">
      <c r="A1983">
        <v>1982</v>
      </c>
      <c r="B1983" t="s">
        <v>1966</v>
      </c>
      <c r="C1983" t="s">
        <v>3960</v>
      </c>
      <c r="D1983" t="s">
        <v>3991</v>
      </c>
      <c r="E1983" s="1">
        <v>44204</v>
      </c>
      <c r="F1983" t="s">
        <v>4000</v>
      </c>
      <c r="G1983" t="s">
        <v>4011</v>
      </c>
      <c r="H1983" t="s">
        <v>4020</v>
      </c>
      <c r="I1983" t="s">
        <v>4021</v>
      </c>
      <c r="J1983" t="s">
        <v>4027</v>
      </c>
      <c r="K1983" s="2">
        <v>44337</v>
      </c>
      <c r="L1983" s="2">
        <v>44337</v>
      </c>
      <c r="N1983">
        <v>0</v>
      </c>
      <c r="O1983">
        <f>IF(Tickets[[#This Row],[Ticket Priority]]="Critical",24,
IF(Tickets[[#This Row],[Ticket Priority]]="High",48,
IF(Tickets[[#This Row],[Ticket Priority]]="Medium",120,168)))</f>
        <v>48</v>
      </c>
      <c r="P1983" t="str">
        <f>IF(Tickets[[#This Row],[Resolution Duration Hours]] &lt;= Tickets[[#This Row],[SLA_Target_Hours]], "Yes", "No")</f>
        <v>Yes</v>
      </c>
    </row>
    <row r="1984" spans="1:16" hidden="1">
      <c r="A1984">
        <v>1983</v>
      </c>
      <c r="B1984" t="s">
        <v>1967</v>
      </c>
      <c r="C1984" t="s">
        <v>3961</v>
      </c>
      <c r="D1984" t="s">
        <v>3980</v>
      </c>
      <c r="E1984" s="1">
        <v>44647</v>
      </c>
      <c r="F1984" t="s">
        <v>4000</v>
      </c>
      <c r="G1984" t="s">
        <v>4014</v>
      </c>
      <c r="H1984" t="s">
        <v>4017</v>
      </c>
      <c r="I1984" t="s">
        <v>4023</v>
      </c>
      <c r="J1984" t="s">
        <v>4026</v>
      </c>
      <c r="K1984" s="2">
        <v>44673</v>
      </c>
      <c r="L1984" s="2">
        <v>44678</v>
      </c>
      <c r="N1984">
        <v>120</v>
      </c>
      <c r="O1984">
        <f>IF(Tickets[[#This Row],[Ticket Priority]]="Critical",24,
IF(Tickets[[#This Row],[Ticket Priority]]="High",48,
IF(Tickets[[#This Row],[Ticket Priority]]="Medium",120,168)))</f>
        <v>120</v>
      </c>
      <c r="P1984" t="str">
        <f>IF(Tickets[[#This Row],[Resolution Duration Hours]] &lt;= Tickets[[#This Row],[SLA_Target_Hours]], "Yes", "No")</f>
        <v>Yes</v>
      </c>
    </row>
    <row r="1985" spans="1:16" hidden="1">
      <c r="A1985">
        <v>1984</v>
      </c>
      <c r="B1985" t="s">
        <v>1968</v>
      </c>
      <c r="C1985" t="s">
        <v>3962</v>
      </c>
      <c r="D1985" t="s">
        <v>3995</v>
      </c>
      <c r="E1985" s="1">
        <v>44652</v>
      </c>
      <c r="F1985" t="s">
        <v>4001</v>
      </c>
      <c r="G1985" t="s">
        <v>4005</v>
      </c>
      <c r="H1985" t="s">
        <v>4018</v>
      </c>
      <c r="I1985" t="s">
        <v>4022</v>
      </c>
      <c r="J1985" t="s">
        <v>4028</v>
      </c>
      <c r="K1985" s="2">
        <v>44981</v>
      </c>
      <c r="L1985" s="2">
        <v>44981</v>
      </c>
      <c r="M1985">
        <v>4</v>
      </c>
      <c r="N1985">
        <v>0</v>
      </c>
      <c r="O1985">
        <f>IF(Tickets[[#This Row],[Ticket Priority]]="Critical",24,
IF(Tickets[[#This Row],[Ticket Priority]]="High",48,
IF(Tickets[[#This Row],[Ticket Priority]]="Medium",120,168)))</f>
        <v>24</v>
      </c>
      <c r="P1985" t="str">
        <f>IF(Tickets[[#This Row],[Resolution Duration Hours]] &lt;= Tickets[[#This Row],[SLA_Target_Hours]], "Yes", "No")</f>
        <v>Yes</v>
      </c>
    </row>
    <row r="1986" spans="1:16" hidden="1">
      <c r="A1986">
        <v>1985</v>
      </c>
      <c r="B1986" t="s">
        <v>1969</v>
      </c>
      <c r="C1986" t="s">
        <v>3963</v>
      </c>
      <c r="D1986" t="s">
        <v>3986</v>
      </c>
      <c r="E1986" s="1">
        <v>44106</v>
      </c>
      <c r="F1986" t="s">
        <v>3999</v>
      </c>
      <c r="G1986" t="s">
        <v>4000</v>
      </c>
      <c r="H1986" t="s">
        <v>4018</v>
      </c>
      <c r="I1986" t="s">
        <v>4023</v>
      </c>
      <c r="J1986" t="s">
        <v>4026</v>
      </c>
      <c r="K1986" s="2">
        <v>44261</v>
      </c>
      <c r="L1986" s="2">
        <v>44263</v>
      </c>
      <c r="M1986">
        <v>5</v>
      </c>
      <c r="N1986">
        <v>48</v>
      </c>
      <c r="O1986">
        <f>IF(Tickets[[#This Row],[Ticket Priority]]="Critical",24,
IF(Tickets[[#This Row],[Ticket Priority]]="High",48,
IF(Tickets[[#This Row],[Ticket Priority]]="Medium",120,168)))</f>
        <v>120</v>
      </c>
      <c r="P1986" t="str">
        <f>IF(Tickets[[#This Row],[Resolution Duration Hours]] &lt;= Tickets[[#This Row],[SLA_Target_Hours]], "Yes", "No")</f>
        <v>Yes</v>
      </c>
    </row>
    <row r="1987" spans="1:16">
      <c r="A1987">
        <v>1253</v>
      </c>
      <c r="B1987" t="s">
        <v>1255</v>
      </c>
      <c r="C1987" t="s">
        <v>3233</v>
      </c>
      <c r="D1987" t="s">
        <v>3997</v>
      </c>
      <c r="E1987" s="1">
        <v>44689</v>
      </c>
      <c r="F1987" t="s">
        <v>4001</v>
      </c>
      <c r="G1987" t="s">
        <v>4011</v>
      </c>
      <c r="H1987" t="s">
        <v>4017</v>
      </c>
      <c r="I1987" t="s">
        <v>4022</v>
      </c>
      <c r="J1987" t="s">
        <v>4027</v>
      </c>
      <c r="K1987" s="2">
        <v>44775</v>
      </c>
      <c r="L1987" s="2">
        <v>44777</v>
      </c>
      <c r="N1987">
        <v>48</v>
      </c>
      <c r="O1987">
        <f>IF(Tickets[[#This Row],[Ticket Priority]]="Critical",24,
IF(Tickets[[#This Row],[Ticket Priority]]="High",48,
IF(Tickets[[#This Row],[Ticket Priority]]="Medium",120,168)))</f>
        <v>24</v>
      </c>
      <c r="P1987" t="str">
        <f>IF(Tickets[[#This Row],[Resolution Duration Hours]] &lt;= Tickets[[#This Row],[SLA_Target_Hours]], "Yes", "No")</f>
        <v>No</v>
      </c>
    </row>
    <row r="1988" spans="1:16" hidden="1">
      <c r="A1988">
        <v>1987</v>
      </c>
      <c r="B1988" t="s">
        <v>1971</v>
      </c>
      <c r="C1988" t="s">
        <v>3965</v>
      </c>
      <c r="D1988" t="s">
        <v>3992</v>
      </c>
      <c r="E1988" s="1">
        <v>44289</v>
      </c>
      <c r="F1988" t="s">
        <v>3999</v>
      </c>
      <c r="G1988" t="s">
        <v>4005</v>
      </c>
      <c r="H1988" t="s">
        <v>4018</v>
      </c>
      <c r="I1988" t="s">
        <v>4023</v>
      </c>
      <c r="J1988" t="s">
        <v>4028</v>
      </c>
      <c r="K1988" s="2">
        <v>44359</v>
      </c>
      <c r="L1988" s="2">
        <v>44362</v>
      </c>
      <c r="M1988">
        <v>4</v>
      </c>
      <c r="N1988">
        <v>72</v>
      </c>
      <c r="O1988">
        <f>IF(Tickets[[#This Row],[Ticket Priority]]="Critical",24,
IF(Tickets[[#This Row],[Ticket Priority]]="High",48,
IF(Tickets[[#This Row],[Ticket Priority]]="Medium",120,168)))</f>
        <v>120</v>
      </c>
      <c r="P1988" t="str">
        <f>IF(Tickets[[#This Row],[Resolution Duration Hours]] &lt;= Tickets[[#This Row],[SLA_Target_Hours]], "Yes", "No")</f>
        <v>Yes</v>
      </c>
    </row>
    <row r="1989" spans="1:16" hidden="1">
      <c r="A1989">
        <v>1988</v>
      </c>
      <c r="B1989" t="s">
        <v>1972</v>
      </c>
      <c r="C1989" t="s">
        <v>3966</v>
      </c>
      <c r="D1989" t="s">
        <v>3986</v>
      </c>
      <c r="E1989" s="1">
        <v>44483</v>
      </c>
      <c r="F1989" t="s">
        <v>3999</v>
      </c>
      <c r="G1989" t="s">
        <v>4007</v>
      </c>
      <c r="H1989" t="s">
        <v>4018</v>
      </c>
      <c r="I1989" t="s">
        <v>4023</v>
      </c>
      <c r="J1989" t="s">
        <v>4026</v>
      </c>
      <c r="K1989" s="2">
        <v>44708</v>
      </c>
      <c r="L1989" s="2">
        <v>44710</v>
      </c>
      <c r="M1989">
        <v>5</v>
      </c>
      <c r="N1989">
        <v>48</v>
      </c>
      <c r="O1989">
        <f>IF(Tickets[[#This Row],[Ticket Priority]]="Critical",24,
IF(Tickets[[#This Row],[Ticket Priority]]="High",48,
IF(Tickets[[#This Row],[Ticket Priority]]="Medium",120,168)))</f>
        <v>120</v>
      </c>
      <c r="P1989" t="str">
        <f>IF(Tickets[[#This Row],[Resolution Duration Hours]] &lt;= Tickets[[#This Row],[SLA_Target_Hours]], "Yes", "No")</f>
        <v>Yes</v>
      </c>
    </row>
    <row r="1990" spans="1:16">
      <c r="A1990">
        <v>1793</v>
      </c>
      <c r="B1990" t="s">
        <v>1785</v>
      </c>
      <c r="C1990" t="s">
        <v>3772</v>
      </c>
      <c r="D1990" t="s">
        <v>3980</v>
      </c>
      <c r="E1990" s="1">
        <v>44212</v>
      </c>
      <c r="F1990" t="s">
        <v>4000</v>
      </c>
      <c r="G1990" t="s">
        <v>4012</v>
      </c>
      <c r="H1990" t="s">
        <v>4018</v>
      </c>
      <c r="I1990" t="s">
        <v>4022</v>
      </c>
      <c r="J1990" t="s">
        <v>4026</v>
      </c>
      <c r="K1990" s="2">
        <v>44281</v>
      </c>
      <c r="L1990" s="2">
        <v>44283</v>
      </c>
      <c r="N1990">
        <v>48</v>
      </c>
      <c r="O1990">
        <f>IF(Tickets[[#This Row],[Ticket Priority]]="Critical",24,
IF(Tickets[[#This Row],[Ticket Priority]]="High",48,
IF(Tickets[[#This Row],[Ticket Priority]]="Medium",120,168)))</f>
        <v>24</v>
      </c>
      <c r="P1990" t="str">
        <f>IF(Tickets[[#This Row],[Resolution Duration Hours]] &lt;= Tickets[[#This Row],[SLA_Target_Hours]], "Yes", "No")</f>
        <v>No</v>
      </c>
    </row>
    <row r="1991" spans="1:16" hidden="1">
      <c r="A1991">
        <v>1990</v>
      </c>
      <c r="B1991" t="s">
        <v>1974</v>
      </c>
      <c r="C1991" t="s">
        <v>3968</v>
      </c>
      <c r="D1991" t="s">
        <v>3981</v>
      </c>
      <c r="E1991" s="1">
        <v>45007</v>
      </c>
      <c r="F1991" t="s">
        <v>4002</v>
      </c>
      <c r="G1991" t="s">
        <v>4013</v>
      </c>
      <c r="H1991" t="s">
        <v>4017</v>
      </c>
      <c r="I1991" t="s">
        <v>4024</v>
      </c>
      <c r="J1991" t="s">
        <v>4026</v>
      </c>
      <c r="K1991" s="2">
        <v>45118</v>
      </c>
      <c r="L1991" s="2">
        <v>45122</v>
      </c>
      <c r="N1991">
        <v>96</v>
      </c>
      <c r="O1991">
        <f>IF(Tickets[[#This Row],[Ticket Priority]]="Critical",24,
IF(Tickets[[#This Row],[Ticket Priority]]="High",48,
IF(Tickets[[#This Row],[Ticket Priority]]="Medium",120,168)))</f>
        <v>168</v>
      </c>
      <c r="P1991" t="str">
        <f>IF(Tickets[[#This Row],[Resolution Duration Hours]] &lt;= Tickets[[#This Row],[SLA_Target_Hours]], "Yes", "No")</f>
        <v>Yes</v>
      </c>
    </row>
    <row r="1992" spans="1:16" hidden="1">
      <c r="A1992">
        <v>1991</v>
      </c>
      <c r="B1992" t="s">
        <v>1975</v>
      </c>
      <c r="C1992" t="s">
        <v>3969</v>
      </c>
      <c r="D1992" t="s">
        <v>3982</v>
      </c>
      <c r="E1992" s="1">
        <v>44892</v>
      </c>
      <c r="F1992" t="s">
        <v>4000</v>
      </c>
      <c r="G1992" t="s">
        <v>4011</v>
      </c>
      <c r="H1992" t="s">
        <v>4020</v>
      </c>
      <c r="I1992" t="s">
        <v>4022</v>
      </c>
      <c r="J1992" t="s">
        <v>4028</v>
      </c>
      <c r="K1992" s="2">
        <v>44938</v>
      </c>
      <c r="L1992" s="2">
        <v>44939</v>
      </c>
      <c r="N1992">
        <v>24</v>
      </c>
      <c r="O1992">
        <f>IF(Tickets[[#This Row],[Ticket Priority]]="Critical",24,
IF(Tickets[[#This Row],[Ticket Priority]]="High",48,
IF(Tickets[[#This Row],[Ticket Priority]]="Medium",120,168)))</f>
        <v>24</v>
      </c>
      <c r="P1992" t="str">
        <f>IF(Tickets[[#This Row],[Resolution Duration Hours]] &lt;= Tickets[[#This Row],[SLA_Target_Hours]], "Yes", "No")</f>
        <v>Yes</v>
      </c>
    </row>
    <row r="1993" spans="1:16" hidden="1">
      <c r="A1993">
        <v>1992</v>
      </c>
      <c r="B1993" t="s">
        <v>1976</v>
      </c>
      <c r="C1993" t="s">
        <v>3970</v>
      </c>
      <c r="D1993" t="s">
        <v>3982</v>
      </c>
      <c r="E1993" s="1">
        <v>44469</v>
      </c>
      <c r="F1993" t="s">
        <v>3999</v>
      </c>
      <c r="G1993" t="s">
        <v>4004</v>
      </c>
      <c r="H1993" t="s">
        <v>4018</v>
      </c>
      <c r="I1993" t="s">
        <v>4023</v>
      </c>
      <c r="J1993" t="s">
        <v>4026</v>
      </c>
      <c r="K1993" s="2">
        <v>44686</v>
      </c>
      <c r="L1993" s="2">
        <v>44687</v>
      </c>
      <c r="M1993">
        <v>4</v>
      </c>
      <c r="N1993">
        <v>24</v>
      </c>
      <c r="O1993">
        <f>IF(Tickets[[#This Row],[Ticket Priority]]="Critical",24,
IF(Tickets[[#This Row],[Ticket Priority]]="High",48,
IF(Tickets[[#This Row],[Ticket Priority]]="Medium",120,168)))</f>
        <v>120</v>
      </c>
      <c r="P1993" t="str">
        <f>IF(Tickets[[#This Row],[Resolution Duration Hours]] &lt;= Tickets[[#This Row],[SLA_Target_Hours]], "Yes", "No")</f>
        <v>Yes</v>
      </c>
    </row>
    <row r="1994" spans="1:16" hidden="1">
      <c r="A1994">
        <v>1993</v>
      </c>
      <c r="B1994" t="s">
        <v>1977</v>
      </c>
      <c r="C1994" t="s">
        <v>3971</v>
      </c>
      <c r="D1994" t="s">
        <v>3982</v>
      </c>
      <c r="E1994" s="1">
        <v>44206</v>
      </c>
      <c r="F1994" t="s">
        <v>4001</v>
      </c>
      <c r="G1994" t="s">
        <v>4000</v>
      </c>
      <c r="H1994" t="s">
        <v>4017</v>
      </c>
      <c r="I1994" t="s">
        <v>4021</v>
      </c>
      <c r="J1994" t="s">
        <v>4027</v>
      </c>
      <c r="K1994" s="2">
        <v>44505</v>
      </c>
      <c r="L1994" s="2">
        <v>44507</v>
      </c>
      <c r="N1994">
        <v>48</v>
      </c>
      <c r="O1994">
        <f>IF(Tickets[[#This Row],[Ticket Priority]]="Critical",24,
IF(Tickets[[#This Row],[Ticket Priority]]="High",48,
IF(Tickets[[#This Row],[Ticket Priority]]="Medium",120,168)))</f>
        <v>48</v>
      </c>
      <c r="P1994" t="str">
        <f>IF(Tickets[[#This Row],[Resolution Duration Hours]] &lt;= Tickets[[#This Row],[SLA_Target_Hours]], "Yes", "No")</f>
        <v>Yes</v>
      </c>
    </row>
    <row r="1995" spans="1:16" hidden="1">
      <c r="A1995">
        <v>1994</v>
      </c>
      <c r="B1995" t="s">
        <v>1978</v>
      </c>
      <c r="C1995" t="s">
        <v>3972</v>
      </c>
      <c r="D1995" t="s">
        <v>3979</v>
      </c>
      <c r="E1995" s="1">
        <v>44914</v>
      </c>
      <c r="F1995" t="s">
        <v>4001</v>
      </c>
      <c r="G1995" t="s">
        <v>4004</v>
      </c>
      <c r="H1995" t="s">
        <v>4017</v>
      </c>
      <c r="I1995" t="s">
        <v>4023</v>
      </c>
      <c r="J1995" t="s">
        <v>4026</v>
      </c>
      <c r="K1995" s="2">
        <v>45171</v>
      </c>
      <c r="L1995" s="2">
        <v>45172</v>
      </c>
      <c r="N1995">
        <v>24</v>
      </c>
      <c r="O1995">
        <f>IF(Tickets[[#This Row],[Ticket Priority]]="Critical",24,
IF(Tickets[[#This Row],[Ticket Priority]]="High",48,
IF(Tickets[[#This Row],[Ticket Priority]]="Medium",120,168)))</f>
        <v>120</v>
      </c>
      <c r="P1995" t="str">
        <f>IF(Tickets[[#This Row],[Resolution Duration Hours]] &lt;= Tickets[[#This Row],[SLA_Target_Hours]], "Yes", "No")</f>
        <v>Yes</v>
      </c>
    </row>
    <row r="1996" spans="1:16" hidden="1">
      <c r="A1996">
        <v>1995</v>
      </c>
      <c r="B1996" t="s">
        <v>1765</v>
      </c>
      <c r="C1996" t="s">
        <v>3973</v>
      </c>
      <c r="D1996" t="s">
        <v>3994</v>
      </c>
      <c r="E1996" s="1">
        <v>44166</v>
      </c>
      <c r="F1996" t="s">
        <v>4002</v>
      </c>
      <c r="G1996" t="s">
        <v>4007</v>
      </c>
      <c r="H1996" t="s">
        <v>4018</v>
      </c>
      <c r="I1996" t="s">
        <v>4021</v>
      </c>
      <c r="J1996" t="s">
        <v>4025</v>
      </c>
      <c r="K1996" s="2">
        <v>44351</v>
      </c>
      <c r="L1996" s="2">
        <v>44352</v>
      </c>
      <c r="M1996">
        <v>4</v>
      </c>
      <c r="N1996">
        <v>24</v>
      </c>
      <c r="O1996">
        <f>IF(Tickets[[#This Row],[Ticket Priority]]="Critical",24,
IF(Tickets[[#This Row],[Ticket Priority]]="High",48,
IF(Tickets[[#This Row],[Ticket Priority]]="Medium",120,168)))</f>
        <v>48</v>
      </c>
      <c r="P1996" t="str">
        <f>IF(Tickets[[#This Row],[Resolution Duration Hours]] &lt;= Tickets[[#This Row],[SLA_Target_Hours]], "Yes", "No")</f>
        <v>Yes</v>
      </c>
    </row>
    <row r="1997" spans="1:16" hidden="1">
      <c r="A1997">
        <v>1996</v>
      </c>
      <c r="B1997" t="s">
        <v>1979</v>
      </c>
      <c r="C1997" t="s">
        <v>3974</v>
      </c>
      <c r="D1997" t="s">
        <v>3986</v>
      </c>
      <c r="E1997" s="1">
        <v>44175</v>
      </c>
      <c r="F1997" t="s">
        <v>4001</v>
      </c>
      <c r="G1997" t="s">
        <v>4007</v>
      </c>
      <c r="H1997" t="s">
        <v>4020</v>
      </c>
      <c r="I1997" t="s">
        <v>4024</v>
      </c>
      <c r="J1997" t="s">
        <v>4025</v>
      </c>
      <c r="K1997" s="2">
        <v>44399</v>
      </c>
      <c r="L1997" s="2">
        <v>44405</v>
      </c>
      <c r="N1997">
        <v>144</v>
      </c>
      <c r="O1997">
        <f>IF(Tickets[[#This Row],[Ticket Priority]]="Critical",24,
IF(Tickets[[#This Row],[Ticket Priority]]="High",48,
IF(Tickets[[#This Row],[Ticket Priority]]="Medium",120,168)))</f>
        <v>168</v>
      </c>
      <c r="P1997" t="str">
        <f>IF(Tickets[[#This Row],[Resolution Duration Hours]] &lt;= Tickets[[#This Row],[SLA_Target_Hours]], "Yes", "No")</f>
        <v>Yes</v>
      </c>
    </row>
    <row r="1998" spans="1:16" hidden="1">
      <c r="A1998">
        <v>1997</v>
      </c>
      <c r="B1998" t="s">
        <v>1980</v>
      </c>
      <c r="C1998" t="s">
        <v>3975</v>
      </c>
      <c r="D1998" t="s">
        <v>3980</v>
      </c>
      <c r="E1998" s="1">
        <v>44676</v>
      </c>
      <c r="F1998" t="s">
        <v>4001</v>
      </c>
      <c r="G1998" t="s">
        <v>4007</v>
      </c>
      <c r="H1998" t="s">
        <v>4020</v>
      </c>
      <c r="I1998" t="s">
        <v>4024</v>
      </c>
      <c r="J1998" t="s">
        <v>4028</v>
      </c>
      <c r="K1998" s="2">
        <v>44829</v>
      </c>
      <c r="L1998" s="2">
        <v>44832</v>
      </c>
      <c r="N1998">
        <v>72</v>
      </c>
      <c r="O1998">
        <f>IF(Tickets[[#This Row],[Ticket Priority]]="Critical",24,
IF(Tickets[[#This Row],[Ticket Priority]]="High",48,
IF(Tickets[[#This Row],[Ticket Priority]]="Medium",120,168)))</f>
        <v>168</v>
      </c>
      <c r="P1998" t="str">
        <f>IF(Tickets[[#This Row],[Resolution Duration Hours]] &lt;= Tickets[[#This Row],[SLA_Target_Hours]], "Yes", "No")</f>
        <v>Yes</v>
      </c>
    </row>
    <row r="1999" spans="1:16" hidden="1">
      <c r="A1999">
        <v>1998</v>
      </c>
      <c r="B1999" t="s">
        <v>1981</v>
      </c>
      <c r="C1999" t="s">
        <v>3976</v>
      </c>
      <c r="D1999" t="s">
        <v>3993</v>
      </c>
      <c r="E1999" s="1">
        <v>44040</v>
      </c>
      <c r="F1999" t="s">
        <v>4001</v>
      </c>
      <c r="G1999" t="s">
        <v>4015</v>
      </c>
      <c r="H1999" t="s">
        <v>4018</v>
      </c>
      <c r="I1999" t="s">
        <v>4022</v>
      </c>
      <c r="J1999" t="s">
        <v>4027</v>
      </c>
      <c r="K1999" s="2">
        <v>44290</v>
      </c>
      <c r="L1999" s="2">
        <v>44291</v>
      </c>
      <c r="M1999">
        <v>4</v>
      </c>
      <c r="N1999">
        <v>24</v>
      </c>
      <c r="O1999">
        <f>IF(Tickets[[#This Row],[Ticket Priority]]="Critical",24,
IF(Tickets[[#This Row],[Ticket Priority]]="High",48,
IF(Tickets[[#This Row],[Ticket Priority]]="Medium",120,168)))</f>
        <v>24</v>
      </c>
      <c r="P1999" t="str">
        <f>IF(Tickets[[#This Row],[Resolution Duration Hours]] &lt;= Tickets[[#This Row],[SLA_Target_Hours]], "Yes", "No")</f>
        <v>Yes</v>
      </c>
    </row>
    <row r="2000" spans="1:16" hidden="1">
      <c r="A2000">
        <v>1999</v>
      </c>
      <c r="B2000" t="s">
        <v>1982</v>
      </c>
      <c r="C2000" t="s">
        <v>3977</v>
      </c>
      <c r="D2000" t="s">
        <v>3997</v>
      </c>
      <c r="E2000" s="1">
        <v>43961</v>
      </c>
      <c r="F2000" t="s">
        <v>3998</v>
      </c>
      <c r="G2000" t="s">
        <v>4003</v>
      </c>
      <c r="H2000" t="s">
        <v>4018</v>
      </c>
      <c r="I2000" t="s">
        <v>4023</v>
      </c>
      <c r="J2000" t="s">
        <v>4026</v>
      </c>
      <c r="K2000" s="2">
        <v>44269</v>
      </c>
      <c r="L2000" s="2">
        <v>44272</v>
      </c>
      <c r="M2000">
        <v>3</v>
      </c>
      <c r="N2000">
        <v>72</v>
      </c>
      <c r="O2000">
        <f>IF(Tickets[[#This Row],[Ticket Priority]]="Critical",24,
IF(Tickets[[#This Row],[Ticket Priority]]="High",48,
IF(Tickets[[#This Row],[Ticket Priority]]="Medium",120,168)))</f>
        <v>120</v>
      </c>
      <c r="P2000" t="str">
        <f>IF(Tickets[[#This Row],[Resolution Duration Hours]] &lt;= Tickets[[#This Row],[SLA_Target_Hours]], "Yes", "No")</f>
        <v>Yes</v>
      </c>
    </row>
    <row r="2001" spans="1:16" hidden="1">
      <c r="A2001">
        <v>2000</v>
      </c>
      <c r="B2001" t="s">
        <v>1983</v>
      </c>
      <c r="C2001" t="s">
        <v>3978</v>
      </c>
      <c r="D2001" t="s">
        <v>3982</v>
      </c>
      <c r="E2001" s="1">
        <v>44463</v>
      </c>
      <c r="F2001" t="s">
        <v>3999</v>
      </c>
      <c r="G2001" t="s">
        <v>4014</v>
      </c>
      <c r="H2001" t="s">
        <v>4018</v>
      </c>
      <c r="I2001" t="s">
        <v>4021</v>
      </c>
      <c r="J2001" t="s">
        <v>4028</v>
      </c>
      <c r="K2001" s="2">
        <v>44708</v>
      </c>
      <c r="L2001" s="2">
        <v>44710</v>
      </c>
      <c r="M2001">
        <v>5</v>
      </c>
      <c r="N2001">
        <v>48</v>
      </c>
      <c r="O2001">
        <f>IF(Tickets[[#This Row],[Ticket Priority]]="Critical",24,
IF(Tickets[[#This Row],[Ticket Priority]]="High",48,
IF(Tickets[[#This Row],[Ticket Priority]]="Medium",120,168)))</f>
        <v>48</v>
      </c>
      <c r="P2001" t="str">
        <f>IF(Tickets[[#This Row],[Resolution Duration Hours]] &lt;= Tickets[[#This Row],[SLA_Target_Hours]], "Yes", "No")</f>
        <v>Yes</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B516F-B19D-4BA9-A217-3174664CACE4}">
  <dimension ref="A1:L43"/>
  <sheetViews>
    <sheetView zoomScale="90" zoomScaleNormal="90" workbookViewId="0">
      <selection activeCell="F18" sqref="F18"/>
    </sheetView>
  </sheetViews>
  <sheetFormatPr defaultRowHeight="14.4"/>
  <cols>
    <col min="1" max="1" width="13.44140625" bestFit="1" customWidth="1"/>
    <col min="2" max="3" width="16.77734375" bestFit="1" customWidth="1"/>
    <col min="5" max="5" width="17.6640625" bestFit="1" customWidth="1"/>
    <col min="6" max="6" width="16.77734375" bestFit="1" customWidth="1"/>
    <col min="7" max="7" width="30" bestFit="1" customWidth="1"/>
    <col min="8" max="8" width="25.88671875" bestFit="1" customWidth="1"/>
    <col min="9" max="9" width="15.6640625" bestFit="1" customWidth="1"/>
    <col min="10" max="10" width="16.77734375" bestFit="1" customWidth="1"/>
    <col min="11" max="11" width="13.44140625" bestFit="1" customWidth="1"/>
    <col min="12" max="12" width="16.88671875" bestFit="1" customWidth="1"/>
    <col min="13" max="13" width="8.5546875" bestFit="1" customWidth="1"/>
    <col min="14" max="14" width="8.44140625" bestFit="1" customWidth="1"/>
    <col min="15" max="19" width="8.109375" bestFit="1" customWidth="1"/>
  </cols>
  <sheetData>
    <row r="1" spans="1:10">
      <c r="D1" s="9" t="s">
        <v>4049</v>
      </c>
      <c r="E1" s="9"/>
      <c r="F1" s="9"/>
      <c r="G1" s="9"/>
      <c r="H1" s="9"/>
      <c r="I1" s="9"/>
      <c r="J1" s="9"/>
    </row>
    <row r="2" spans="1:10">
      <c r="A2" s="10" t="s">
        <v>4050</v>
      </c>
      <c r="B2" s="10"/>
      <c r="D2" s="9"/>
      <c r="E2" s="9"/>
      <c r="F2" s="9"/>
      <c r="G2" s="9"/>
      <c r="H2" s="9"/>
      <c r="I2" s="9"/>
      <c r="J2" s="9"/>
    </row>
    <row r="3" spans="1:10">
      <c r="A3" s="6" t="s">
        <v>4031</v>
      </c>
      <c r="B3" s="7" t="s">
        <v>4045</v>
      </c>
    </row>
    <row r="4" spans="1:10">
      <c r="A4" s="15" t="s">
        <v>4033</v>
      </c>
      <c r="B4" s="14">
        <v>163</v>
      </c>
      <c r="E4" s="6" t="s">
        <v>8</v>
      </c>
      <c r="F4" s="7" t="s">
        <v>4048</v>
      </c>
      <c r="I4" s="6" t="s">
        <v>8</v>
      </c>
      <c r="J4" s="7" t="s">
        <v>4045</v>
      </c>
    </row>
    <row r="5" spans="1:10">
      <c r="A5" s="15" t="s">
        <v>4034</v>
      </c>
      <c r="B5" s="14">
        <v>137</v>
      </c>
      <c r="E5" s="7" t="s">
        <v>4022</v>
      </c>
      <c r="F5" s="8">
        <v>15.936</v>
      </c>
      <c r="I5" s="7" t="s">
        <v>4022</v>
      </c>
      <c r="J5" s="14">
        <v>125</v>
      </c>
    </row>
    <row r="6" spans="1:10">
      <c r="A6" s="15" t="s">
        <v>4035</v>
      </c>
      <c r="B6" s="14">
        <v>169</v>
      </c>
      <c r="E6" s="7" t="s">
        <v>4021</v>
      </c>
      <c r="F6" s="8">
        <v>39.540983606557376</v>
      </c>
      <c r="I6" s="7" t="s">
        <v>4021</v>
      </c>
      <c r="J6" s="14">
        <v>366</v>
      </c>
    </row>
    <row r="7" spans="1:10">
      <c r="A7" s="15" t="s">
        <v>4036</v>
      </c>
      <c r="B7" s="14">
        <v>144</v>
      </c>
      <c r="E7" s="7" t="s">
        <v>4024</v>
      </c>
      <c r="F7" s="8">
        <v>168.06575342465754</v>
      </c>
      <c r="I7" s="7" t="s">
        <v>4024</v>
      </c>
      <c r="J7" s="14">
        <v>730</v>
      </c>
    </row>
    <row r="8" spans="1:10">
      <c r="A8" s="15" t="s">
        <v>4037</v>
      </c>
      <c r="B8" s="14">
        <v>177</v>
      </c>
      <c r="E8" s="7" t="s">
        <v>4023</v>
      </c>
      <c r="F8" s="8">
        <v>89.283697047496787</v>
      </c>
      <c r="I8" s="7" t="s">
        <v>4023</v>
      </c>
      <c r="J8" s="14">
        <v>779</v>
      </c>
    </row>
    <row r="9" spans="1:10">
      <c r="A9" s="15" t="s">
        <v>4038</v>
      </c>
      <c r="B9" s="14">
        <v>183</v>
      </c>
      <c r="E9" s="7" t="s">
        <v>4032</v>
      </c>
      <c r="F9" s="8">
        <v>104.352</v>
      </c>
      <c r="I9" s="7" t="s">
        <v>4032</v>
      </c>
      <c r="J9" s="14">
        <v>2000</v>
      </c>
    </row>
    <row r="10" spans="1:10">
      <c r="A10" s="15" t="s">
        <v>4039</v>
      </c>
      <c r="B10" s="14">
        <v>198</v>
      </c>
    </row>
    <row r="11" spans="1:10">
      <c r="A11" s="15" t="s">
        <v>4040</v>
      </c>
      <c r="B11" s="14">
        <v>158</v>
      </c>
    </row>
    <row r="12" spans="1:10">
      <c r="A12" s="15" t="s">
        <v>4041</v>
      </c>
      <c r="B12" s="14">
        <v>174</v>
      </c>
    </row>
    <row r="13" spans="1:10">
      <c r="A13" s="15" t="s">
        <v>4042</v>
      </c>
      <c r="B13" s="14">
        <v>171</v>
      </c>
      <c r="H13" s="23" t="s">
        <v>4053</v>
      </c>
    </row>
    <row r="14" spans="1:10">
      <c r="A14" s="15" t="s">
        <v>4043</v>
      </c>
      <c r="B14" s="14">
        <v>149</v>
      </c>
      <c r="H14" s="7" t="s">
        <v>4048</v>
      </c>
      <c r="J14" s="7" t="s">
        <v>4045</v>
      </c>
    </row>
    <row r="15" spans="1:10">
      <c r="A15" s="15" t="s">
        <v>4044</v>
      </c>
      <c r="B15" s="14">
        <v>177</v>
      </c>
      <c r="H15" s="13">
        <v>104.352</v>
      </c>
      <c r="J15" s="13">
        <v>2000</v>
      </c>
    </row>
    <row r="16" spans="1:10">
      <c r="A16" s="5" t="s">
        <v>4032</v>
      </c>
      <c r="B16" s="13">
        <v>2000</v>
      </c>
    </row>
    <row r="17" spans="1:12">
      <c r="F17" t="s">
        <v>4057</v>
      </c>
      <c r="H17" s="4" t="s">
        <v>4031</v>
      </c>
      <c r="I17" s="7" t="s">
        <v>4052</v>
      </c>
    </row>
    <row r="18" spans="1:12">
      <c r="F18" t="str">
        <f>COUNTIF(Tickets[SLA_Met],"NO")/COUNT(Tickets[Ticket ID])*100 &amp; "%"</f>
        <v>21.2%</v>
      </c>
      <c r="H18" s="5" t="s">
        <v>4018</v>
      </c>
      <c r="I18" s="13">
        <v>1217</v>
      </c>
      <c r="K18" s="4" t="s">
        <v>4031</v>
      </c>
      <c r="L18" s="7" t="s">
        <v>4054</v>
      </c>
    </row>
    <row r="19" spans="1:12">
      <c r="A19" s="6" t="s">
        <v>4031</v>
      </c>
      <c r="B19" s="7" t="s">
        <v>4045</v>
      </c>
      <c r="H19" s="5" t="s">
        <v>4017</v>
      </c>
      <c r="I19" s="13">
        <v>388</v>
      </c>
      <c r="K19" s="5" t="s">
        <v>4046</v>
      </c>
      <c r="L19" s="13">
        <v>424</v>
      </c>
    </row>
    <row r="20" spans="1:12">
      <c r="A20" s="15" t="s">
        <v>4026</v>
      </c>
      <c r="B20" s="14">
        <v>887</v>
      </c>
      <c r="H20" s="5" t="s">
        <v>4020</v>
      </c>
      <c r="I20" s="13">
        <v>294</v>
      </c>
      <c r="K20" s="5" t="s">
        <v>4047</v>
      </c>
      <c r="L20" s="13">
        <v>1576</v>
      </c>
    </row>
    <row r="21" spans="1:12">
      <c r="A21" s="15" t="s">
        <v>4025</v>
      </c>
      <c r="B21" s="14">
        <v>304</v>
      </c>
      <c r="H21" s="5" t="s">
        <v>4019</v>
      </c>
      <c r="I21" s="13">
        <v>101</v>
      </c>
      <c r="K21" s="5" t="s">
        <v>4032</v>
      </c>
      <c r="L21" s="13">
        <v>2000</v>
      </c>
    </row>
    <row r="22" spans="1:12">
      <c r="A22" s="15" t="s">
        <v>4028</v>
      </c>
      <c r="B22" s="14">
        <v>512</v>
      </c>
      <c r="H22" s="5" t="s">
        <v>4032</v>
      </c>
      <c r="I22" s="13">
        <v>2000</v>
      </c>
    </row>
    <row r="23" spans="1:12">
      <c r="A23" s="15" t="s">
        <v>4027</v>
      </c>
      <c r="B23" s="14">
        <v>297</v>
      </c>
      <c r="E23" s="6" t="s">
        <v>4031</v>
      </c>
      <c r="F23" s="7" t="s">
        <v>4045</v>
      </c>
      <c r="K23" s="21" t="s">
        <v>4055</v>
      </c>
      <c r="L23" s="7">
        <f>GETPIVOTDATA("SLA_Met",$K$18,"SLA_Met","Yes")</f>
        <v>1576</v>
      </c>
    </row>
    <row r="24" spans="1:12">
      <c r="A24" s="15" t="s">
        <v>4032</v>
      </c>
      <c r="B24" s="14">
        <v>2000</v>
      </c>
      <c r="E24" s="15" t="s">
        <v>3984</v>
      </c>
      <c r="F24" s="14">
        <v>107</v>
      </c>
      <c r="K24" s="21" t="s">
        <v>4056</v>
      </c>
      <c r="L24" s="7">
        <f>GETPIVOTDATA("Ticket ID",$J$14)</f>
        <v>2000</v>
      </c>
    </row>
    <row r="25" spans="1:12">
      <c r="E25" s="15" t="s">
        <v>3991</v>
      </c>
      <c r="F25" s="14">
        <v>108</v>
      </c>
    </row>
    <row r="26" spans="1:12">
      <c r="E26" s="15" t="s">
        <v>3985</v>
      </c>
      <c r="F26" s="14">
        <v>116</v>
      </c>
    </row>
    <row r="27" spans="1:12">
      <c r="E27" s="15" t="s">
        <v>3996</v>
      </c>
      <c r="F27" s="14">
        <v>120</v>
      </c>
    </row>
    <row r="28" spans="1:12">
      <c r="E28" s="15" t="s">
        <v>3988</v>
      </c>
      <c r="F28" s="14">
        <v>114</v>
      </c>
    </row>
    <row r="29" spans="1:12">
      <c r="E29" s="15" t="s">
        <v>3995</v>
      </c>
      <c r="F29" s="14">
        <v>107</v>
      </c>
    </row>
    <row r="30" spans="1:12">
      <c r="E30" s="15" t="s">
        <v>3992</v>
      </c>
      <c r="F30" s="14">
        <v>117</v>
      </c>
    </row>
    <row r="31" spans="1:12">
      <c r="E31" s="15" t="s">
        <v>3982</v>
      </c>
      <c r="F31" s="14">
        <v>127</v>
      </c>
    </row>
    <row r="32" spans="1:12">
      <c r="E32" s="15" t="s">
        <v>3986</v>
      </c>
      <c r="F32" s="14">
        <v>117</v>
      </c>
    </row>
    <row r="33" spans="2:6">
      <c r="E33" s="15" t="s">
        <v>3980</v>
      </c>
      <c r="F33" s="14">
        <v>111</v>
      </c>
    </row>
    <row r="34" spans="2:6">
      <c r="E34" s="15" t="s">
        <v>3983</v>
      </c>
      <c r="F34" s="14">
        <v>109</v>
      </c>
    </row>
    <row r="35" spans="2:6">
      <c r="E35" s="15" t="s">
        <v>4032</v>
      </c>
      <c r="F35" s="14">
        <v>1253</v>
      </c>
    </row>
    <row r="38" spans="2:6">
      <c r="B38" s="4" t="s">
        <v>4031</v>
      </c>
      <c r="C38" t="s">
        <v>4045</v>
      </c>
    </row>
    <row r="39" spans="2:6">
      <c r="B39" s="5" t="s">
        <v>4018</v>
      </c>
      <c r="C39" s="13">
        <v>1217</v>
      </c>
    </row>
    <row r="40" spans="2:6">
      <c r="B40" s="5" t="s">
        <v>4017</v>
      </c>
      <c r="C40" s="13">
        <v>388</v>
      </c>
    </row>
    <row r="41" spans="2:6">
      <c r="B41" s="5" t="s">
        <v>4020</v>
      </c>
      <c r="C41" s="13">
        <v>294</v>
      </c>
    </row>
    <row r="42" spans="2:6">
      <c r="B42" s="5" t="s">
        <v>4019</v>
      </c>
      <c r="C42" s="13">
        <v>101</v>
      </c>
    </row>
    <row r="43" spans="2:6">
      <c r="B43" s="5" t="s">
        <v>4032</v>
      </c>
      <c r="C43" s="13">
        <v>2000</v>
      </c>
    </row>
  </sheetData>
  <mergeCells count="2">
    <mergeCell ref="D1:J2"/>
    <mergeCell ref="A2:B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35F6F-C079-4CD6-8628-B63FAFC04949}">
  <dimension ref="E1:X9"/>
  <sheetViews>
    <sheetView showGridLines="0" tabSelected="1" zoomScale="90" zoomScaleNormal="90" workbookViewId="0">
      <selection activeCell="AA12" sqref="AA12"/>
    </sheetView>
  </sheetViews>
  <sheetFormatPr defaultRowHeight="14.4"/>
  <cols>
    <col min="1" max="16384" width="8.88671875" style="11"/>
  </cols>
  <sheetData>
    <row r="1" spans="5:24" ht="14.4" customHeight="1">
      <c r="E1" s="12"/>
      <c r="F1" s="16" t="s">
        <v>4051</v>
      </c>
      <c r="G1" s="17"/>
      <c r="H1" s="17"/>
      <c r="I1" s="17"/>
      <c r="J1" s="17"/>
      <c r="K1" s="17"/>
      <c r="L1" s="17"/>
      <c r="M1" s="17"/>
      <c r="N1" s="17"/>
      <c r="O1" s="17"/>
      <c r="P1" s="17"/>
      <c r="Q1" s="17"/>
      <c r="R1" s="17"/>
      <c r="S1" s="17"/>
      <c r="T1" s="17"/>
      <c r="U1" s="17"/>
      <c r="V1" s="17"/>
      <c r="W1" s="17"/>
      <c r="X1" s="17"/>
    </row>
    <row r="2" spans="5:24" ht="14.4" customHeight="1">
      <c r="E2" s="12"/>
      <c r="F2" s="16"/>
      <c r="G2" s="17"/>
      <c r="H2" s="17"/>
      <c r="I2" s="17"/>
      <c r="J2" s="17"/>
      <c r="K2" s="17"/>
      <c r="L2" s="17"/>
      <c r="M2" s="17"/>
      <c r="N2" s="17"/>
      <c r="O2" s="17"/>
      <c r="P2" s="17"/>
      <c r="Q2" s="17"/>
      <c r="R2" s="17"/>
      <c r="S2" s="17"/>
      <c r="T2" s="17"/>
      <c r="U2" s="17"/>
      <c r="V2" s="17"/>
      <c r="W2" s="17"/>
      <c r="X2" s="17"/>
    </row>
    <row r="3" spans="5:24" ht="14.4" customHeight="1">
      <c r="E3" s="12"/>
      <c r="F3" s="16"/>
      <c r="G3" s="17"/>
      <c r="H3" s="17"/>
      <c r="I3" s="17"/>
      <c r="J3" s="17"/>
      <c r="K3" s="17"/>
      <c r="L3" s="17"/>
      <c r="M3" s="17"/>
      <c r="N3" s="17"/>
      <c r="O3" s="17"/>
      <c r="P3" s="17"/>
      <c r="Q3" s="17"/>
      <c r="R3" s="17"/>
      <c r="S3" s="17"/>
      <c r="T3" s="17"/>
      <c r="U3" s="17"/>
      <c r="V3" s="17"/>
      <c r="W3" s="17"/>
      <c r="X3" s="17"/>
    </row>
    <row r="4" spans="5:24" ht="14.4" customHeight="1">
      <c r="E4" s="12"/>
      <c r="F4" s="16"/>
      <c r="G4" s="17"/>
      <c r="H4" s="17"/>
      <c r="I4" s="17"/>
      <c r="J4" s="17"/>
      <c r="K4" s="17"/>
      <c r="L4" s="17"/>
      <c r="M4" s="17"/>
      <c r="N4" s="17"/>
      <c r="O4" s="17"/>
      <c r="P4" s="17"/>
      <c r="Q4" s="17"/>
      <c r="R4" s="17"/>
      <c r="S4" s="17"/>
      <c r="T4" s="17"/>
      <c r="U4" s="17"/>
      <c r="V4" s="17"/>
      <c r="W4" s="17"/>
      <c r="X4" s="17"/>
    </row>
    <row r="6" spans="5:24">
      <c r="E6" s="19"/>
      <c r="F6" s="22">
        <f>GETPIVOTDATA("Ticket ID",Pivot_tables!$J$14)</f>
        <v>2000</v>
      </c>
      <c r="G6" s="22"/>
      <c r="H6" s="22"/>
      <c r="I6" s="22"/>
      <c r="K6" s="22">
        <f>GETPIVOTDATA("Resolution Duration Hours",Pivot_tables!$H$14)</f>
        <v>104.352</v>
      </c>
      <c r="L6" s="22"/>
      <c r="M6" s="22"/>
      <c r="N6" s="22"/>
      <c r="O6" s="18"/>
      <c r="P6" s="22">
        <f>GETPIVOTDATA("Ticket Status",Pivot_tables!$H$17,"Ticket Status","Open")</f>
        <v>388</v>
      </c>
      <c r="Q6" s="22"/>
      <c r="R6" s="22"/>
      <c r="S6" s="22"/>
      <c r="T6" s="18"/>
      <c r="U6" s="20" t="str">
        <f>ROUND(Pivot_tables!L23 /Pivot_tables!L24*100,2)&amp;"%"</f>
        <v>78.8%</v>
      </c>
      <c r="V6" s="20"/>
      <c r="W6" s="20"/>
      <c r="X6" s="20"/>
    </row>
    <row r="7" spans="5:24">
      <c r="E7" s="19"/>
      <c r="F7" s="22"/>
      <c r="G7" s="22"/>
      <c r="H7" s="22"/>
      <c r="I7" s="22"/>
      <c r="J7" s="18"/>
      <c r="K7" s="22"/>
      <c r="L7" s="22"/>
      <c r="M7" s="22"/>
      <c r="N7" s="22"/>
      <c r="O7" s="18"/>
      <c r="P7" s="22"/>
      <c r="Q7" s="22"/>
      <c r="R7" s="22"/>
      <c r="S7" s="22"/>
      <c r="T7" s="18"/>
      <c r="U7" s="20"/>
      <c r="V7" s="20"/>
      <c r="W7" s="20"/>
      <c r="X7" s="20"/>
    </row>
    <row r="8" spans="5:24">
      <c r="E8" s="19"/>
      <c r="F8" s="22"/>
      <c r="G8" s="22"/>
      <c r="H8" s="22"/>
      <c r="I8" s="22"/>
      <c r="J8" s="18"/>
      <c r="K8" s="22"/>
      <c r="L8" s="22"/>
      <c r="M8" s="22"/>
      <c r="N8" s="22"/>
      <c r="O8" s="18"/>
      <c r="P8" s="22"/>
      <c r="Q8" s="22"/>
      <c r="R8" s="22"/>
      <c r="S8" s="22"/>
      <c r="T8" s="18"/>
      <c r="U8" s="20"/>
      <c r="V8" s="20"/>
      <c r="W8" s="20"/>
      <c r="X8" s="20"/>
    </row>
    <row r="9" spans="5:24">
      <c r="E9" s="19"/>
      <c r="F9" s="19"/>
      <c r="G9" s="19"/>
      <c r="H9" s="19"/>
      <c r="I9" s="19"/>
      <c r="J9" s="19"/>
      <c r="K9" s="19"/>
      <c r="L9" s="19"/>
      <c r="M9" s="19"/>
      <c r="N9" s="19"/>
      <c r="O9" s="19"/>
      <c r="P9" s="19"/>
      <c r="Q9" s="19"/>
      <c r="R9" s="19"/>
      <c r="S9" s="19"/>
      <c r="T9" s="19"/>
      <c r="U9" s="19"/>
      <c r="V9" s="19"/>
    </row>
  </sheetData>
  <mergeCells count="6">
    <mergeCell ref="F1:X4"/>
    <mergeCell ref="F6:I8"/>
    <mergeCell ref="K6:N8"/>
    <mergeCell ref="P6:S8"/>
    <mergeCell ref="U6:X8"/>
    <mergeCell ref="E1:E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EE42E-88B5-4219-A8F9-457472BD07C9}">
  <dimension ref="A1"/>
  <sheetViews>
    <sheetView showGridLines="0" topLeftCell="A43" workbookViewId="0">
      <selection activeCell="F58" sqref="F58"/>
    </sheetView>
  </sheetViews>
  <sheetFormatPr defaultRowHeight="14.4"/>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64E519C-4B33-47DB-82FC-3D015435750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Tickets</vt:lpstr>
      <vt:lpstr>Pivot_tables</vt:lpstr>
      <vt:lpstr>Dashboard</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Sahil</dc:creator>
  <cp:lastModifiedBy>sahil singh</cp:lastModifiedBy>
  <dcterms:created xsi:type="dcterms:W3CDTF">2025-12-11T13:16:03Z</dcterms:created>
  <dcterms:modified xsi:type="dcterms:W3CDTF">2025-12-12T18:23:58Z</dcterms:modified>
</cp:coreProperties>
</file>